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esaengineeringsrl-my.sharepoint.com/personal/g_fazio_esa-engineering_com/Documents/00 Lavori/Standard ESA/Nomenclatura/"/>
    </mc:Choice>
  </mc:AlternateContent>
  <xr:revisionPtr revIDLastSave="1" documentId="11_E0221A26403EF436E1B3F01AE48731098F53ADDB" xr6:coauthVersionLast="47" xr6:coauthVersionMax="47" xr10:uidLastSave="{F36412C1-62CF-4E0F-BCDA-56ADEBD915A7}"/>
  <bookViews>
    <workbookView xWindow="3510" yWindow="3510" windowWidth="21600" windowHeight="11295" xr2:uid="{00000000-000D-0000-FFFF-FFFF00000000}"/>
  </bookViews>
  <sheets>
    <sheet name="Istruzioni" sheetId="1" r:id="rId1"/>
    <sheet name="DV" sheetId="2" r:id="rId2"/>
    <sheet name="01_FS Foundation Slabs" sheetId="3" r:id="rId3"/>
    <sheet name="02_FW Wall Foundations" sheetId="4" r:id="rId4"/>
    <sheet name="03_FI Isolated Foundations" sheetId="5" r:id="rId5"/>
    <sheet name="04_SC Structural Columns" sheetId="6" r:id="rId6"/>
    <sheet name="05_FR Structural Framing" sheetId="7" r:id="rId7"/>
    <sheet name="06_TR Trusses" sheetId="8" r:id="rId8"/>
    <sheet name="07_CN Connections" sheetId="9" r:id="rId9"/>
    <sheet name="_src" sheetId="10" state="hidden" r:id="rId10"/>
  </sheets>
  <definedNames>
    <definedName name="Author_Code">Tbl_Author[Author_Code]</definedName>
    <definedName name="Author_Name">Tbl_Author[Author]</definedName>
    <definedName name="CN_Cat_Code">Tbl_CN_Cat[CN_Category_Code]</definedName>
    <definedName name="CN_Cat_Name">Tbl_CN_Cat[CN_Category]</definedName>
    <definedName name="CN_G2_Code">Tbl_CN_G2[CN_Group2_Code]</definedName>
    <definedName name="CN_G2_Name">Tbl_CN_G2[CN_Group2]</definedName>
    <definedName name="Cst_Code">Tbl_Cst[Cst_Code]</definedName>
    <definedName name="Cst_Name">Tbl_Cst[Cst_Name]</definedName>
    <definedName name="FI_Cat_Code">Tbl_FI_Cat[FI_Category_Code]</definedName>
    <definedName name="FI_Cat_Name">Tbl_FI_Cat[FI_Category]</definedName>
    <definedName name="FI_G2_Code">Tbl_FI_G2[FI_Group2_Code]</definedName>
    <definedName name="FI_G2_Name">Tbl_FI_G2[FI_Group2]</definedName>
    <definedName name="FR_Cat_Code">Tbl_FR_Cat[FR_Category_Code]</definedName>
    <definedName name="FR_Cat_Name">Tbl_FR_Cat[FR_Category]</definedName>
    <definedName name="FR_G2_Code">Tbl_FR_G2[FR_Group2_Code]</definedName>
    <definedName name="FR_G2_Name">Tbl_FR_G2[FR_Group2]</definedName>
    <definedName name="FS_Cat_Code">Tbl_FS_Cat[FS_Category_Code]</definedName>
    <definedName name="FS_Cat_Name">Tbl_FS_Cat[FS_Category]</definedName>
    <definedName name="FS_G2_Code">Tbl_FS_G2[FS_Group2_Code]</definedName>
    <definedName name="FS_G2_Name">Tbl_FS_G2[FS_Group2]</definedName>
    <definedName name="FW_Cat_Code">Tbl_FW_Cat[FW_Category_Code]</definedName>
    <definedName name="FW_Cat_Name">Tbl_FW_Cat[FW_Category]</definedName>
    <definedName name="FW_G2_Code">Tbl_FW_G2[FW_Group2_Code]</definedName>
    <definedName name="FW_G2_Name">Tbl_FW_G2[FW_Group2]</definedName>
    <definedName name="InPl_Code">Tbl_InPl[InPl_Code]</definedName>
    <definedName name="InPl_Name">Tbl_InPl[InPl_Name]</definedName>
    <definedName name="Role_Code">Tbl_Role[Role_Code]</definedName>
    <definedName name="Role_Name">Tbl_Role[Role_Name]</definedName>
    <definedName name="SC_Cat_Code">Tbl_SC_Cat[SC_Category_Code]</definedName>
    <definedName name="SC_Cat_Name">Tbl_SC_Cat[SC_Category]</definedName>
    <definedName name="SC_G2_Code">Tbl_SC_G2[SC_Group2_Code]</definedName>
    <definedName name="SC_G2_Name">Tbl_SC_G2[SC_Group2]</definedName>
    <definedName name="STR_G1_Code">Tbl_STR_G1[STR_Group1_Code]</definedName>
    <definedName name="STR_G1_Name">Tbl_STR_G1[STR_Group1]</definedName>
    <definedName name="STR_G1_TM">Tbl_STR_G1[TM Code]</definedName>
    <definedName name="TR_Cat_Code">Tbl_TR_Cat[TR_Category_Code]</definedName>
    <definedName name="TR_Cat_Name">Tbl_TR_Cat[TR_Category]</definedName>
    <definedName name="TR_G2_Code">Tbl_TR_G2[TR_Group2_Code]</definedName>
    <definedName name="TR_G2_Name">Tbl_TR_G2[TR_Group2]</definedName>
    <definedName name="Use_Code">Tbl_Use[Use_Code]</definedName>
    <definedName name="Use_Name">Tbl_Use[Use_Name]</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 i="9" l="1"/>
  <c r="O28" i="9"/>
  <c r="M28" i="9"/>
  <c r="K28" i="9"/>
  <c r="I28" i="9"/>
  <c r="G28" i="9"/>
  <c r="T28" i="9" s="1"/>
  <c r="E28" i="9"/>
  <c r="C28" i="9"/>
  <c r="T27" i="9"/>
  <c r="S27" i="9"/>
  <c r="R27" i="9"/>
  <c r="O27" i="9"/>
  <c r="M27" i="9"/>
  <c r="K27" i="9"/>
  <c r="I27" i="9"/>
  <c r="G27" i="9"/>
  <c r="E27" i="9"/>
  <c r="C27" i="9"/>
  <c r="T26" i="9"/>
  <c r="S26" i="9"/>
  <c r="R26" i="9"/>
  <c r="O26" i="9"/>
  <c r="M26" i="9"/>
  <c r="K26" i="9"/>
  <c r="I26" i="9"/>
  <c r="G26" i="9"/>
  <c r="E26" i="9"/>
  <c r="C26" i="9"/>
  <c r="S25" i="9"/>
  <c r="O25" i="9"/>
  <c r="M25" i="9"/>
  <c r="K25" i="9"/>
  <c r="I25" i="9"/>
  <c r="G25" i="9"/>
  <c r="R25" i="9" s="1"/>
  <c r="E25" i="9"/>
  <c r="C25" i="9"/>
  <c r="S24" i="9"/>
  <c r="O24" i="9"/>
  <c r="M24" i="9"/>
  <c r="K24" i="9"/>
  <c r="I24" i="9"/>
  <c r="G24" i="9"/>
  <c r="T24" i="9" s="1"/>
  <c r="E24" i="9"/>
  <c r="C24" i="9"/>
  <c r="S23" i="9"/>
  <c r="O23" i="9"/>
  <c r="M23" i="9"/>
  <c r="K23" i="9"/>
  <c r="I23" i="9"/>
  <c r="G23" i="9"/>
  <c r="T23" i="9" s="1"/>
  <c r="E23" i="9"/>
  <c r="C23" i="9"/>
  <c r="T22" i="9"/>
  <c r="S22" i="9"/>
  <c r="R22" i="9"/>
  <c r="O22" i="9"/>
  <c r="M22" i="9"/>
  <c r="K22" i="9"/>
  <c r="I22" i="9"/>
  <c r="G22" i="9"/>
  <c r="E22" i="9"/>
  <c r="C22" i="9"/>
  <c r="T21" i="9"/>
  <c r="S21" i="9"/>
  <c r="O21" i="9"/>
  <c r="M21" i="9"/>
  <c r="K21" i="9"/>
  <c r="I21" i="9"/>
  <c r="G21" i="9"/>
  <c r="R21" i="9" s="1"/>
  <c r="E21" i="9"/>
  <c r="C21" i="9"/>
  <c r="T20" i="9"/>
  <c r="S20" i="9"/>
  <c r="O20" i="9"/>
  <c r="M20" i="9"/>
  <c r="K20" i="9"/>
  <c r="I20" i="9"/>
  <c r="R20" i="9" s="1"/>
  <c r="G20" i="9"/>
  <c r="E20" i="9"/>
  <c r="C20" i="9"/>
  <c r="T19" i="9"/>
  <c r="S19" i="9"/>
  <c r="O19" i="9"/>
  <c r="M19" i="9"/>
  <c r="K19" i="9"/>
  <c r="R19" i="9" s="1"/>
  <c r="I19" i="9"/>
  <c r="G19" i="9"/>
  <c r="E19" i="9"/>
  <c r="C19" i="9"/>
  <c r="T18" i="9"/>
  <c r="S18" i="9"/>
  <c r="O18" i="9"/>
  <c r="M18" i="9"/>
  <c r="K18" i="9"/>
  <c r="I18" i="9"/>
  <c r="G18" i="9"/>
  <c r="R18" i="9" s="1"/>
  <c r="E18" i="9"/>
  <c r="C18" i="9"/>
  <c r="S17" i="9"/>
  <c r="O17" i="9"/>
  <c r="M17" i="9"/>
  <c r="K17" i="9"/>
  <c r="I17" i="9"/>
  <c r="G17" i="9"/>
  <c r="T17" i="9" s="1"/>
  <c r="E17" i="9"/>
  <c r="C17" i="9"/>
  <c r="S16" i="9"/>
  <c r="R16" i="9"/>
  <c r="O16" i="9"/>
  <c r="M16" i="9"/>
  <c r="K16" i="9"/>
  <c r="I16" i="9"/>
  <c r="G16" i="9"/>
  <c r="T16" i="9" s="1"/>
  <c r="E16" i="9"/>
  <c r="C16" i="9"/>
  <c r="T15" i="9"/>
  <c r="S15" i="9"/>
  <c r="R15" i="9"/>
  <c r="O15" i="9"/>
  <c r="M15" i="9"/>
  <c r="K15" i="9"/>
  <c r="I15" i="9"/>
  <c r="G15" i="9"/>
  <c r="E15" i="9"/>
  <c r="C15" i="9"/>
  <c r="T14" i="9"/>
  <c r="S14" i="9"/>
  <c r="R14" i="9"/>
  <c r="O14" i="9"/>
  <c r="M14" i="9"/>
  <c r="K14" i="9"/>
  <c r="I14" i="9"/>
  <c r="G14" i="9"/>
  <c r="E14" i="9"/>
  <c r="C14" i="9"/>
  <c r="O13" i="9"/>
  <c r="M13" i="9"/>
  <c r="K13" i="9"/>
  <c r="I13" i="9"/>
  <c r="G13" i="9"/>
  <c r="T13" i="9" s="1"/>
  <c r="E13" i="9"/>
  <c r="C13" i="9"/>
  <c r="O12" i="9"/>
  <c r="M12" i="9"/>
  <c r="K12" i="9"/>
  <c r="I12" i="9"/>
  <c r="G12" i="9"/>
  <c r="T12" i="9" s="1"/>
  <c r="E12" i="9"/>
  <c r="C12" i="9"/>
  <c r="R11" i="9"/>
  <c r="O11" i="9"/>
  <c r="M11" i="9"/>
  <c r="K11" i="9"/>
  <c r="I11" i="9"/>
  <c r="G11" i="9"/>
  <c r="T11" i="9" s="1"/>
  <c r="E11" i="9"/>
  <c r="C11" i="9"/>
  <c r="S11" i="9" s="1"/>
  <c r="R10" i="9"/>
  <c r="O10" i="9"/>
  <c r="M10" i="9"/>
  <c r="K10" i="9"/>
  <c r="I10" i="9"/>
  <c r="G10" i="9"/>
  <c r="T10" i="9" s="1"/>
  <c r="E10" i="9"/>
  <c r="C10" i="9"/>
  <c r="S10" i="9" s="1"/>
  <c r="T9" i="9"/>
  <c r="O9" i="9"/>
  <c r="M9" i="9"/>
  <c r="K9" i="9"/>
  <c r="I9" i="9"/>
  <c r="G9" i="9"/>
  <c r="R9" i="9" s="1"/>
  <c r="S9" i="9" s="1"/>
  <c r="E9" i="9"/>
  <c r="C9" i="9"/>
  <c r="T8" i="9"/>
  <c r="O8" i="9"/>
  <c r="M8" i="9"/>
  <c r="K8" i="9"/>
  <c r="I8" i="9"/>
  <c r="R8" i="9" s="1"/>
  <c r="S8" i="9" s="1"/>
  <c r="G8" i="9"/>
  <c r="E8" i="9"/>
  <c r="C8" i="9"/>
  <c r="T7" i="9"/>
  <c r="O7" i="9"/>
  <c r="M7" i="9"/>
  <c r="K7" i="9"/>
  <c r="R7" i="9" s="1"/>
  <c r="S7" i="9" s="1"/>
  <c r="I7" i="9"/>
  <c r="G7" i="9"/>
  <c r="E7" i="9"/>
  <c r="C7" i="9"/>
  <c r="T6" i="9"/>
  <c r="O6" i="9"/>
  <c r="M6" i="9"/>
  <c r="K6" i="9"/>
  <c r="I6" i="9"/>
  <c r="G6" i="9"/>
  <c r="R6" i="9" s="1"/>
  <c r="E6" i="9"/>
  <c r="C6" i="9"/>
  <c r="S26" i="8"/>
  <c r="O26" i="8"/>
  <c r="M26" i="8"/>
  <c r="K26" i="8"/>
  <c r="I26" i="8"/>
  <c r="G26" i="8"/>
  <c r="T26" i="8" s="1"/>
  <c r="E26" i="8"/>
  <c r="C26" i="8"/>
  <c r="S25" i="8"/>
  <c r="R25" i="8"/>
  <c r="O25" i="8"/>
  <c r="M25" i="8"/>
  <c r="K25" i="8"/>
  <c r="I25" i="8"/>
  <c r="G25" i="8"/>
  <c r="T25" i="8" s="1"/>
  <c r="E25" i="8"/>
  <c r="C25" i="8"/>
  <c r="T24" i="8"/>
  <c r="S24" i="8"/>
  <c r="R24" i="8"/>
  <c r="O24" i="8"/>
  <c r="M24" i="8"/>
  <c r="K24" i="8"/>
  <c r="I24" i="8"/>
  <c r="G24" i="8"/>
  <c r="E24" i="8"/>
  <c r="C24" i="8"/>
  <c r="T23" i="8"/>
  <c r="S23" i="8"/>
  <c r="R23" i="8"/>
  <c r="O23" i="8"/>
  <c r="M23" i="8"/>
  <c r="K23" i="8"/>
  <c r="I23" i="8"/>
  <c r="G23" i="8"/>
  <c r="E23" i="8"/>
  <c r="C23" i="8"/>
  <c r="S22" i="8"/>
  <c r="O22" i="8"/>
  <c r="M22" i="8"/>
  <c r="K22" i="8"/>
  <c r="I22" i="8"/>
  <c r="G22" i="8"/>
  <c r="T22" i="8" s="1"/>
  <c r="E22" i="8"/>
  <c r="C22" i="8"/>
  <c r="S21" i="8"/>
  <c r="O21" i="8"/>
  <c r="M21" i="8"/>
  <c r="K21" i="8"/>
  <c r="I21" i="8"/>
  <c r="G21" i="8"/>
  <c r="T21" i="8" s="1"/>
  <c r="E21" i="8"/>
  <c r="C21" i="8"/>
  <c r="S20" i="8"/>
  <c r="R20" i="8"/>
  <c r="O20" i="8"/>
  <c r="M20" i="8"/>
  <c r="K20" i="8"/>
  <c r="I20" i="8"/>
  <c r="G20" i="8"/>
  <c r="T20" i="8" s="1"/>
  <c r="E20" i="8"/>
  <c r="C20" i="8"/>
  <c r="S19" i="8"/>
  <c r="R19" i="8"/>
  <c r="O19" i="8"/>
  <c r="M19" i="8"/>
  <c r="K19" i="8"/>
  <c r="I19" i="8"/>
  <c r="G19" i="8"/>
  <c r="T19" i="8" s="1"/>
  <c r="E19" i="8"/>
  <c r="C19" i="8"/>
  <c r="T18" i="8"/>
  <c r="S18" i="8"/>
  <c r="O18" i="8"/>
  <c r="M18" i="8"/>
  <c r="K18" i="8"/>
  <c r="I18" i="8"/>
  <c r="G18" i="8"/>
  <c r="R18" i="8" s="1"/>
  <c r="E18" i="8"/>
  <c r="C18" i="8"/>
  <c r="T17" i="8"/>
  <c r="S17" i="8"/>
  <c r="O17" i="8"/>
  <c r="M17" i="8"/>
  <c r="K17" i="8"/>
  <c r="I17" i="8"/>
  <c r="R17" i="8" s="1"/>
  <c r="G17" i="8"/>
  <c r="E17" i="8"/>
  <c r="C17" i="8"/>
  <c r="T16" i="8"/>
  <c r="S16" i="8"/>
  <c r="O16" i="8"/>
  <c r="M16" i="8"/>
  <c r="K16" i="8"/>
  <c r="R16" i="8" s="1"/>
  <c r="I16" i="8"/>
  <c r="G16" i="8"/>
  <c r="E16" i="8"/>
  <c r="C16" i="8"/>
  <c r="T15" i="8"/>
  <c r="S15" i="8"/>
  <c r="O15" i="8"/>
  <c r="M15" i="8"/>
  <c r="K15" i="8"/>
  <c r="I15" i="8"/>
  <c r="G15" i="8"/>
  <c r="R15" i="8" s="1"/>
  <c r="E15" i="8"/>
  <c r="C15" i="8"/>
  <c r="S14" i="8"/>
  <c r="O14" i="8"/>
  <c r="M14" i="8"/>
  <c r="K14" i="8"/>
  <c r="I14" i="8"/>
  <c r="G14" i="8"/>
  <c r="T14" i="8" s="1"/>
  <c r="E14" i="8"/>
  <c r="C14" i="8"/>
  <c r="S13" i="8"/>
  <c r="R13" i="8"/>
  <c r="O13" i="8"/>
  <c r="M13" i="8"/>
  <c r="K13" i="8"/>
  <c r="I13" i="8"/>
  <c r="G13" i="8"/>
  <c r="T13" i="8" s="1"/>
  <c r="E13" i="8"/>
  <c r="C13" i="8"/>
  <c r="T12" i="8"/>
  <c r="S12" i="8"/>
  <c r="R12" i="8"/>
  <c r="O12" i="8"/>
  <c r="M12" i="8"/>
  <c r="K12" i="8"/>
  <c r="I12" i="8"/>
  <c r="G12" i="8"/>
  <c r="E12" i="8"/>
  <c r="C12" i="8"/>
  <c r="T11" i="8"/>
  <c r="R11" i="8"/>
  <c r="S11" i="8" s="1"/>
  <c r="O11" i="8"/>
  <c r="M11" i="8"/>
  <c r="K11" i="8"/>
  <c r="I11" i="8"/>
  <c r="G11" i="8"/>
  <c r="E11" i="8"/>
  <c r="C11" i="8"/>
  <c r="O10" i="8"/>
  <c r="M10" i="8"/>
  <c r="K10" i="8"/>
  <c r="I10" i="8"/>
  <c r="G10" i="8"/>
  <c r="R10" i="8" s="1"/>
  <c r="E10" i="8"/>
  <c r="S10" i="8" s="1"/>
  <c r="C10" i="8"/>
  <c r="O9" i="8"/>
  <c r="M9" i="8"/>
  <c r="K9" i="8"/>
  <c r="I9" i="8"/>
  <c r="G9" i="8"/>
  <c r="T9" i="8" s="1"/>
  <c r="E9" i="8"/>
  <c r="C9" i="8"/>
  <c r="R8" i="8"/>
  <c r="O8" i="8"/>
  <c r="M8" i="8"/>
  <c r="K8" i="8"/>
  <c r="I8" i="8"/>
  <c r="G8" i="8"/>
  <c r="T8" i="8" s="1"/>
  <c r="E8" i="8"/>
  <c r="C8" i="8"/>
  <c r="S8" i="8" s="1"/>
  <c r="R7" i="8"/>
  <c r="O7" i="8"/>
  <c r="M7" i="8"/>
  <c r="K7" i="8"/>
  <c r="I7" i="8"/>
  <c r="G7" i="8"/>
  <c r="T7" i="8" s="1"/>
  <c r="E7" i="8"/>
  <c r="C7" i="8"/>
  <c r="S7" i="8" s="1"/>
  <c r="T6" i="8"/>
  <c r="O6" i="8"/>
  <c r="M6" i="8"/>
  <c r="K6" i="8"/>
  <c r="I6" i="8"/>
  <c r="G6" i="8"/>
  <c r="R6" i="8" s="1"/>
  <c r="S6" i="8" s="1"/>
  <c r="E6" i="8"/>
  <c r="C6" i="8"/>
  <c r="W30" i="7"/>
  <c r="U30" i="7"/>
  <c r="T30" i="7"/>
  <c r="Q30" i="7"/>
  <c r="O30" i="7"/>
  <c r="M30" i="7"/>
  <c r="V30" i="7" s="1"/>
  <c r="K30" i="7"/>
  <c r="I30" i="7"/>
  <c r="G30" i="7"/>
  <c r="E30" i="7"/>
  <c r="C30" i="7"/>
  <c r="W29" i="7"/>
  <c r="V29" i="7"/>
  <c r="U29" i="7"/>
  <c r="T29" i="7"/>
  <c r="Q29" i="7"/>
  <c r="O29" i="7"/>
  <c r="M29" i="7"/>
  <c r="K29" i="7"/>
  <c r="I29" i="7"/>
  <c r="G29" i="7"/>
  <c r="E29" i="7"/>
  <c r="C29" i="7"/>
  <c r="W28" i="7"/>
  <c r="U28" i="7"/>
  <c r="T28" i="7"/>
  <c r="Q28" i="7"/>
  <c r="O28" i="7"/>
  <c r="M28" i="7"/>
  <c r="V28" i="7" s="1"/>
  <c r="K28" i="7"/>
  <c r="I28" i="7"/>
  <c r="G28" i="7"/>
  <c r="E28" i="7"/>
  <c r="C28" i="7"/>
  <c r="W27" i="7"/>
  <c r="V27" i="7"/>
  <c r="U27" i="7"/>
  <c r="T27" i="7"/>
  <c r="Q27" i="7"/>
  <c r="O27" i="7"/>
  <c r="M27" i="7"/>
  <c r="K27" i="7"/>
  <c r="I27" i="7"/>
  <c r="G27" i="7"/>
  <c r="E27" i="7"/>
  <c r="C27" i="7"/>
  <c r="W26" i="7"/>
  <c r="U26" i="7"/>
  <c r="T26" i="7"/>
  <c r="Q26" i="7"/>
  <c r="O26" i="7"/>
  <c r="M26" i="7"/>
  <c r="V26" i="7" s="1"/>
  <c r="K26" i="7"/>
  <c r="I26" i="7"/>
  <c r="G26" i="7"/>
  <c r="E26" i="7"/>
  <c r="C26" i="7"/>
  <c r="W25" i="7"/>
  <c r="V25" i="7"/>
  <c r="U25" i="7"/>
  <c r="T25" i="7"/>
  <c r="Q25" i="7"/>
  <c r="O25" i="7"/>
  <c r="M25" i="7"/>
  <c r="K25" i="7"/>
  <c r="I25" i="7"/>
  <c r="G25" i="7"/>
  <c r="E25" i="7"/>
  <c r="C25" i="7"/>
  <c r="W24" i="7"/>
  <c r="U24" i="7"/>
  <c r="T24" i="7"/>
  <c r="Q24" i="7"/>
  <c r="O24" i="7"/>
  <c r="M24" i="7"/>
  <c r="V24" i="7" s="1"/>
  <c r="K24" i="7"/>
  <c r="I24" i="7"/>
  <c r="G24" i="7"/>
  <c r="E24" i="7"/>
  <c r="C24" i="7"/>
  <c r="W23" i="7"/>
  <c r="V23" i="7"/>
  <c r="U23" i="7"/>
  <c r="T23" i="7"/>
  <c r="Q23" i="7"/>
  <c r="O23" i="7"/>
  <c r="M23" i="7"/>
  <c r="K23" i="7"/>
  <c r="I23" i="7"/>
  <c r="G23" i="7"/>
  <c r="E23" i="7"/>
  <c r="C23" i="7"/>
  <c r="W22" i="7"/>
  <c r="U22" i="7"/>
  <c r="T22" i="7"/>
  <c r="Q22" i="7"/>
  <c r="O22" i="7"/>
  <c r="M22" i="7"/>
  <c r="V22" i="7" s="1"/>
  <c r="K22" i="7"/>
  <c r="I22" i="7"/>
  <c r="G22" i="7"/>
  <c r="E22" i="7"/>
  <c r="C22" i="7"/>
  <c r="W21" i="7"/>
  <c r="V21" i="7"/>
  <c r="U21" i="7"/>
  <c r="T21" i="7"/>
  <c r="Q21" i="7"/>
  <c r="O21" i="7"/>
  <c r="M21" i="7"/>
  <c r="K21" i="7"/>
  <c r="I21" i="7"/>
  <c r="G21" i="7"/>
  <c r="E21" i="7"/>
  <c r="C21" i="7"/>
  <c r="W20" i="7"/>
  <c r="U20" i="7"/>
  <c r="T20" i="7"/>
  <c r="Q20" i="7"/>
  <c r="O20" i="7"/>
  <c r="M20" i="7"/>
  <c r="V20" i="7" s="1"/>
  <c r="K20" i="7"/>
  <c r="I20" i="7"/>
  <c r="G20" i="7"/>
  <c r="E20" i="7"/>
  <c r="C20" i="7"/>
  <c r="W19" i="7"/>
  <c r="V19" i="7"/>
  <c r="U19" i="7"/>
  <c r="T19" i="7"/>
  <c r="Q19" i="7"/>
  <c r="O19" i="7"/>
  <c r="M19" i="7"/>
  <c r="K19" i="7"/>
  <c r="I19" i="7"/>
  <c r="G19" i="7"/>
  <c r="E19" i="7"/>
  <c r="C19" i="7"/>
  <c r="W18" i="7"/>
  <c r="U18" i="7"/>
  <c r="T18" i="7"/>
  <c r="Q18" i="7"/>
  <c r="O18" i="7"/>
  <c r="M18" i="7"/>
  <c r="V18" i="7" s="1"/>
  <c r="K18" i="7"/>
  <c r="I18" i="7"/>
  <c r="G18" i="7"/>
  <c r="E18" i="7"/>
  <c r="C18" i="7"/>
  <c r="W17" i="7"/>
  <c r="V17" i="7"/>
  <c r="U17" i="7"/>
  <c r="T17" i="7"/>
  <c r="Q17" i="7"/>
  <c r="O17" i="7"/>
  <c r="M17" i="7"/>
  <c r="K17" i="7"/>
  <c r="I17" i="7"/>
  <c r="G17" i="7"/>
  <c r="E17" i="7"/>
  <c r="C17" i="7"/>
  <c r="W16" i="7"/>
  <c r="U16" i="7"/>
  <c r="T16" i="7"/>
  <c r="Q16" i="7"/>
  <c r="O16" i="7"/>
  <c r="M16" i="7"/>
  <c r="V16" i="7" s="1"/>
  <c r="K16" i="7"/>
  <c r="I16" i="7"/>
  <c r="G16" i="7"/>
  <c r="E16" i="7"/>
  <c r="C16" i="7"/>
  <c r="W15" i="7"/>
  <c r="V15" i="7"/>
  <c r="T15" i="7"/>
  <c r="U15" i="7" s="1"/>
  <c r="Q15" i="7"/>
  <c r="O15" i="7"/>
  <c r="M15" i="7"/>
  <c r="K15" i="7"/>
  <c r="I15" i="7"/>
  <c r="G15" i="7"/>
  <c r="E15" i="7"/>
  <c r="C15" i="7"/>
  <c r="T14" i="7"/>
  <c r="Q14" i="7"/>
  <c r="O14" i="7"/>
  <c r="M14" i="7"/>
  <c r="V14" i="7" s="1"/>
  <c r="K14" i="7"/>
  <c r="I14" i="7"/>
  <c r="G14" i="7"/>
  <c r="E14" i="7"/>
  <c r="C14" i="7"/>
  <c r="U14" i="7" s="1"/>
  <c r="V13" i="7"/>
  <c r="T13" i="7"/>
  <c r="U13" i="7" s="1"/>
  <c r="Q13" i="7"/>
  <c r="O13" i="7"/>
  <c r="M13" i="7"/>
  <c r="K13" i="7"/>
  <c r="I13" i="7"/>
  <c r="G13" i="7"/>
  <c r="E13" i="7"/>
  <c r="C13" i="7"/>
  <c r="W12" i="7"/>
  <c r="T12" i="7"/>
  <c r="Q12" i="7"/>
  <c r="O12" i="7"/>
  <c r="M12" i="7"/>
  <c r="V12" i="7" s="1"/>
  <c r="K12" i="7"/>
  <c r="I12" i="7"/>
  <c r="G12" i="7"/>
  <c r="E12" i="7"/>
  <c r="C12" i="7"/>
  <c r="U12" i="7" s="1"/>
  <c r="W11" i="7"/>
  <c r="V11" i="7"/>
  <c r="T11" i="7"/>
  <c r="U11" i="7" s="1"/>
  <c r="Q11" i="7"/>
  <c r="O11" i="7"/>
  <c r="M11" i="7"/>
  <c r="K11" i="7"/>
  <c r="I11" i="7"/>
  <c r="G11" i="7"/>
  <c r="E11" i="7"/>
  <c r="C11" i="7"/>
  <c r="W10" i="7"/>
  <c r="T10" i="7"/>
  <c r="Q10" i="7"/>
  <c r="O10" i="7"/>
  <c r="M10" i="7"/>
  <c r="V10" i="7" s="1"/>
  <c r="K10" i="7"/>
  <c r="I10" i="7"/>
  <c r="G10" i="7"/>
  <c r="E10" i="7"/>
  <c r="C10" i="7"/>
  <c r="U10" i="7" s="1"/>
  <c r="W9" i="7"/>
  <c r="V9" i="7"/>
  <c r="T9" i="7"/>
  <c r="U9" i="7" s="1"/>
  <c r="Q9" i="7"/>
  <c r="O9" i="7"/>
  <c r="M9" i="7"/>
  <c r="K9" i="7"/>
  <c r="I9" i="7"/>
  <c r="G9" i="7"/>
  <c r="E9" i="7"/>
  <c r="C9" i="7"/>
  <c r="W8" i="7"/>
  <c r="T8" i="7"/>
  <c r="Q8" i="7"/>
  <c r="O8" i="7"/>
  <c r="M8" i="7"/>
  <c r="V8" i="7" s="1"/>
  <c r="K8" i="7"/>
  <c r="I8" i="7"/>
  <c r="G8" i="7"/>
  <c r="E8" i="7"/>
  <c r="C8" i="7"/>
  <c r="U8" i="7" s="1"/>
  <c r="W7" i="7"/>
  <c r="V7" i="7"/>
  <c r="T7" i="7"/>
  <c r="U7" i="7" s="1"/>
  <c r="Q7" i="7"/>
  <c r="O7" i="7"/>
  <c r="M7" i="7"/>
  <c r="K7" i="7"/>
  <c r="I7" i="7"/>
  <c r="G7" i="7"/>
  <c r="E7" i="7"/>
  <c r="C7" i="7"/>
  <c r="W6" i="7"/>
  <c r="T6" i="7"/>
  <c r="Q6" i="7"/>
  <c r="O6" i="7"/>
  <c r="M6" i="7"/>
  <c r="V6" i="7" s="1"/>
  <c r="K6" i="7"/>
  <c r="I6" i="7"/>
  <c r="G6" i="7"/>
  <c r="E6" i="7"/>
  <c r="C6" i="7"/>
  <c r="U6" i="7" s="1"/>
  <c r="T29" i="6"/>
  <c r="S29" i="6"/>
  <c r="R29" i="6"/>
  <c r="O29" i="6"/>
  <c r="M29" i="6"/>
  <c r="K29" i="6"/>
  <c r="I29" i="6"/>
  <c r="G29" i="6"/>
  <c r="E29" i="6"/>
  <c r="C29" i="6"/>
  <c r="S28" i="6"/>
  <c r="O28" i="6"/>
  <c r="M28" i="6"/>
  <c r="K28" i="6"/>
  <c r="I28" i="6"/>
  <c r="G28" i="6"/>
  <c r="T28" i="6" s="1"/>
  <c r="E28" i="6"/>
  <c r="C28" i="6"/>
  <c r="S27" i="6"/>
  <c r="O27" i="6"/>
  <c r="M27" i="6"/>
  <c r="K27" i="6"/>
  <c r="I27" i="6"/>
  <c r="G27" i="6"/>
  <c r="T27" i="6" s="1"/>
  <c r="E27" i="6"/>
  <c r="C27" i="6"/>
  <c r="S26" i="6"/>
  <c r="R26" i="6"/>
  <c r="O26" i="6"/>
  <c r="M26" i="6"/>
  <c r="K26" i="6"/>
  <c r="I26" i="6"/>
  <c r="G26" i="6"/>
  <c r="T26" i="6" s="1"/>
  <c r="E26" i="6"/>
  <c r="C26" i="6"/>
  <c r="S25" i="6"/>
  <c r="R25" i="6"/>
  <c r="O25" i="6"/>
  <c r="M25" i="6"/>
  <c r="K25" i="6"/>
  <c r="I25" i="6"/>
  <c r="G25" i="6"/>
  <c r="T25" i="6" s="1"/>
  <c r="E25" i="6"/>
  <c r="C25" i="6"/>
  <c r="T24" i="6"/>
  <c r="S24" i="6"/>
  <c r="O24" i="6"/>
  <c r="M24" i="6"/>
  <c r="K24" i="6"/>
  <c r="I24" i="6"/>
  <c r="G24" i="6"/>
  <c r="R24" i="6" s="1"/>
  <c r="E24" i="6"/>
  <c r="C24" i="6"/>
  <c r="T23" i="6"/>
  <c r="S23" i="6"/>
  <c r="O23" i="6"/>
  <c r="M23" i="6"/>
  <c r="K23" i="6"/>
  <c r="I23" i="6"/>
  <c r="R23" i="6" s="1"/>
  <c r="G23" i="6"/>
  <c r="E23" i="6"/>
  <c r="C23" i="6"/>
  <c r="T22" i="6"/>
  <c r="S22" i="6"/>
  <c r="O22" i="6"/>
  <c r="M22" i="6"/>
  <c r="K22" i="6"/>
  <c r="R22" i="6" s="1"/>
  <c r="I22" i="6"/>
  <c r="G22" i="6"/>
  <c r="E22" i="6"/>
  <c r="C22" i="6"/>
  <c r="T21" i="6"/>
  <c r="S21" i="6"/>
  <c r="O21" i="6"/>
  <c r="M21" i="6"/>
  <c r="K21" i="6"/>
  <c r="I21" i="6"/>
  <c r="G21" i="6"/>
  <c r="R21" i="6" s="1"/>
  <c r="E21" i="6"/>
  <c r="C21" i="6"/>
  <c r="S20" i="6"/>
  <c r="O20" i="6"/>
  <c r="M20" i="6"/>
  <c r="K20" i="6"/>
  <c r="I20" i="6"/>
  <c r="G20" i="6"/>
  <c r="T20" i="6" s="1"/>
  <c r="E20" i="6"/>
  <c r="C20" i="6"/>
  <c r="S19" i="6"/>
  <c r="R19" i="6"/>
  <c r="O19" i="6"/>
  <c r="M19" i="6"/>
  <c r="K19" i="6"/>
  <c r="I19" i="6"/>
  <c r="G19" i="6"/>
  <c r="T19" i="6" s="1"/>
  <c r="E19" i="6"/>
  <c r="C19" i="6"/>
  <c r="T18" i="6"/>
  <c r="S18" i="6"/>
  <c r="R18" i="6"/>
  <c r="O18" i="6"/>
  <c r="M18" i="6"/>
  <c r="K18" i="6"/>
  <c r="I18" i="6"/>
  <c r="G18" i="6"/>
  <c r="E18" i="6"/>
  <c r="C18" i="6"/>
  <c r="T17" i="6"/>
  <c r="S17" i="6"/>
  <c r="R17" i="6"/>
  <c r="O17" i="6"/>
  <c r="M17" i="6"/>
  <c r="K17" i="6"/>
  <c r="I17" i="6"/>
  <c r="G17" i="6"/>
  <c r="E17" i="6"/>
  <c r="C17" i="6"/>
  <c r="S16" i="6"/>
  <c r="O16" i="6"/>
  <c r="M16" i="6"/>
  <c r="K16" i="6"/>
  <c r="I16" i="6"/>
  <c r="G16" i="6"/>
  <c r="T16" i="6" s="1"/>
  <c r="E16" i="6"/>
  <c r="C16" i="6"/>
  <c r="S15" i="6"/>
  <c r="O15" i="6"/>
  <c r="M15" i="6"/>
  <c r="K15" i="6"/>
  <c r="I15" i="6"/>
  <c r="G15" i="6"/>
  <c r="T15" i="6" s="1"/>
  <c r="E15" i="6"/>
  <c r="C15" i="6"/>
  <c r="R14" i="6"/>
  <c r="O14" i="6"/>
  <c r="M14" i="6"/>
  <c r="K14" i="6"/>
  <c r="I14" i="6"/>
  <c r="G14" i="6"/>
  <c r="T14" i="6" s="1"/>
  <c r="E14" i="6"/>
  <c r="C14" i="6"/>
  <c r="S14" i="6" s="1"/>
  <c r="R13" i="6"/>
  <c r="O13" i="6"/>
  <c r="M13" i="6"/>
  <c r="K13" i="6"/>
  <c r="I13" i="6"/>
  <c r="G13" i="6"/>
  <c r="T13" i="6" s="1"/>
  <c r="E13" i="6"/>
  <c r="C13" i="6"/>
  <c r="S13" i="6" s="1"/>
  <c r="T12" i="6"/>
  <c r="O12" i="6"/>
  <c r="M12" i="6"/>
  <c r="K12" i="6"/>
  <c r="I12" i="6"/>
  <c r="G12" i="6"/>
  <c r="R12" i="6" s="1"/>
  <c r="S12" i="6" s="1"/>
  <c r="E12" i="6"/>
  <c r="C12" i="6"/>
  <c r="T11" i="6"/>
  <c r="O11" i="6"/>
  <c r="M11" i="6"/>
  <c r="K11" i="6"/>
  <c r="I11" i="6"/>
  <c r="R11" i="6" s="1"/>
  <c r="G11" i="6"/>
  <c r="E11" i="6"/>
  <c r="C11" i="6"/>
  <c r="T10" i="6"/>
  <c r="O10" i="6"/>
  <c r="M10" i="6"/>
  <c r="K10" i="6"/>
  <c r="R10" i="6" s="1"/>
  <c r="S10" i="6" s="1"/>
  <c r="I10" i="6"/>
  <c r="G10" i="6"/>
  <c r="E10" i="6"/>
  <c r="C10" i="6"/>
  <c r="T9" i="6"/>
  <c r="O9" i="6"/>
  <c r="M9" i="6"/>
  <c r="K9" i="6"/>
  <c r="I9" i="6"/>
  <c r="G9" i="6"/>
  <c r="R9" i="6" s="1"/>
  <c r="E9" i="6"/>
  <c r="C9" i="6"/>
  <c r="S9" i="6" s="1"/>
  <c r="O8" i="6"/>
  <c r="M8" i="6"/>
  <c r="K8" i="6"/>
  <c r="I8" i="6"/>
  <c r="G8" i="6"/>
  <c r="T8" i="6" s="1"/>
  <c r="E8" i="6"/>
  <c r="C8" i="6"/>
  <c r="R7" i="6"/>
  <c r="O7" i="6"/>
  <c r="M7" i="6"/>
  <c r="K7" i="6"/>
  <c r="I7" i="6"/>
  <c r="G7" i="6"/>
  <c r="T7" i="6" s="1"/>
  <c r="E7" i="6"/>
  <c r="C7" i="6"/>
  <c r="S7" i="6" s="1"/>
  <c r="T6" i="6"/>
  <c r="R6" i="6"/>
  <c r="O6" i="6"/>
  <c r="M6" i="6"/>
  <c r="K6" i="6"/>
  <c r="I6" i="6"/>
  <c r="G6" i="6"/>
  <c r="E6" i="6"/>
  <c r="C6" i="6"/>
  <c r="S6" i="6" s="1"/>
  <c r="T27" i="5"/>
  <c r="S27" i="5"/>
  <c r="R27" i="5"/>
  <c r="O27" i="5"/>
  <c r="M27" i="5"/>
  <c r="K27" i="5"/>
  <c r="I27" i="5"/>
  <c r="G27" i="5"/>
  <c r="E27" i="5"/>
  <c r="C27" i="5"/>
  <c r="S26" i="5"/>
  <c r="O26" i="5"/>
  <c r="M26" i="5"/>
  <c r="K26" i="5"/>
  <c r="I26" i="5"/>
  <c r="G26" i="5"/>
  <c r="R26" i="5" s="1"/>
  <c r="E26" i="5"/>
  <c r="C26" i="5"/>
  <c r="S25" i="5"/>
  <c r="O25" i="5"/>
  <c r="M25" i="5"/>
  <c r="K25" i="5"/>
  <c r="I25" i="5"/>
  <c r="G25" i="5"/>
  <c r="T25" i="5" s="1"/>
  <c r="E25" i="5"/>
  <c r="C25" i="5"/>
  <c r="S24" i="5"/>
  <c r="R24" i="5"/>
  <c r="O24" i="5"/>
  <c r="M24" i="5"/>
  <c r="K24" i="5"/>
  <c r="I24" i="5"/>
  <c r="G24" i="5"/>
  <c r="T24" i="5" s="1"/>
  <c r="E24" i="5"/>
  <c r="C24" i="5"/>
  <c r="S23" i="5"/>
  <c r="R23" i="5"/>
  <c r="O23" i="5"/>
  <c r="M23" i="5"/>
  <c r="K23" i="5"/>
  <c r="I23" i="5"/>
  <c r="G23" i="5"/>
  <c r="T23" i="5" s="1"/>
  <c r="E23" i="5"/>
  <c r="C23" i="5"/>
  <c r="T22" i="5"/>
  <c r="S22" i="5"/>
  <c r="O22" i="5"/>
  <c r="M22" i="5"/>
  <c r="K22" i="5"/>
  <c r="I22" i="5"/>
  <c r="G22" i="5"/>
  <c r="R22" i="5" s="1"/>
  <c r="E22" i="5"/>
  <c r="C22" i="5"/>
  <c r="T21" i="5"/>
  <c r="S21" i="5"/>
  <c r="O21" i="5"/>
  <c r="M21" i="5"/>
  <c r="K21" i="5"/>
  <c r="I21" i="5"/>
  <c r="R21" i="5" s="1"/>
  <c r="G21" i="5"/>
  <c r="E21" i="5"/>
  <c r="C21" i="5"/>
  <c r="T20" i="5"/>
  <c r="S20" i="5"/>
  <c r="O20" i="5"/>
  <c r="M20" i="5"/>
  <c r="K20" i="5"/>
  <c r="R20" i="5" s="1"/>
  <c r="I20" i="5"/>
  <c r="G20" i="5"/>
  <c r="E20" i="5"/>
  <c r="C20" i="5"/>
  <c r="T19" i="5"/>
  <c r="S19" i="5"/>
  <c r="O19" i="5"/>
  <c r="M19" i="5"/>
  <c r="K19" i="5"/>
  <c r="I19" i="5"/>
  <c r="G19" i="5"/>
  <c r="R19" i="5" s="1"/>
  <c r="E19" i="5"/>
  <c r="C19" i="5"/>
  <c r="S18" i="5"/>
  <c r="O18" i="5"/>
  <c r="M18" i="5"/>
  <c r="K18" i="5"/>
  <c r="I18" i="5"/>
  <c r="G18" i="5"/>
  <c r="T18" i="5" s="1"/>
  <c r="E18" i="5"/>
  <c r="C18" i="5"/>
  <c r="S17" i="5"/>
  <c r="R17" i="5"/>
  <c r="O17" i="5"/>
  <c r="M17" i="5"/>
  <c r="K17" i="5"/>
  <c r="I17" i="5"/>
  <c r="G17" i="5"/>
  <c r="T17" i="5" s="1"/>
  <c r="E17" i="5"/>
  <c r="C17" i="5"/>
  <c r="T16" i="5"/>
  <c r="S16" i="5"/>
  <c r="R16" i="5"/>
  <c r="O16" i="5"/>
  <c r="M16" i="5"/>
  <c r="K16" i="5"/>
  <c r="I16" i="5"/>
  <c r="G16" i="5"/>
  <c r="E16" i="5"/>
  <c r="C16" i="5"/>
  <c r="T15" i="5"/>
  <c r="S15" i="5"/>
  <c r="R15" i="5"/>
  <c r="O15" i="5"/>
  <c r="M15" i="5"/>
  <c r="K15" i="5"/>
  <c r="I15" i="5"/>
  <c r="G15" i="5"/>
  <c r="E15" i="5"/>
  <c r="C15" i="5"/>
  <c r="S14" i="5"/>
  <c r="O14" i="5"/>
  <c r="M14" i="5"/>
  <c r="K14" i="5"/>
  <c r="I14" i="5"/>
  <c r="G14" i="5"/>
  <c r="T14" i="5" s="1"/>
  <c r="E14" i="5"/>
  <c r="C14" i="5"/>
  <c r="S13" i="5"/>
  <c r="O13" i="5"/>
  <c r="M13" i="5"/>
  <c r="K13" i="5"/>
  <c r="I13" i="5"/>
  <c r="G13" i="5"/>
  <c r="T13" i="5" s="1"/>
  <c r="E13" i="5"/>
  <c r="C13" i="5"/>
  <c r="R12" i="5"/>
  <c r="O12" i="5"/>
  <c r="M12" i="5"/>
  <c r="K12" i="5"/>
  <c r="I12" i="5"/>
  <c r="G12" i="5"/>
  <c r="T12" i="5" s="1"/>
  <c r="E12" i="5"/>
  <c r="C12" i="5"/>
  <c r="S12" i="5" s="1"/>
  <c r="R11" i="5"/>
  <c r="O11" i="5"/>
  <c r="M11" i="5"/>
  <c r="K11" i="5"/>
  <c r="I11" i="5"/>
  <c r="G11" i="5"/>
  <c r="T11" i="5" s="1"/>
  <c r="E11" i="5"/>
  <c r="C11" i="5"/>
  <c r="S11" i="5" s="1"/>
  <c r="T10" i="5"/>
  <c r="O10" i="5"/>
  <c r="M10" i="5"/>
  <c r="K10" i="5"/>
  <c r="I10" i="5"/>
  <c r="G10" i="5"/>
  <c r="R10" i="5" s="1"/>
  <c r="S10" i="5" s="1"/>
  <c r="E10" i="5"/>
  <c r="C10" i="5"/>
  <c r="T9" i="5"/>
  <c r="O9" i="5"/>
  <c r="M9" i="5"/>
  <c r="K9" i="5"/>
  <c r="I9" i="5"/>
  <c r="R9" i="5" s="1"/>
  <c r="G9" i="5"/>
  <c r="E9" i="5"/>
  <c r="C9" i="5"/>
  <c r="S9" i="5" s="1"/>
  <c r="T8" i="5"/>
  <c r="O8" i="5"/>
  <c r="M8" i="5"/>
  <c r="K8" i="5"/>
  <c r="R8" i="5" s="1"/>
  <c r="S8" i="5" s="1"/>
  <c r="I8" i="5"/>
  <c r="G8" i="5"/>
  <c r="E8" i="5"/>
  <c r="C8" i="5"/>
  <c r="T7" i="5"/>
  <c r="O7" i="5"/>
  <c r="M7" i="5"/>
  <c r="K7" i="5"/>
  <c r="I7" i="5"/>
  <c r="G7" i="5"/>
  <c r="R7" i="5" s="1"/>
  <c r="E7" i="5"/>
  <c r="C7" i="5"/>
  <c r="S7" i="5" s="1"/>
  <c r="O6" i="5"/>
  <c r="M6" i="5"/>
  <c r="K6" i="5"/>
  <c r="I6" i="5"/>
  <c r="G6" i="5"/>
  <c r="T6" i="5" s="1"/>
  <c r="E6" i="5"/>
  <c r="C6" i="5"/>
  <c r="L25" i="4"/>
  <c r="S25" i="4" s="1"/>
  <c r="J25" i="4"/>
  <c r="O25" i="4" s="1"/>
  <c r="T25" i="4" s="1"/>
  <c r="I25" i="4"/>
  <c r="G25" i="4"/>
  <c r="E25" i="4"/>
  <c r="C25" i="4"/>
  <c r="L24" i="4"/>
  <c r="J24" i="4"/>
  <c r="I24" i="4"/>
  <c r="O24" i="4" s="1"/>
  <c r="T24" i="4" s="1"/>
  <c r="G24" i="4"/>
  <c r="E24" i="4"/>
  <c r="C24" i="4"/>
  <c r="L23" i="4"/>
  <c r="J23" i="4"/>
  <c r="I23" i="4"/>
  <c r="S23" i="4" s="1"/>
  <c r="G23" i="4"/>
  <c r="E23" i="4"/>
  <c r="C23" i="4"/>
  <c r="S22" i="4"/>
  <c r="L22" i="4"/>
  <c r="J22" i="4"/>
  <c r="I22" i="4"/>
  <c r="O22" i="4" s="1"/>
  <c r="T22" i="4" s="1"/>
  <c r="G22" i="4"/>
  <c r="E22" i="4"/>
  <c r="C22" i="4"/>
  <c r="S21" i="4"/>
  <c r="O21" i="4"/>
  <c r="T21" i="4" s="1"/>
  <c r="L21" i="4"/>
  <c r="J21" i="4"/>
  <c r="I21" i="4"/>
  <c r="G21" i="4"/>
  <c r="E21" i="4"/>
  <c r="C21" i="4"/>
  <c r="S20" i="4"/>
  <c r="O20" i="4"/>
  <c r="T20" i="4" s="1"/>
  <c r="L20" i="4"/>
  <c r="J20" i="4"/>
  <c r="I20" i="4"/>
  <c r="G20" i="4"/>
  <c r="E20" i="4"/>
  <c r="C20" i="4"/>
  <c r="L19" i="4"/>
  <c r="J19" i="4"/>
  <c r="I19" i="4"/>
  <c r="O19" i="4" s="1"/>
  <c r="T19" i="4" s="1"/>
  <c r="G19" i="4"/>
  <c r="S19" i="4" s="1"/>
  <c r="E19" i="4"/>
  <c r="C19" i="4"/>
  <c r="L18" i="4"/>
  <c r="J18" i="4"/>
  <c r="I18" i="4"/>
  <c r="O18" i="4" s="1"/>
  <c r="T18" i="4" s="1"/>
  <c r="G18" i="4"/>
  <c r="S18" i="4" s="1"/>
  <c r="E18" i="4"/>
  <c r="C18" i="4"/>
  <c r="L17" i="4"/>
  <c r="S17" i="4" s="1"/>
  <c r="J17" i="4"/>
  <c r="O17" i="4" s="1"/>
  <c r="T17" i="4" s="1"/>
  <c r="I17" i="4"/>
  <c r="G17" i="4"/>
  <c r="E17" i="4"/>
  <c r="C17" i="4"/>
  <c r="L16" i="4"/>
  <c r="J16" i="4"/>
  <c r="I16" i="4"/>
  <c r="S16" i="4" s="1"/>
  <c r="G16" i="4"/>
  <c r="E16" i="4"/>
  <c r="C16" i="4"/>
  <c r="L15" i="4"/>
  <c r="J15" i="4"/>
  <c r="I15" i="4"/>
  <c r="S15" i="4" s="1"/>
  <c r="G15" i="4"/>
  <c r="E15" i="4"/>
  <c r="C15" i="4"/>
  <c r="S14" i="4"/>
  <c r="L14" i="4"/>
  <c r="J14" i="4"/>
  <c r="I14" i="4"/>
  <c r="O14" i="4" s="1"/>
  <c r="T14" i="4" s="1"/>
  <c r="G14" i="4"/>
  <c r="E14" i="4"/>
  <c r="C14" i="4"/>
  <c r="S13" i="4"/>
  <c r="O13" i="4"/>
  <c r="T13" i="4" s="1"/>
  <c r="L13" i="4"/>
  <c r="J13" i="4"/>
  <c r="I13" i="4"/>
  <c r="G13" i="4"/>
  <c r="E13" i="4"/>
  <c r="C13" i="4"/>
  <c r="S12" i="4"/>
  <c r="O12" i="4"/>
  <c r="T12" i="4" s="1"/>
  <c r="L12" i="4"/>
  <c r="J12" i="4"/>
  <c r="I12" i="4"/>
  <c r="G12" i="4"/>
  <c r="E12" i="4"/>
  <c r="C12" i="4"/>
  <c r="L11" i="4"/>
  <c r="J11" i="4"/>
  <c r="I11" i="4"/>
  <c r="O11" i="4" s="1"/>
  <c r="T11" i="4" s="1"/>
  <c r="G11" i="4"/>
  <c r="S11" i="4" s="1"/>
  <c r="E11" i="4"/>
  <c r="C11" i="4"/>
  <c r="L10" i="4"/>
  <c r="J10" i="4"/>
  <c r="I10" i="4"/>
  <c r="O10" i="4" s="1"/>
  <c r="G10" i="4"/>
  <c r="S10" i="4" s="1"/>
  <c r="E10" i="4"/>
  <c r="C10" i="4"/>
  <c r="L9" i="4"/>
  <c r="S9" i="4" s="1"/>
  <c r="J9" i="4"/>
  <c r="O9" i="4" s="1"/>
  <c r="T9" i="4" s="1"/>
  <c r="I9" i="4"/>
  <c r="G9" i="4"/>
  <c r="E9" i="4"/>
  <c r="C9" i="4"/>
  <c r="L8" i="4"/>
  <c r="J8" i="4"/>
  <c r="I8" i="4"/>
  <c r="S8" i="4" s="1"/>
  <c r="G8" i="4"/>
  <c r="E8" i="4"/>
  <c r="C8" i="4"/>
  <c r="L7" i="4"/>
  <c r="J7" i="4"/>
  <c r="I7" i="4"/>
  <c r="S7" i="4" s="1"/>
  <c r="G7" i="4"/>
  <c r="E7" i="4"/>
  <c r="C7" i="4"/>
  <c r="S6" i="4"/>
  <c r="L6" i="4"/>
  <c r="J6" i="4"/>
  <c r="I6" i="4"/>
  <c r="O6" i="4" s="1"/>
  <c r="T6" i="4" s="1"/>
  <c r="G6" i="4"/>
  <c r="E6" i="4"/>
  <c r="C6" i="4"/>
  <c r="R27" i="3"/>
  <c r="O27" i="3"/>
  <c r="S27" i="3" s="1"/>
  <c r="L27" i="3"/>
  <c r="J27" i="3"/>
  <c r="I27" i="3"/>
  <c r="G27" i="3"/>
  <c r="E27" i="3"/>
  <c r="C27" i="3"/>
  <c r="R26" i="3"/>
  <c r="O26" i="3"/>
  <c r="S26" i="3" s="1"/>
  <c r="L26" i="3"/>
  <c r="J26" i="3"/>
  <c r="I26" i="3"/>
  <c r="G26" i="3"/>
  <c r="E26" i="3"/>
  <c r="C26" i="3"/>
  <c r="L25" i="3"/>
  <c r="J25" i="3"/>
  <c r="I25" i="3"/>
  <c r="O25" i="3" s="1"/>
  <c r="S25" i="3" s="1"/>
  <c r="G25" i="3"/>
  <c r="R25" i="3" s="1"/>
  <c r="E25" i="3"/>
  <c r="C25" i="3"/>
  <c r="L24" i="3"/>
  <c r="J24" i="3"/>
  <c r="I24" i="3"/>
  <c r="O24" i="3" s="1"/>
  <c r="S24" i="3" s="1"/>
  <c r="G24" i="3"/>
  <c r="R24" i="3" s="1"/>
  <c r="E24" i="3"/>
  <c r="C24" i="3"/>
  <c r="L23" i="3"/>
  <c r="R23" i="3" s="1"/>
  <c r="J23" i="3"/>
  <c r="O23" i="3" s="1"/>
  <c r="S23" i="3" s="1"/>
  <c r="I23" i="3"/>
  <c r="G23" i="3"/>
  <c r="E23" i="3"/>
  <c r="C23" i="3"/>
  <c r="L22" i="3"/>
  <c r="J22" i="3"/>
  <c r="I22" i="3"/>
  <c r="R22" i="3" s="1"/>
  <c r="G22" i="3"/>
  <c r="E22" i="3"/>
  <c r="C22" i="3"/>
  <c r="L21" i="3"/>
  <c r="J21" i="3"/>
  <c r="I21" i="3"/>
  <c r="R21" i="3" s="1"/>
  <c r="G21" i="3"/>
  <c r="E21" i="3"/>
  <c r="C21" i="3"/>
  <c r="R20" i="3"/>
  <c r="L20" i="3"/>
  <c r="J20" i="3"/>
  <c r="I20" i="3"/>
  <c r="O20" i="3" s="1"/>
  <c r="S20" i="3" s="1"/>
  <c r="G20" i="3"/>
  <c r="E20" i="3"/>
  <c r="C20" i="3"/>
  <c r="R19" i="3"/>
  <c r="O19" i="3"/>
  <c r="S19" i="3" s="1"/>
  <c r="L19" i="3"/>
  <c r="J19" i="3"/>
  <c r="I19" i="3"/>
  <c r="G19" i="3"/>
  <c r="E19" i="3"/>
  <c r="C19" i="3"/>
  <c r="R18" i="3"/>
  <c r="O18" i="3"/>
  <c r="S18" i="3" s="1"/>
  <c r="L18" i="3"/>
  <c r="J18" i="3"/>
  <c r="I18" i="3"/>
  <c r="G18" i="3"/>
  <c r="E18" i="3"/>
  <c r="C18" i="3"/>
  <c r="L17" i="3"/>
  <c r="J17" i="3"/>
  <c r="I17" i="3"/>
  <c r="O17" i="3" s="1"/>
  <c r="S17" i="3" s="1"/>
  <c r="G17" i="3"/>
  <c r="R17" i="3" s="1"/>
  <c r="E17" i="3"/>
  <c r="C17" i="3"/>
  <c r="L16" i="3"/>
  <c r="J16" i="3"/>
  <c r="I16" i="3"/>
  <c r="O16" i="3" s="1"/>
  <c r="S16" i="3" s="1"/>
  <c r="G16" i="3"/>
  <c r="R16" i="3" s="1"/>
  <c r="E16" i="3"/>
  <c r="C16" i="3"/>
  <c r="L15" i="3"/>
  <c r="R15" i="3" s="1"/>
  <c r="J15" i="3"/>
  <c r="O15" i="3" s="1"/>
  <c r="S15" i="3" s="1"/>
  <c r="I15" i="3"/>
  <c r="G15" i="3"/>
  <c r="E15" i="3"/>
  <c r="C15" i="3"/>
  <c r="L14" i="3"/>
  <c r="J14" i="3"/>
  <c r="I14" i="3"/>
  <c r="O14" i="3" s="1"/>
  <c r="S14" i="3" s="1"/>
  <c r="G14" i="3"/>
  <c r="E14" i="3"/>
  <c r="C14" i="3"/>
  <c r="L13" i="3"/>
  <c r="J13" i="3"/>
  <c r="I13" i="3"/>
  <c r="R13" i="3" s="1"/>
  <c r="G13" i="3"/>
  <c r="E13" i="3"/>
  <c r="C13" i="3"/>
  <c r="R12" i="3"/>
  <c r="L12" i="3"/>
  <c r="J12" i="3"/>
  <c r="I12" i="3"/>
  <c r="O12" i="3" s="1"/>
  <c r="S12" i="3" s="1"/>
  <c r="G12" i="3"/>
  <c r="E12" i="3"/>
  <c r="C12" i="3"/>
  <c r="R11" i="3"/>
  <c r="O11" i="3"/>
  <c r="S11" i="3" s="1"/>
  <c r="L11" i="3"/>
  <c r="J11" i="3"/>
  <c r="I11" i="3"/>
  <c r="G11" i="3"/>
  <c r="E11" i="3"/>
  <c r="C11" i="3"/>
  <c r="R10" i="3"/>
  <c r="O10" i="3"/>
  <c r="S10" i="3" s="1"/>
  <c r="L10" i="3"/>
  <c r="J10" i="3"/>
  <c r="I10" i="3"/>
  <c r="G10" i="3"/>
  <c r="E10" i="3"/>
  <c r="C10" i="3"/>
  <c r="L9" i="3"/>
  <c r="J9" i="3"/>
  <c r="I9" i="3"/>
  <c r="O9" i="3" s="1"/>
  <c r="G9" i="3"/>
  <c r="R9" i="3" s="1"/>
  <c r="E9" i="3"/>
  <c r="C9" i="3"/>
  <c r="L8" i="3"/>
  <c r="J8" i="3"/>
  <c r="I8" i="3"/>
  <c r="O8" i="3" s="1"/>
  <c r="G8" i="3"/>
  <c r="R8" i="3" s="1"/>
  <c r="E8" i="3"/>
  <c r="C8" i="3"/>
  <c r="L7" i="3"/>
  <c r="R7" i="3" s="1"/>
  <c r="J7" i="3"/>
  <c r="O7" i="3" s="1"/>
  <c r="S7" i="3" s="1"/>
  <c r="I7" i="3"/>
  <c r="G7" i="3"/>
  <c r="E7" i="3"/>
  <c r="C7" i="3"/>
  <c r="L6" i="3"/>
  <c r="J6" i="3"/>
  <c r="I6" i="3"/>
  <c r="R6" i="3" s="1"/>
  <c r="G6" i="3"/>
  <c r="E6" i="3"/>
  <c r="C6" i="3"/>
  <c r="W14" i="7"/>
  <c r="W13" i="7"/>
  <c r="T10" i="4" l="1"/>
  <c r="S9" i="3"/>
  <c r="S6" i="9"/>
  <c r="S8" i="3"/>
  <c r="S11" i="6"/>
  <c r="O13" i="3"/>
  <c r="S13" i="3" s="1"/>
  <c r="O21" i="3"/>
  <c r="S21" i="3" s="1"/>
  <c r="O7" i="4"/>
  <c r="T7" i="4" s="1"/>
  <c r="O15" i="4"/>
  <c r="T15" i="4" s="1"/>
  <c r="O23" i="4"/>
  <c r="T23" i="4" s="1"/>
  <c r="R13" i="5"/>
  <c r="R25" i="5"/>
  <c r="R15" i="6"/>
  <c r="R27" i="6"/>
  <c r="R9" i="8"/>
  <c r="S9" i="8" s="1"/>
  <c r="R21" i="8"/>
  <c r="R12" i="9"/>
  <c r="S12" i="9" s="1"/>
  <c r="R24" i="9"/>
  <c r="R6" i="5"/>
  <c r="S6" i="5" s="1"/>
  <c r="R18" i="5"/>
  <c r="R8" i="6"/>
  <c r="S8" i="6" s="1"/>
  <c r="R20" i="6"/>
  <c r="R14" i="8"/>
  <c r="R26" i="8"/>
  <c r="R17" i="9"/>
  <c r="O22" i="3"/>
  <c r="S22" i="3" s="1"/>
  <c r="S24" i="4"/>
  <c r="R28" i="6"/>
  <c r="O6" i="3"/>
  <c r="S6" i="3" s="1"/>
  <c r="O8" i="4"/>
  <c r="T8" i="4" s="1"/>
  <c r="O16" i="4"/>
  <c r="T16" i="4" s="1"/>
  <c r="R14" i="3"/>
  <c r="R14" i="5"/>
  <c r="R16" i="6"/>
  <c r="R22" i="8"/>
  <c r="R13" i="9"/>
  <c r="S13" i="9" s="1"/>
  <c r="T26" i="5"/>
  <c r="T10" i="8"/>
  <c r="T25" i="9"/>
  <c r="R23" i="9"/>
  <c r="R28" i="9"/>
</calcChain>
</file>

<file path=xl/sharedStrings.xml><?xml version="1.0" encoding="utf-8"?>
<sst xmlns="http://schemas.openxmlformats.org/spreadsheetml/2006/main" count="1144" uniqueCount="500">
  <si>
    <t>Naming classification-Structural Families — principi generali</t>
  </si>
  <si>
    <t>Questo file raccoglie la nomenclatura delle famiglie strutturali Revit adottata dal dipartimento, e a differenza degli altri due tiene insieme famiglie di sistema e famiglie caricabili. Il motivo è che la fondazione sta a cavallo del confine: la platea e la trave rovescia sono famiglie di sistema, i plinti e i pali sono caricabili, ma per chi progetta sono un unico argomento e si guardano insieme. Le prime due schede compongono quindi il nome del tipo, Type Mark compreso, le altre cinque il nome della famiglia; le linguette sono colorate di conseguenza. Il funzionamento è quello di sempre: si apre la scheda della categoria, si compilano i menu a tendina e il nome esce già formato nella colonna evidenziata, con in fondo le note e le regole di compilazione colonna per colonna. Le tabelle che alimentano i menu stanno nel foglio DV e sono modificabili.</t>
  </si>
  <si>
    <t>Un solo foglio, due metà</t>
  </si>
  <si>
    <t>Vale per tutte le schede.</t>
  </si>
  <si>
    <t>Le sette schede non generano tutte la stessa cosa, e conviene tenerlo presente prima di aprirne una. Su 01_FS e 02_FW il generatore compone il nome del TIPO, esattamente come nel foglio System Families. Dalla 03_FI alla 07_CN compone invece il nome della FAMIGLIA, cioè del file .rfa, e il nome dei singoli tipi si scrive a mano seguendo la regola della sezione 4.</t>
  </si>
  <si>
    <t xml:space="preserve">  Famiglie di sistema</t>
  </si>
  <si>
    <t>01_FS Foundation Slabs, 02_FW Wall Foundations.</t>
  </si>
  <si>
    <t xml:space="preserve">  Famiglie caricabili</t>
  </si>
  <si>
    <t>03_FI Isolated Foundations, 04_SC Structural Columns, 05_FR Structural Framing, 06_TR Trusses, 07_CN Connections.</t>
  </si>
  <si>
    <t>Il nome del tipo — famiglie di sistema</t>
  </si>
  <si>
    <t>Vale solo per le famiglie di sistema: 01_FS e 02_FW.</t>
  </si>
  <si>
    <t>Author _ TypeMark _ [(I)]Categoria.Group1.Group2 _ dimensioni _ [Descrizione]</t>
  </si>
  <si>
    <t>L’impianto è identico a quello del foglio System Families: cambia solo il blocco dimensionale, che è lo spessore in mm sulla platea e larghezza per spessore sulla fondazione continua. Il Type Mark si compone da sé — codice categoria, prima cifra del Group1, due cifre progressive — e diventa manuale quando il Group1 vale Other.</t>
  </si>
  <si>
    <t>e_FS-101_FS.CN.MT_T800          e_FW-101_FW.CN.BR_1000x400</t>
  </si>
  <si>
    <t>Il nome della famiglia — famiglie caricabili</t>
  </si>
  <si>
    <t>Vale solo per le famiglie caricabili: dalla 03_FI alla 07_CN.</t>
  </si>
  <si>
    <t>Author _ [(I)]Categoria.Group1.Group2 _ [Use] _ [Family role] _ [Custom] _ [Manufacturer] _ [Descrizione]</t>
  </si>
  <si>
    <t>I primi due blocchi ci sono sempre. Tutto quello che sta fra parentesi quadre compare solo se compilato, e il campo Use esiste solo su 05_FR. Il separatore è sempre il carattere di sottolineatura, anche davanti ai blocchi opzionali. Quello che il nome della famiglia non contiene mai sono il Type Mark e le dimensioni: su una sezione laminata il nome finisce dopo tre codici.</t>
  </si>
  <si>
    <t>e_SC.ST.IS          e_CN.ST.BP_CM_Peikko          e_FR.OT.SH_SK_CT_BattiscopaLegno</t>
  </si>
  <si>
    <t>Il nome del tipo — famiglie caricabili</t>
  </si>
  <si>
    <t>TypeMark _ designazione o misure _ [Descrizione]</t>
  </si>
  <si>
    <t>Il Type Mark è fatto di codice categoria, prima cifra del Group1 e due cifre progressive: SC-301 è il primo pilastro in acciaio. Della famiglia resta costante solo la prima cifra, che dipende dal materiale; il progressivo cambia a ogni tipo ed è unico dentro la coppia categoria + prima cifra, quindi due famiglie con lo stesso materiale proseguono la stessa numerazione invece di ripartire da 01. Nessuna scheda genera questi nomi: si scrivono a mano quando si duplica un tipo, e la colonna Type name (example) del generatore ne riporta il modello calcolato sulla riga.</t>
  </si>
  <si>
    <t>Il blocco dimensionale segue una sola regola: se la sezione ha una designazione normalizzata si usa quella e nient’altro, perché è il nome con cui l’elemento esiste nel capitolato, nel computo e nel calcolo. Le misure si scrivono solo quando una designazione non esiste.</t>
  </si>
  <si>
    <t xml:space="preserve">  Designazione</t>
  </si>
  <si>
    <t>SC-301_HEA200 · FR-301_IPE400 · FR-301_UPN160 · FR-301_L80x80x8 · FR-301_RHS200x100x8</t>
  </si>
  <si>
    <t xml:space="preserve">  Misure in mm</t>
  </si>
  <si>
    <t>FR-101_300x600 · SC-101_400x400. Sezione circolare → D + solo il diametro: SC-101_D500.</t>
  </si>
  <si>
    <t xml:space="preserve">  Capriate</t>
  </si>
  <si>
    <t>TR-301_H1500. Solo l’altezza: la luce la decide la linea di disegno ed è un dato d’istanza.</t>
  </si>
  <si>
    <t xml:space="preserve">  Nodi</t>
  </si>
  <si>
    <t>CN-301_400x400x20, oppure la sigla di catalogo quando c’è: CN-301_HPKM20.</t>
  </si>
  <si>
    <t xml:space="preserve">  Con Use compilato</t>
  </si>
  <si>
    <t>Il prefisso è il codice del suffisso: SK-001_60x15 · BH-001_300x400.</t>
  </si>
  <si>
    <t>Il marcatore (I): gli elementi modellati in place</t>
  </si>
  <si>
    <t>Un elemento modellato in place non è né una famiglia caricata da una libreria né un tipo di una famiglia di sistema: si costruisce dentro il progetto, non si riusa altrove e in abaco si confonde con gli elementi veri se il nome non lo dichiara. Capita spesso sulle strutture — un getto fuori standard, un rinforzo su misura, un nodo disegnato in opera.</t>
  </si>
  <si>
    <t>Il marcatore è la sigla (I), parentesi comprese, attaccata al codice di categoria senza nessun separatore. È l’unico blocco del nome che non è preceduto da un carattere di sottolineatura, ed è voluto: (I) non è un blocco a sé, è un prefisso della categoria.</t>
  </si>
  <si>
    <t>e_FS-101_(I)FS.CN.MT_T800          platea gettata in place</t>
  </si>
  <si>
    <t>e_(I)FR.CN.RC                      trave gettata in place</t>
  </si>
  <si>
    <t xml:space="preserve">  Dove si compila</t>
  </si>
  <si>
    <t>Colonna In Place, subito prima della categoria in ogni scheda generatore. Un solo valore in tendina; la cella vuota è il caso normale.</t>
  </si>
  <si>
    <t xml:space="preserve">  Cosa NON cambia</t>
  </si>
  <si>
    <t>Tutto il resto del nome. Anche un elemento in place ha un materiale, una forma e — sulle schede di sistema — un Type Mark e un blocco dimensionale.</t>
  </si>
  <si>
    <t xml:space="preserve">  Perché serve</t>
  </si>
  <si>
    <t>Gli elementi in place non si riusano e pesano sul modello. Con il marcatore in testa alla terna si isolano in abaco filtrando i nomi che contengono (I).</t>
  </si>
  <si>
    <t>Group1 — il materiale</t>
  </si>
  <si>
    <t>Su questo file il Group1 non dice come è costruito l’elemento ma di che materiale è, ed è l’unica tabella condivisa da tutte e sette le schede. La ragione è che il materiale determina il template della famiglia, i parametri, il comportamento analitico e il modo in cui si cerca in libreria: calcestruzzo, acciaio e legno non sono tre finiture dello stesso oggetto, sono tre famiglie diverse.</t>
  </si>
  <si>
    <t>GN 0xx   CN 1xx   PC 2xx   ST 3xx   TM 4xx   MS 5xx   CP 6xx   AL 7xx   OT 9xx</t>
  </si>
  <si>
    <t>La prima cifra del Type Mark viene da qui. Generic vale quando il materiale non è ancora deciso, Other per ciò che resta fuori elenco e obbliga a scrivere il Type Mark a mano. La casella 8xx è libera. Su fondazioni e nodi molte voci non si useranno mai — una platea in legno non esiste — ma il menu resta lo stesso ovunque: costa una tendina un po’ lunga e fa risparmiare sei tabelle da tenere allineate.</t>
  </si>
  <si>
    <t>Group2 — la forma o il tipo</t>
  </si>
  <si>
    <t>Il Group2 cambia significato da una scheda all’altra, e il significato è dichiarato in cima alla sua tabella e ripetuto nelle regole di compilazione. Su pilastri e travi è la forma della sezione, sulle fondazioni il tipo di fondazione, sulle capriate la geometria del traliccio, sui nodi che nodo è. Non è mai il ruolo strutturale.</t>
  </si>
  <si>
    <t xml:space="preserve">  Pilastri e travi</t>
  </si>
  <si>
    <t>Le travi hanno le stesse forme dei pilastri più cinque che esistono solo su di loro: tegolo TT, T rovescia, trave a L, altezza variabile, sagomata.</t>
  </si>
  <si>
    <t xml:space="preserve">  Perché non il ruolo</t>
  </si>
  <si>
    <t>Structural Usage — Girder, Joist, Purlin, Bracing — è un parametro d’istanza: la stessa IPE300 è trave principale in un punto e arcareccio in un altro.</t>
  </si>
  <si>
    <t>Il campo Use — gli usi non strutturali della categoria</t>
  </si>
  <si>
    <t>Vale solo per 05_FR Structural Framing.</t>
  </si>
  <si>
    <t>Capita di modellare con Structural Framing cose che non portano nulla, perché sono profili estesi lungo un percorso e si computano a metro lineare. In quei casi il Group1 vale Other, si compila il campo Use e il Type Mark del tipo si scrive a mano prendendo il codice del suffisso come prefisso. Il meccanismo è lo stesso delle finiture nel foglio System Families, e il vantaggio è che tutti i battiscopa del modello si isolano in abaco filtrando sul prefisso.</t>
  </si>
  <si>
    <t xml:space="preserve">  SK  Skirting &amp; trim</t>
  </si>
  <si>
    <t>Battiscopa, cornici, modanature, marcapiani, cordoli. Type Mark SK-001, SK-002…</t>
  </si>
  <si>
    <t xml:space="preserve">  BH  Bulkhead</t>
  </si>
  <si>
    <t>Velette, travi finte in cartongesso, ribassamenti lineari. Type Mark BH-001, BH-002…</t>
  </si>
  <si>
    <t xml:space="preserve">  Group2</t>
  </si>
  <si>
    <t>Sempre SH Shaped: la forma della sezione non ha niente da dire, e quello che serve lo dice la Descrizione.</t>
  </si>
  <si>
    <t xml:space="preserve">  Cosa NON va qui</t>
  </si>
  <si>
    <t>Corrimano e parapetti hanno la loro categoria: schede 12_HR e 04_RL del foglio System Families. Le colonne decorative sono Generic Model. I frangisole e le passerelle in acciaio sono acciaio davvero, quindi Group1 = ST e nessun Use.</t>
  </si>
  <si>
    <t>Family role, Custom e Manufacturer</t>
  </si>
  <si>
    <t>Sono i tre campi che arrivano tali e quali dal foglio Loadable Families, e lasciarli tutti vuoti descrive il caso ordinario: una famiglia completa e autonoma che corrisponde a un profilo o a un prodotto di mercato. Sulle due schede di sistema non ci sono, per la stessa ragione per cui non ci sono nel foglio System Families: una famiglia di sistema non si carica da una libreria e non ha un produttore.</t>
  </si>
  <si>
    <t xml:space="preserve">  CM  Component</t>
  </si>
  <si>
    <t>Componente minore, destinato a essere annidato dentro un’altra famiglia. Sui nodi è il caso normale, non l’eccezione.</t>
  </si>
  <si>
    <t xml:space="preserve">  SY  Symbolic</t>
  </si>
  <si>
    <t>Famiglia che contiene un simbolo, non la geometria reale.</t>
  </si>
  <si>
    <t xml:space="preserve">  CT  Custom</t>
  </si>
  <si>
    <t>Sezione o elemento disegnato su misura, non corrispondente a un profilo di normativa o a un prodotto di mercato.</t>
  </si>
  <si>
    <t xml:space="preserve">  Manufacturer</t>
  </si>
  <si>
    <t>Azienda produttrice, campo libero senza spazi. Non compatibile con Custom, e il generatore lo verifica. Lavora davvero solo su 07_CN e sui prefabbricati.</t>
  </si>
  <si>
    <t>Non è previsto un blocco Brand: il marchio del cliente non arriva a specificare una trave.</t>
  </si>
  <si>
    <t>Cosa resta fuori dal nome</t>
  </si>
  <si>
    <t>Tre cose che verrebbe naturale mettere nel nome e che invece non ci vanno, ognuna per un motivo diverso.</t>
  </si>
  <si>
    <t xml:space="preserve">  Il LOD</t>
  </si>
  <si>
    <t>È una proprietà della famiglia e resta un suo parametro, dove peraltro è più utile perché si filtra.</t>
  </si>
  <si>
    <t xml:space="preserve">  La resistenza al fuoco</t>
  </si>
  <si>
    <t>Resta nel parametro FireRating. Su una sezione in acciaio la R non dipende dalla sezione ma dalla protezione applicata: nel nome della famiglia sarebbe falsa, e nel nome del tipo diventerebbe sbagliata appena cambia la vernice intumescente. Sulle fondazioni non si pone.</t>
  </si>
  <si>
    <t xml:space="preserve">  Parametri d’istanza</t>
  </si>
  <si>
    <t>Structural Usage e la luce delle capriate. La luce la decide la linea di disegno: nel nome del tipo va solo l’altezza.</t>
  </si>
  <si>
    <t>Come si usa un foglio Generatore</t>
  </si>
  <si>
    <t>Le celle chiare sono da compilare, quelle grigie si calcolano da sole. Le prime righe di ogni generatore sono esempi già compilati, in corsivo, e si possono sovrascrivere senza problemi.</t>
  </si>
  <si>
    <t>Un solo campo è condizionale: Use si accende soltanto quando il Group1 vale Other, e finché non lo vale la cella resta grigia e il menu si apre vuoto. Sulle due schede di sistema è invece il Type Mark manuale a comportarsi così.</t>
  </si>
  <si>
    <t>Modificare le tabelle</t>
  </si>
  <si>
    <t>Le tabelle del foglio DV sono entità Tabella di Excel e in quanto tali modificabili: aggiungere o togliere una riga si riflette subito sui menu di tutti i generatori. Due avvertenze. I codici già in uso nei modelli non vanno cambiati, perché romperebbero i nomi già assegnati. E il Group1 è una tabella sola per tutte e sette le schede, quindi una modifica ai materiali vale ovunque.</t>
  </si>
  <si>
    <t>Tabelle condivise</t>
  </si>
  <si>
    <t>Author_Code</t>
  </si>
  <si>
    <t>Author</t>
  </si>
  <si>
    <t>STR_Group1_Code</t>
  </si>
  <si>
    <t>STR_Group1</t>
  </si>
  <si>
    <t>STR_Group1_ITA</t>
  </si>
  <si>
    <t>TM Code</t>
  </si>
  <si>
    <t>Role_Code</t>
  </si>
  <si>
    <t>Role_Name</t>
  </si>
  <si>
    <t>Role_ITA</t>
  </si>
  <si>
    <t>e</t>
  </si>
  <si>
    <t>ESA - Engineering</t>
  </si>
  <si>
    <t>GN</t>
  </si>
  <si>
    <t>Generic</t>
  </si>
  <si>
    <t>Materiale non ancora deciso. Diverso da Other.</t>
  </si>
  <si>
    <t>0xx</t>
  </si>
  <si>
    <t>CM</t>
  </si>
  <si>
    <t>Component</t>
  </si>
  <si>
    <t>Componente minore, destinato a essere annidato dentro un’altra famiglia</t>
  </si>
  <si>
    <t>CN</t>
  </si>
  <si>
    <t>Cast-in-place concrete</t>
  </si>
  <si>
    <t>Calcestruzzo armato gettato in opera</t>
  </si>
  <si>
    <t>1xx</t>
  </si>
  <si>
    <t>SY</t>
  </si>
  <si>
    <t>Symbolic</t>
  </si>
  <si>
    <t>Famiglia che contiene un simbolo, non la geometria reale</t>
  </si>
  <si>
    <t>Marcatore In Place — vale su tutte e sette le schede. Cella vuota = caso normale.</t>
  </si>
  <si>
    <t>PC</t>
  </si>
  <si>
    <t>Precast concrete</t>
  </si>
  <si>
    <t>Calcestruzzo prefabbricato, anche precompresso</t>
  </si>
  <si>
    <t>2xx</t>
  </si>
  <si>
    <t>InPl_Code</t>
  </si>
  <si>
    <t>InPl_Name</t>
  </si>
  <si>
    <t>ST</t>
  </si>
  <si>
    <t>Steel</t>
  </si>
  <si>
    <t>Acciaio da carpenteria, laminato o composto</t>
  </si>
  <si>
    <t>3xx</t>
  </si>
  <si>
    <t>Cst_Code</t>
  </si>
  <si>
    <t>Cst_Name</t>
  </si>
  <si>
    <t>Cst_ITA</t>
  </si>
  <si>
    <t>(I)</t>
  </si>
  <si>
    <t>In Place</t>
  </si>
  <si>
    <t>TM</t>
  </si>
  <si>
    <t>Timber</t>
  </si>
  <si>
    <t>Legno massiccio, lamellare, XLAM</t>
  </si>
  <si>
    <t>4xx</t>
  </si>
  <si>
    <t>CT</t>
  </si>
  <si>
    <t>Custom</t>
  </si>
  <si>
    <t>Realizzata su misura, non corrispondente a un profilo o a un prodotto di mercato</t>
  </si>
  <si>
    <t>MS</t>
  </si>
  <si>
    <t>Masonry</t>
  </si>
  <si>
    <t>Muratura portante, architravi e archi in muratura</t>
  </si>
  <si>
    <t>5xx</t>
  </si>
  <si>
    <t>CP</t>
  </si>
  <si>
    <t>Composite</t>
  </si>
  <si>
    <t>Sezione mista acciaio-calcestruzzo</t>
  </si>
  <si>
    <t>6xx</t>
  </si>
  <si>
    <t>Use_Code</t>
  </si>
  <si>
    <t>Use_Name</t>
  </si>
  <si>
    <t>Use_ITA</t>
  </si>
  <si>
    <t>AL</t>
  </si>
  <si>
    <t>Aluminium</t>
  </si>
  <si>
    <t>Alluminio strutturale</t>
  </si>
  <si>
    <t>7xx</t>
  </si>
  <si>
    <t>SK</t>
  </si>
  <si>
    <t>Skirting &amp; trim</t>
  </si>
  <si>
    <t>Battiscopa, cornici, modanature, marcapiani, cordoli: profilo esteso lungo un percorso</t>
  </si>
  <si>
    <t>OT</t>
  </si>
  <si>
    <t>Other</t>
  </si>
  <si>
    <t>Fuori elenco, oppure uso non strutturale della categoria. Type Mark interamente manuale.</t>
  </si>
  <si>
    <t>9xx</t>
  </si>
  <si>
    <t>BH</t>
  </si>
  <si>
    <t>Bulkhead</t>
  </si>
  <si>
    <t>Velette, travi finte, ribassamenti lineari: forma di trave, natura di finitura</t>
  </si>
  <si>
    <t>Uso non strutturale della categoria — solo 05_FR. Obbliga Group1 = Other e sblocca il Type Mark manuale, che prende il codice come prefisso: SK-001, BH-001.</t>
  </si>
  <si>
    <t>Group1 unico per tutte e sette le schede: la prima cifra del Type Mark viene da qui. La casella 8xx è libera.</t>
  </si>
  <si>
    <t>01_FS  ·  Foundation Slabs</t>
  </si>
  <si>
    <t>FS_Category_Code</t>
  </si>
  <si>
    <t>FS_Category</t>
  </si>
  <si>
    <t>FS_Group2_Code</t>
  </si>
  <si>
    <t>FS_Group2</t>
  </si>
  <si>
    <t>FS_Group2_ITA</t>
  </si>
  <si>
    <t>FS</t>
  </si>
  <si>
    <t>Foundation Slab</t>
  </si>
  <si>
    <t>MT</t>
  </si>
  <si>
    <t>Mat / raft</t>
  </si>
  <si>
    <t>Platea di fondazione</t>
  </si>
  <si>
    <t>GB</t>
  </si>
  <si>
    <t>Ground bearing</t>
  </si>
  <si>
    <t>Soletta contro terra non portante</t>
  </si>
  <si>
    <t>VC</t>
  </si>
  <si>
    <t>Ventilated</t>
  </si>
  <si>
    <t>Vespaio areato, igloo</t>
  </si>
  <si>
    <t>BL</t>
  </si>
  <si>
    <t>Blinding</t>
  </si>
  <si>
    <t>Magrone di sottofondazione</t>
  </si>
  <si>
    <t>TH</t>
  </si>
  <si>
    <t>Thickening</t>
  </si>
  <si>
    <t>Ispessimento locale, ringrosso</t>
  </si>
  <si>
    <t>Ruolo non ancora deciso</t>
  </si>
  <si>
    <t>Nessuna delle precedenti</t>
  </si>
  <si>
    <t>02_FW  ·  Wall Foundations</t>
  </si>
  <si>
    <t>FW_Category_Code</t>
  </si>
  <si>
    <t>FW_Category</t>
  </si>
  <si>
    <t>FW_Group2_Code</t>
  </si>
  <si>
    <t>FW_Group2</t>
  </si>
  <si>
    <t>FW_Group2_ITA</t>
  </si>
  <si>
    <t>FW</t>
  </si>
  <si>
    <t>Wall Foundation</t>
  </si>
  <si>
    <t>BR</t>
  </si>
  <si>
    <t>Bearing</t>
  </si>
  <si>
    <t>Fondazione continua portante, trave rovescia</t>
  </si>
  <si>
    <t>RT</t>
  </si>
  <si>
    <t>Retaining</t>
  </si>
  <si>
    <t>Fondazione di muro di sostegno, con mensola</t>
  </si>
  <si>
    <t>03_FI  ·  Isolated Foundations</t>
  </si>
  <si>
    <t>FI_Category_Code</t>
  </si>
  <si>
    <t>FI_Category</t>
  </si>
  <si>
    <t>FI_Group2_Code</t>
  </si>
  <si>
    <t>FI_Group2</t>
  </si>
  <si>
    <t>FI_Group2_ITA</t>
  </si>
  <si>
    <t>FI</t>
  </si>
  <si>
    <t>Structural Foundation</t>
  </si>
  <si>
    <t>PD</t>
  </si>
  <si>
    <t>Pad footing</t>
  </si>
  <si>
    <t>Plinto</t>
  </si>
  <si>
    <t>CB</t>
  </si>
  <si>
    <t>Combined footing</t>
  </si>
  <si>
    <t>Plinto combinato su più pilastri</t>
  </si>
  <si>
    <t>PL</t>
  </si>
  <si>
    <t>Pile</t>
  </si>
  <si>
    <t>Palo</t>
  </si>
  <si>
    <t>MP</t>
  </si>
  <si>
    <t>Micropile</t>
  </si>
  <si>
    <t>Micropalo</t>
  </si>
  <si>
    <t>PK</t>
  </si>
  <si>
    <t>Pile cap</t>
  </si>
  <si>
    <t>Plinto su pali</t>
  </si>
  <si>
    <t>CA</t>
  </si>
  <si>
    <t>Caisson</t>
  </si>
  <si>
    <t>Pozzo di fondazione</t>
  </si>
  <si>
    <t>Tipo non ancora deciso</t>
  </si>
  <si>
    <t>04_SC  ·  Structural Columns</t>
  </si>
  <si>
    <t>SC_Category_Code</t>
  </si>
  <si>
    <t>SC_Category</t>
  </si>
  <si>
    <t>SC_Group2_Code</t>
  </si>
  <si>
    <t>SC_Group2</t>
  </si>
  <si>
    <t>SC_Group2_ITA</t>
  </si>
  <si>
    <t>SC</t>
  </si>
  <si>
    <t>Structural Column</t>
  </si>
  <si>
    <t>RC</t>
  </si>
  <si>
    <t>Rectangular</t>
  </si>
  <si>
    <t>Rettangolare e quadrata</t>
  </si>
  <si>
    <t>CR</t>
  </si>
  <si>
    <t>Circular</t>
  </si>
  <si>
    <t>Circolare piena</t>
  </si>
  <si>
    <t>IS</t>
  </si>
  <si>
    <t>I / H section</t>
  </si>
  <si>
    <t>Doppio T: HEA, HEB, HEM, IPE</t>
  </si>
  <si>
    <t>HS</t>
  </si>
  <si>
    <t>Hollow section</t>
  </si>
  <si>
    <t>Tubolare quadro, rettangolare o tondo</t>
  </si>
  <si>
    <t>CH</t>
  </si>
  <si>
    <t>Channel</t>
  </si>
  <si>
    <t>A U: UPN, UPE</t>
  </si>
  <si>
    <t>AN</t>
  </si>
  <si>
    <t>Angle</t>
  </si>
  <si>
    <t>Ad L, semplice o accoppiata</t>
  </si>
  <si>
    <t>BU</t>
  </si>
  <si>
    <t>Built-up</t>
  </si>
  <si>
    <t>Composta saldata o calastrellata</t>
  </si>
  <si>
    <t>CF</t>
  </si>
  <si>
    <t>Cruciform</t>
  </si>
  <si>
    <t>A croce, profili composti</t>
  </si>
  <si>
    <t>TP</t>
  </si>
  <si>
    <t>Tapered</t>
  </si>
  <si>
    <t>Rastremata</t>
  </si>
  <si>
    <t>Sezione non ancora decisa</t>
  </si>
  <si>
    <t>05_FR  ·  Structural Framing</t>
  </si>
  <si>
    <t>FR_Category_Code</t>
  </si>
  <si>
    <t>FR_Category</t>
  </si>
  <si>
    <t>FR_Group2_Code</t>
  </si>
  <si>
    <t>FR_Group2</t>
  </si>
  <si>
    <t>FR_Group2_ITA</t>
  </si>
  <si>
    <t>FR</t>
  </si>
  <si>
    <t>Structural Framing</t>
  </si>
  <si>
    <t>TT</t>
  </si>
  <si>
    <t>Double tee</t>
  </si>
  <si>
    <t>Tegolo TT prefabbricato</t>
  </si>
  <si>
    <t>IT</t>
  </si>
  <si>
    <t>Inverted tee</t>
  </si>
  <si>
    <t>Trave a T rovescia</t>
  </si>
  <si>
    <t>LB</t>
  </si>
  <si>
    <t>L beam</t>
  </si>
  <si>
    <t>Trave a L di bordo</t>
  </si>
  <si>
    <t>VD</t>
  </si>
  <si>
    <t>Variable depth</t>
  </si>
  <si>
    <t>Altezza variabile, trave a ginocchio</t>
  </si>
  <si>
    <t>SH</t>
  </si>
  <si>
    <t>Shaped</t>
  </si>
  <si>
    <t>Sagomata su profilo custom. È anche il Group2 di battiscopa e velette.</t>
  </si>
  <si>
    <t>06_TR  ·  Trusses</t>
  </si>
  <si>
    <t>TR_Category_Code</t>
  </si>
  <si>
    <t>TR_Category</t>
  </si>
  <si>
    <t>TR_Group2_Code</t>
  </si>
  <si>
    <t>TR_Group2</t>
  </si>
  <si>
    <t>TR_Group2_ITA</t>
  </si>
  <si>
    <t>TR</t>
  </si>
  <si>
    <t>Structural Truss</t>
  </si>
  <si>
    <t>WR</t>
  </si>
  <si>
    <t>Warren</t>
  </si>
  <si>
    <t>Diagonali alternate, senza montanti</t>
  </si>
  <si>
    <t>PR</t>
  </si>
  <si>
    <t>Pratt</t>
  </si>
  <si>
    <t>Diagonali in trazione</t>
  </si>
  <si>
    <t>HW</t>
  </si>
  <si>
    <t>Howe</t>
  </si>
  <si>
    <t>Diagonali in compressione</t>
  </si>
  <si>
    <t>FK</t>
  </si>
  <si>
    <t>Fink</t>
  </si>
  <si>
    <t>Capriata a W</t>
  </si>
  <si>
    <t>KT</t>
  </si>
  <si>
    <t>K-truss</t>
  </si>
  <si>
    <t>Maglia a K</t>
  </si>
  <si>
    <t>Vierendeel</t>
  </si>
  <si>
    <t>Senza diagonali, nodi rigidi</t>
  </si>
  <si>
    <t>AR</t>
  </si>
  <si>
    <t>Arched</t>
  </si>
  <si>
    <t>Corrente superiore curvo, bowstring</t>
  </si>
  <si>
    <t>Geometria non ancora decisa</t>
  </si>
  <si>
    <t>07_CN  ·  Connections</t>
  </si>
  <si>
    <t>CN_Category_Code</t>
  </si>
  <si>
    <t>CN_Category</t>
  </si>
  <si>
    <t>CN_Group2_Code</t>
  </si>
  <si>
    <t>CN_Group2</t>
  </si>
  <si>
    <t>CN_Group2_ITA</t>
  </si>
  <si>
    <t>Structural Connection</t>
  </si>
  <si>
    <t>BP</t>
  </si>
  <si>
    <t>Base plate</t>
  </si>
  <si>
    <t>Piastra di base con tirafondi</t>
  </si>
  <si>
    <t>BC</t>
  </si>
  <si>
    <t>Beam to column</t>
  </si>
  <si>
    <t>Nodo trave-pilastro</t>
  </si>
  <si>
    <t>BB</t>
  </si>
  <si>
    <t>Beam splice</t>
  </si>
  <si>
    <t>Giunto trave-trave, coprigiunto</t>
  </si>
  <si>
    <t>Bracing node</t>
  </si>
  <si>
    <t>Nodo di controvento, fazzoletto</t>
  </si>
  <si>
    <t>Anchor</t>
  </si>
  <si>
    <t>Tirafondo, ancorante, barra filettata</t>
  </si>
  <si>
    <t>Corbel</t>
  </si>
  <si>
    <t>Mensola, mensola tozza prefabbricata</t>
  </si>
  <si>
    <t>SS</t>
  </si>
  <si>
    <t>Shear stud</t>
  </si>
  <si>
    <t>Connettore a taglio, piolo Nelson</t>
  </si>
  <si>
    <t>SF</t>
  </si>
  <si>
    <t>Stiffener</t>
  </si>
  <si>
    <t>Irrigidimento d’anima o d’ala</t>
  </si>
  <si>
    <t>Nodo non ancora deciso</t>
  </si>
  <si>
    <t>Le tabelle sono entità Tabella di Excel e in quanto tali modificabili: aggiungere o togliere una riga si riflette subito sui menu di tutti i generatori. I codici già in uso nei modelli non vanno cambiati.</t>
  </si>
  <si>
    <t>Tutte e sette le schede usano la stessa tabella Group1 (Tbl_STR_G1): una modifica ai materiali vale ovunque.</t>
  </si>
  <si>
    <t>Menu a tendina alimentati dal foglio DV. Il nome esce nella colonna evidenziata. Note e regole di compilazione in fondo alla scheda.</t>
  </si>
  <si>
    <t>NOME DEL TIPO — lo genera questo foglio:   Author _ TypeMark _ [(I)]FS.G1.G2 _ T{spessore} _ [Descrizione]</t>
  </si>
  <si>
    <t>Famiglia di sistema: il nome si assegna al tipo, non a un file .rfa.</t>
  </si>
  <si>
    <t>ID</t>
  </si>
  <si>
    <t>Auth</t>
  </si>
  <si>
    <t>Category</t>
  </si>
  <si>
    <t>Cat</t>
  </si>
  <si>
    <t>Group1  material</t>
  </si>
  <si>
    <t>G1</t>
  </si>
  <si>
    <t>TM pre</t>
  </si>
  <si>
    <t>Group2</t>
  </si>
  <si>
    <t>G2</t>
  </si>
  <si>
    <t>TM seq (2 digits or XX)</t>
  </si>
  <si>
    <t>Manual Type Mark (only if Other)</t>
  </si>
  <si>
    <t>Type Mark</t>
  </si>
  <si>
    <t>Thickness mm</t>
  </si>
  <si>
    <t>Description</t>
  </si>
  <si>
    <t>Cat.G1.G2</t>
  </si>
  <si>
    <t>GENERATED NAME</t>
  </si>
  <si>
    <t>es1</t>
  </si>
  <si>
    <t>es2</t>
  </si>
  <si>
    <t>es3</t>
  </si>
  <si>
    <t>es4</t>
  </si>
  <si>
    <t>es5</t>
  </si>
  <si>
    <t>VespaioAreato</t>
  </si>
  <si>
    <t>es6</t>
  </si>
  <si>
    <t>RingrossoSottoPilastro</t>
  </si>
  <si>
    <t>es7</t>
  </si>
  <si>
    <t>NOTE — FOUNDATION SLABS</t>
  </si>
  <si>
    <t>Famiglia di sistema: il generatore compone il nome del TIPO, Type Mark compreso. Le regole valide per tutte le categorie sono nel foglio Istruzioni.</t>
  </si>
  <si>
    <t>Fondazioni di sistema e caricabili nello stesso file</t>
  </si>
  <si>
    <t>Foundation Slab è una famiglia di sistema, ma la fondazione è un unico argomento: platea, trave rovescia e plinti si guardano insieme. Le prime tre schede coprono le tre forme che la fondazione può prendere in Revit, indipendentemente da come sono implementate.</t>
  </si>
  <si>
    <t>Niente numero di finiture</t>
  </si>
  <si>
    <t>La platea ha una struttura a strati come un solaio, ma sotto terra il conteggio delle facce finite non significa nulla. Il blocco dimensionale è il solo spessore totale in mm.</t>
  </si>
  <si>
    <t>Magrone e vespaio</t>
  </si>
  <si>
    <t>Il magrone si nomina qui con Group2 = BL, non come strato di un’altra platea. Il vespaio areato è VC: il produttore del cassero a perdere va nella Descrizione, perché su una famiglia di sistema non c’è il campo Manufacturer.</t>
  </si>
  <si>
    <t>Niente resistenza al fuoco</t>
  </si>
  <si>
    <t>Su tutto questo file la resistenza al fuoco resta nel parametro FireRating e non entra mai nel nome. Sulle fondazioni non si pone proprio.</t>
  </si>
  <si>
    <t>Elementi in place</t>
  </si>
  <si>
    <t>Un elemento modellato in place non è né una famiglia caricata da una libreria né un tipo di una famiglia di sistema: si costruisce dentro il progetto, non si riusa altrove e in abaco si confonde con gli elementi veri se il nome non lo dichiara. Il marcatore (I) lo dichiara attaccato al codice di categoria, senza separatore, così si isolano filtrando i nomi che lo contengono. Tutto il resto del nome segue le regole della scheda: anche un in place ha un materiale e una forma. La cella vuota è il caso normale.</t>
  </si>
  <si>
    <t>REGOLE DI COMPILAZIONE</t>
  </si>
  <si>
    <t>Autore della codifica.</t>
  </si>
  <si>
    <t>Facoltativo. Si compila solo quando l’elemento è modellato in place dentro il progetto, non caricato da una libreria né tipo di una famiglia di sistema. Nel nome diventa (I) attaccato al codice di categoria, senza separatore. Cella vuota = caso normale.</t>
  </si>
  <si>
    <t>Categoria Revit dell’elemento.</t>
  </si>
  <si>
    <t>Materiale strutturale dell’elemento. La lista è identica su tutte e sette le schede e la sua prima cifra alimenta il Type Mark. Generic quando il materiale non è ancora deciso; Other per ciò che resta fuori elenco, e sul telaio anche per gli usi non strutturali della categoria.</t>
  </si>
  <si>
    <t>Che cosa rappresenta la platea: fondazione vera e propria, soletta contro terra, magrone, vespaio, ispessimento locale.</t>
  </si>
  <si>
    <t>Due cifre da 0 a 99. Distingue le varianti di stesso Group1 e stesso Group2. Tipo non ancora definito → XX. Non si compila con Group1 = Other.</t>
  </si>
  <si>
    <t>Solo con Group1 = Other. Sostituisce tutto il Type Mark, prefisso compreso.</t>
  </si>
  <si>
    <t>Spessore in mm.</t>
  </si>
  <si>
    <t>Facoltativa. Solo se aggiunge un’informazione non già nei codici. Senza spazi, iniziali maiuscole, massimo 40 caratteri, senza accenti.</t>
  </si>
  <si>
    <t>Le colonne grigie sono calcolate automaticamente.</t>
  </si>
  <si>
    <t>NOME DEL TIPO — lo genera questo foglio:   Author _ TypeMark _ [(I)]FW.G1.G2 _ {larghezza}x{spessore} _ [Descrizione]</t>
  </si>
  <si>
    <t>Width mm</t>
  </si>
  <si>
    <t>FondazioneEsistente</t>
  </si>
  <si>
    <t>NOTE — WALL FOUNDATIONS</t>
  </si>
  <si>
    <t>Le due dimensioni</t>
  </si>
  <si>
    <t>Larghezza e spessore sono i due parametri di tipo che Revit espone sulla Wall Foundation. La forma del blocco dimensionale coincide con quella delle sezioni di travi e pilastri, così tutto il file si legge allo stesso modo.</t>
  </si>
  <si>
    <t>Trave rovescia</t>
  </si>
  <si>
    <t>La trave rovescia gettata sotto una parete si nomina qui come Bearing. Se invece collega dei plinti ed è modellata come trave, è una trave: si nomina nella scheda 05_FR.</t>
  </si>
  <si>
    <t>Muri controterra</t>
  </si>
  <si>
    <t>Il muro di sostegno vero e proprio è una parete e si nomina nel foglio System Families, scheda 09_WL con Group2 = BG. Qui c’è solo la sua fondazione.</t>
  </si>
  <si>
    <t>Segue il parametro Foundation Type di Revit: Bearing per la fondazione continua portante, Retaining per quella di un muro di sostegno, che ha la mensola.</t>
  </si>
  <si>
    <t>Larghezza della fondazione in mm.</t>
  </si>
  <si>
    <t>Spessore della fondazione in mm.</t>
  </si>
  <si>
    <t>NOME DELLA FAMIGLIA — lo genera questo foglio:   Author _ [(I)]Cat.G1.G2 _ [Family role] _ [Custom] _ [Manufacturer] _ [Descrizione]</t>
  </si>
  <si>
    <t>NOME DEL TIPO — da inserire manualmente:   TypeMark _ {misure} _ [Descrizione]        Il sequenziale cambia a ogni tipo; costante su tutta la famiglia è solo la prima cifra.</t>
  </si>
  <si>
    <t>Family role</t>
  </si>
  <si>
    <t>Role</t>
  </si>
  <si>
    <t>Cst</t>
  </si>
  <si>
    <t>Manufacturer</t>
  </si>
  <si>
    <t>Type name (example)</t>
  </si>
  <si>
    <t>Manini</t>
  </si>
  <si>
    <t>IL NOME DEL TIPO</t>
  </si>
  <si>
    <t xml:space="preserve">   FI-1xx _ {misure} _ [Descrizione]</t>
  </si>
  <si>
    <t>Da inserire manualmente alla duplicazione di un tipo: questo foglio non li genera. Il sequenziale cambia a ogni tipo ed è unico dentro la coppia categoria + prima cifra, quindi due famiglie con lo stesso Group1 proseguono la stessa numerazione invece di ripartire da 01. Costante su tutta la famiglia è solo la prima cifra, che dipende dal materiale. La colonna Type name (example) riporta il modello completo calcolato sulla riga.</t>
  </si>
  <si>
    <t>Prima cifra per ogni materiale</t>
  </si>
  <si>
    <t>GN 0xx  ·  CN 1xx  ·  PC 2xx  ·  ST 3xx  ·  TM 4xx  ·  MS 5xx  ·  CP 6xx  ·  AL 7xx  ·  OT 9xx (Type Mark interamente manuale).</t>
  </si>
  <si>
    <t>Il blocco dimensionale</t>
  </si>
  <si>
    <t>Se la sezione ha una designazione normalizzata si usa quella e nient’altro: HEA200, IPE400, UPN160, L80x80x8, RHS200x100x8. Le misure si scrivono solo quando una designazione non esiste — sezioni gettate, composte, sagomate — nella forma {base}x{altezza} in mm. Sezione circolare → D + solo il diametro.</t>
  </si>
  <si>
    <t>NOTE — ISOLATED FOUNDATIONS</t>
  </si>
  <si>
    <t>Famiglia caricabile: il generatore compone il nome della FAMIGLIA, cioè del file .rfa. Il nome dei tipi si scrive a mano, secondo la regola richiamata qui sotto.</t>
  </si>
  <si>
    <t>La famiglia è il tipo di fondazione, il tipo è la misura</t>
  </si>
  <si>
    <t>Una sola famiglia copre tutti i plinti in calcestruzzo gettato: i tipi ne sono le dimensioni. Il nome della famiglia non porta mai una misura.</t>
  </si>
  <si>
    <t>Pali e plinti su pali</t>
  </si>
  <si>
    <t>Il palo (PL) è l’elemento singolo, il plinto su pali (PK) è il dado di collegamento in testa. Sono due famiglie distinte, non due tipi.</t>
  </si>
  <si>
    <t>Micropali</t>
  </si>
  <si>
    <t>Quasi sempre su misura: Custom compilato, Manufacturer vuoto. I due campi non sono compatibili.</t>
  </si>
  <si>
    <t>Che tipo di fondazione isolata è: plinto, plinto combinato, palo, micropalo, plinto su pali, pozzo. La trave di fondazione che collega i plinti non sta qui: è una trave, e si nomina in 05_FR.</t>
  </si>
  <si>
    <t>Facoltativo. CM Component = componente minore, destinato a essere annidato dentro un’altra famiglia: sui nodi è il caso normale. SY Symbolic = famiglia che contiene un simbolo, non la geometria reale. Vuoto = famiglia completa e autonoma.</t>
  </si>
  <si>
    <t>Facoltativo. Sezione o elemento disegnato su misura, non corrispondente a un profilo di normativa o a un prodotto di mercato. Vuoto → si assume un profilo commerciale. Non compatibile con Manufacturer.</t>
  </si>
  <si>
    <t>Facoltativo. Azienda produttrice. Campo libero: senza spazi, iniziali maiuscole. Non compatibile con Custom.</t>
  </si>
  <si>
    <t>NOME DEL TIPO — da inserire manualmente:   TypeMark _ {designazione o misure} _ [Descrizione]        Il sequenziale cambia a ogni tipo; costante su tutta la famiglia è solo la prima cifra.</t>
  </si>
  <si>
    <t>es8</t>
  </si>
  <si>
    <t>es9</t>
  </si>
  <si>
    <t xml:space="preserve">   SC-3xx _ {designazione o misure} _ [Descrizione]</t>
  </si>
  <si>
    <t>NOTE — STRUCTURAL COLUMNS</t>
  </si>
  <si>
    <t>La famiglia è la sezione, il tipo è la misura</t>
  </si>
  <si>
    <t>La famiglia è «profilo a doppio T in acciaio», i tipi sono HEA200, HEA240, HEA300. Il nome della famiglia non contiene nessuna dimensione, e non per convenzione: proprio non ne ha una.</t>
  </si>
  <si>
    <t>Il ruolo strutturale resta fuori</t>
  </si>
  <si>
    <t>Girder, Joist, Purlin, Bracing sono valori di Structural Usage, che è un parametro d’istanza: lo stesso profilo è pilastro principale in un punto e montante secondario in un altro.</t>
  </si>
  <si>
    <t>Colonne decorative</t>
  </si>
  <si>
    <t>Una colonna che non porta nulla non è una Structural Column: si modella come Generic Model e si nomina nel foglio Loadable Families, scheda 14_GM.</t>
  </si>
  <si>
    <t>Niente campo Use</t>
  </si>
  <si>
    <t>Il campo Use esiste solo su 05_FR. Qui la categoria si usa per quello che è: una colonna che non porta nulla si modella come Generic Model e si nomina nel foglio Loadable Families, scheda 14_GM.</t>
  </si>
  <si>
    <t>Forma della sezione, non il ruolo. Structural Usage è un parametro d’istanza e non entra mai nel nome. Una famiglia = una forma di sezione in un materiale; i tipi ne sono le misure.</t>
  </si>
  <si>
    <t>NOME DELLA FAMIGLIA — lo genera questo foglio:   Author _ [(I)]Cat.G1.G2 _ [Use] _ [Family role] _ [Custom] _ [Manufacturer] _ [Descrizione]</t>
  </si>
  <si>
    <t>Use</t>
  </si>
  <si>
    <t>src_Use</t>
  </si>
  <si>
    <t>TraveCollaborante</t>
  </si>
  <si>
    <t>BattiscopaLegno</t>
  </si>
  <si>
    <t>VelettaCartongesso</t>
  </si>
  <si>
    <t>es10</t>
  </si>
  <si>
    <t xml:space="preserve">   FR-3xx _ {designazione o misure} _ [Descrizione]</t>
  </si>
  <si>
    <t>NOTE — STRUCTURAL FRAMING</t>
  </si>
  <si>
    <t>Gli usi non strutturali della categoria</t>
  </si>
  <si>
    <t>Capita di modellare con Structural Framing cose che non portano nulla, perché sono profili estesi lungo un percorso e si computano a metro lineare: battiscopa, cornici, marcapiani, cordoli, velette, travi finte. In quei casi il Group1 vale Other, si compila il campo Use e il Type Mark del tipo si scrive a mano prendendo il codice come prefisso — SK-001, BH-001. Il vantaggio è che tutti i battiscopa del modello si isolano in abaco filtrando sul prefisso.</t>
  </si>
  <si>
    <t>Cosa invece non va qui</t>
  </si>
  <si>
    <t>Corrimano e parapetti hanno la loro categoria e si nominano nel foglio System Families, schede 12_HR e 04_RL. Le colonne decorative sono Generic Model. I frangisole e le passerelle in acciaio invece sono acciaio davvero: Group1 = ST e nessun campo Use.</t>
  </si>
  <si>
    <t>La trave di fondazione</t>
  </si>
  <si>
    <t>È una trave: si nomina qui, non fra le fondazioni isolate. Il materiale la distingue da sola.</t>
  </si>
  <si>
    <t>Girder, Joist, Purlin, Bracing sono valori di Structural Usage, parametro d’istanza: la stessa IPE300 è trave principale in un punto e arcareccio in un altro.</t>
  </si>
  <si>
    <t>Forma della sezione, non il ruolo. Alle forme dei pilastri si aggiungono quelle che esistono solo sulle travi: tegolo TT, T rovescia, trave a L, altezza variabile, sagomata. Con Use compilato la forma è sempre Shaped.</t>
  </si>
  <si>
    <t>Facoltativo. Dichiara un uso non strutturale della categoria: SK per battiscopa, cornici, marcapiani e cordoli, BH per velette, travi finte e ribassamenti. Si compila solo con Group1 = Other, e allora il Type Mark del tipo si scrive a mano prendendo il codice come prefisso: SK-001, BH-001. Il Group2 in questi casi è Shaped.</t>
  </si>
  <si>
    <t>NOME DEL TIPO — da inserire manualmente:   TypeMark _ H{altezza} _ [Descrizione]        Il sequenziale cambia a ogni tipo; costante su tutta la famiglia è solo la prima cifra.</t>
  </si>
  <si>
    <t xml:space="preserve">   TR-3xx _ H{altezza} _ [Descrizione]</t>
  </si>
  <si>
    <t>Solo l’altezza in mm, che è un parametro di tipo della capriata. La luce NON entra nel nome: la decide la linea di disegno, quindi è un dato d’istanza. È la stessa trappola di alzata e pedata sulle scale.</t>
  </si>
  <si>
    <t>NOTE — TRUSSES</t>
  </si>
  <si>
    <t>La luce non entra nel nome</t>
  </si>
  <si>
    <t>La capriata di Revit si adatta alla linea su cui è disegnata: la luce è un dato d’istanza. Nel nome del tipo va solo l’altezza, che è un parametro di tipo. È l’errore più facile da fare su questa scheda.</t>
  </si>
  <si>
    <t>I profili dei correnti</t>
  </si>
  <si>
    <t>Le famiglie di Structural Framing usate come correnti e diagonali si nominano nella scheda 05_FR: la capriata le annida, e ognuna tiene il proprio nome.</t>
  </si>
  <si>
    <t>Capriate su disegno</t>
  </si>
  <si>
    <t>Una geometria fuori dai casi classici è Other con Custom compilato, e la Descrizione dice di che si tratta.</t>
  </si>
  <si>
    <t>Geometria del traliccio: Warren, Pratt, Howe, Fink, K-truss, Vierendeel, ad arco. È la caratteristica che distingue una famiglia di capriata da un’altra.</t>
  </si>
  <si>
    <t>NOME DEL TIPO — da inserire manualmente:   TypeMark _ {misure o sigla di catalogo} _ [Descrizione]        Il sequenziale cambia a ogni tipo; costante su tutta la famiglia è solo la prima cifra.</t>
  </si>
  <si>
    <t>Peikko</t>
  </si>
  <si>
    <t>Hilti</t>
  </si>
  <si>
    <t>Nelson</t>
  </si>
  <si>
    <t xml:space="preserve">   CN-3xx _ {misure o sigla di catalogo} _ [Descrizione]</t>
  </si>
  <si>
    <t>Le misure caratteristiche del nodo in mm — per esempio 400x400x20 per una piastra — oppure la sigla del prodotto quando il nodo è a catalogo: HPKM20, HPM24.</t>
  </si>
  <si>
    <t>NOTE — CONNECTIONS</t>
  </si>
  <si>
    <t>Family role è quasi sempre Component</t>
  </si>
  <si>
    <t>Un nodo è per definizione un componente minore, destinato a essere annidato dentro la famiglia della trave o del pilastro. Lasciare il campo vuoto è l’eccezione, non la regola.</t>
  </si>
  <si>
    <t>Gli irrigidimenti stanno qui</t>
  </si>
  <si>
    <t>Non hanno una scheda propria: sono nodi anche loro, e si nominano con Group2 = SF.</t>
  </si>
  <si>
    <t>È l’unica scheda in cui il campo lavora davvero, perché il nodo commerciale è un prodotto a catalogo con una scheda tecnica dietro. Sui nodi disegnati si compila invece Custom, e i due campi non sono compatibili.</t>
  </si>
  <si>
    <t>La sigla di catalogo</t>
  </si>
  <si>
    <t>Quando il prodotto ha una sigla — HPKM20, HPM24 — quella è il blocco dimensionale del tipo, e le misure non si ripetono.</t>
  </si>
  <si>
    <t>Che nodo è: piastra di base, trave-pilastro, giunto di continuità, nodo di controvento, ancoraggio, mensola, connettore a taglio, irrigidimento.</t>
  </si>
  <si>
    <t>Foglio di servizio – NON MODIFICARE.  A1 vuota = sorgente neutra.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</si>
</sst>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2"/>
      <color rgb="FF4A6D82"/>
      <name val="Calibri"/>
    </font>
    <font>
      <b/>
      <sz val="9"/>
      <color rgb="FFFFFFFF"/>
      <name val="Calibri"/>
    </font>
    <font>
      <sz val="10"/>
      <color rgb="FF2B2B2B"/>
      <name val="Calibri"/>
    </font>
    <font>
      <sz val="9"/>
      <color rgb="FF767676"/>
      <name val="Calibri"/>
    </font>
    <font>
      <i/>
      <sz val="9"/>
      <color rgb="FF767676"/>
      <name val="Calibri"/>
    </font>
    <font>
      <b/>
      <sz val="15"/>
      <color rgb="FF2B2B2B"/>
      <name val="Calibri"/>
    </font>
    <font>
      <sz val="9"/>
      <color rgb="FF4A6D82"/>
      <name val="Calibri"/>
    </font>
    <font>
      <b/>
      <sz val="8"/>
      <color rgb="FFFFFFFF"/>
      <name val="Calibri"/>
    </font>
    <font>
      <i/>
      <sz val="9"/>
      <color rgb="FF2B2B2B"/>
      <name val="Calibri"/>
    </font>
    <font>
      <i/>
      <sz val="8"/>
      <color rgb="FFA6A6A6"/>
      <name val="Calibri"/>
    </font>
    <font>
      <sz val="9"/>
      <color rgb="FF2B2B2B"/>
      <name val="Calibri"/>
    </font>
    <font>
      <sz val="8"/>
      <color rgb="FFA6A6A6"/>
      <name val="Calibri"/>
    </font>
    <font>
      <b/>
      <sz val="9"/>
      <color rgb="FF2B2B2B"/>
      <name val="Calibri"/>
    </font>
    <font>
      <b/>
      <sz val="12"/>
      <color rgb="FF2B2B2B"/>
      <name val="Calibri"/>
    </font>
    <font>
      <b/>
      <sz val="10"/>
      <color rgb="FF4A6D82"/>
      <name val="Calibri"/>
    </font>
    <font>
      <i/>
      <sz val="9"/>
      <color rgb="FF4A6D82"/>
      <name val="Calibri"/>
    </font>
    <font>
      <sz val="8"/>
      <color rgb="FFBFBFBF"/>
      <name val="Calibri"/>
    </font>
    <font>
      <b/>
      <sz val="17"/>
      <color rgb="FF2B2B2B"/>
      <name val="Calibri"/>
    </font>
    <font>
      <b/>
      <sz val="10"/>
      <color rgb="FFFFFFFF"/>
      <name val="Calibri"/>
    </font>
    <font>
      <b/>
      <sz val="11"/>
      <color rgb="FF4A6D82"/>
      <name val="Calibri"/>
    </font>
    <font>
      <sz val="10"/>
      <color rgb="FF4A6D82"/>
      <name val="Calibri"/>
    </font>
  </fonts>
  <fills count="10">
    <fill>
      <patternFill patternType="none"/>
    </fill>
    <fill>
      <patternFill patternType="gray125"/>
    </fill>
    <fill>
      <patternFill patternType="solid">
        <fgColor rgb="FF4A4A4A"/>
      </patternFill>
    </fill>
    <fill>
      <patternFill patternType="solid">
        <fgColor rgb="FF4A6D82"/>
      </patternFill>
    </fill>
    <fill>
      <patternFill patternType="solid">
        <fgColor rgb="FFF7F7F7"/>
      </patternFill>
    </fill>
    <fill>
      <patternFill patternType="solid">
        <fgColor rgb="FFEDF2F5"/>
      </patternFill>
    </fill>
    <fill>
      <patternFill patternType="solid">
        <fgColor rgb="FFF7F9FA"/>
      </patternFill>
    </fill>
    <fill>
      <patternFill patternType="solid">
        <fgColor rgb="FFDCE6EC"/>
      </patternFill>
    </fill>
    <fill>
      <patternFill patternType="solid">
        <fgColor rgb="FFE8EEF2"/>
      </patternFill>
    </fill>
    <fill>
      <patternFill patternType="solid">
        <fgColor rgb="FFF2F6F8"/>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style="medium">
        <color rgb="FF4A6D82"/>
      </bottom>
      <diagonal/>
    </border>
    <border>
      <left/>
      <right/>
      <top/>
      <bottom style="medium">
        <color rgb="FF4A6D82"/>
      </bottom>
      <diagonal/>
    </border>
  </borders>
  <cellStyleXfs count="1">
    <xf numFmtId="0" fontId="0" fillId="0" borderId="0"/>
  </cellStyleXfs>
  <cellXfs count="4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xf numFmtId="0" fontId="4" fillId="0" borderId="1" xfId="0" applyFont="1" applyBorder="1"/>
    <xf numFmtId="0" fontId="5" fillId="0" borderId="0" xfId="0" applyFont="1"/>
    <xf numFmtId="0" fontId="6" fillId="0" borderId="0" xfId="0" applyFont="1"/>
    <xf numFmtId="0" fontId="4" fillId="0" borderId="0" xfId="0" applyFont="1"/>
    <xf numFmtId="0" fontId="7" fillId="0" borderId="0" xfId="0" applyFont="1"/>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0" borderId="1" xfId="0" applyFont="1" applyBorder="1" applyAlignment="1">
      <alignment horizontal="center"/>
    </xf>
    <xf numFmtId="0" fontId="9" fillId="5" borderId="1" xfId="0" applyFont="1" applyFill="1" applyBorder="1" applyAlignment="1">
      <alignment horizontal="center"/>
    </xf>
    <xf numFmtId="0" fontId="5" fillId="4" borderId="1" xfId="0" applyFont="1" applyFill="1" applyBorder="1" applyAlignment="1">
      <alignment horizontal="center"/>
    </xf>
    <xf numFmtId="0" fontId="9" fillId="6" borderId="1" xfId="0" applyFont="1" applyFill="1" applyBorder="1" applyAlignment="1">
      <alignment horizontal="center"/>
    </xf>
    <xf numFmtId="0" fontId="9" fillId="5" borderId="1" xfId="0" applyFont="1" applyFill="1" applyBorder="1" applyAlignment="1">
      <alignment horizontal="left"/>
    </xf>
    <xf numFmtId="0" fontId="9" fillId="6" borderId="1" xfId="0" applyFont="1" applyFill="1" applyBorder="1" applyAlignment="1">
      <alignment horizontal="left"/>
    </xf>
    <xf numFmtId="0" fontId="9" fillId="7" borderId="1" xfId="0" applyFont="1" applyFill="1" applyBorder="1" applyAlignment="1">
      <alignment horizontal="left"/>
    </xf>
    <xf numFmtId="0" fontId="12" fillId="0" borderId="1" xfId="0" applyFont="1" applyBorder="1" applyAlignment="1">
      <alignment horizontal="center"/>
    </xf>
    <xf numFmtId="0" fontId="11" fillId="5" borderId="1" xfId="0" applyFont="1" applyFill="1" applyBorder="1" applyAlignment="1">
      <alignment horizontal="center"/>
    </xf>
    <xf numFmtId="0" fontId="4" fillId="4" borderId="1" xfId="0" applyFont="1" applyFill="1" applyBorder="1" applyAlignment="1">
      <alignment horizontal="center"/>
    </xf>
    <xf numFmtId="0" fontId="11" fillId="6" borderId="1" xfId="0" applyFont="1" applyFill="1" applyBorder="1" applyAlignment="1">
      <alignment horizontal="center"/>
    </xf>
    <xf numFmtId="0" fontId="11" fillId="5" borderId="1" xfId="0" applyFont="1" applyFill="1" applyBorder="1" applyAlignment="1">
      <alignment horizontal="left"/>
    </xf>
    <xf numFmtId="0" fontId="11" fillId="6" borderId="1" xfId="0" applyFont="1" applyFill="1" applyBorder="1" applyAlignment="1">
      <alignment horizontal="left"/>
    </xf>
    <xf numFmtId="0" fontId="13" fillId="7" borderId="1" xfId="0" applyFont="1" applyFill="1" applyBorder="1" applyAlignment="1">
      <alignment horizontal="left"/>
    </xf>
    <xf numFmtId="0" fontId="13" fillId="9" borderId="0" xfId="0" applyFont="1" applyFill="1"/>
    <xf numFmtId="0" fontId="0" fillId="9" borderId="0" xfId="0" applyFill="1"/>
    <xf numFmtId="0" fontId="16" fillId="7" borderId="1" xfId="0" applyFont="1" applyFill="1" applyBorder="1" applyAlignment="1">
      <alignment horizontal="center"/>
    </xf>
    <xf numFmtId="0" fontId="7" fillId="7" borderId="1" xfId="0" applyFont="1" applyFill="1" applyBorder="1" applyAlignment="1">
      <alignment horizontal="center"/>
    </xf>
    <xf numFmtId="0" fontId="17" fillId="0" borderId="0" xfId="0" applyFont="1"/>
    <xf numFmtId="0" fontId="18" fillId="0" borderId="0" xfId="0" applyFont="1"/>
    <xf numFmtId="0" fontId="19" fillId="3" borderId="0" xfId="0" applyFont="1" applyFill="1" applyAlignment="1">
      <alignment horizontal="center" vertical="center"/>
    </xf>
    <xf numFmtId="0" fontId="21" fillId="8" borderId="0" xfId="0" applyFont="1" applyFill="1" applyAlignment="1">
      <alignment vertical="center"/>
    </xf>
    <xf numFmtId="0" fontId="3" fillId="0" borderId="0" xfId="0" applyFont="1" applyAlignment="1">
      <alignment vertical="center" wrapText="1" indent="1"/>
    </xf>
    <xf numFmtId="0" fontId="3" fillId="0" borderId="0" xfId="0" applyFont="1" applyAlignment="1">
      <alignment vertical="top" wrapText="1"/>
    </xf>
    <xf numFmtId="0" fontId="0" fillId="0" borderId="0" xfId="0"/>
    <xf numFmtId="0" fontId="21" fillId="9" borderId="0" xfId="0" applyFont="1" applyFill="1" applyAlignment="1">
      <alignment vertical="center" indent="1"/>
    </xf>
    <xf numFmtId="0" fontId="5" fillId="0" borderId="0" xfId="0" applyFont="1" applyAlignment="1">
      <alignment vertical="center"/>
    </xf>
    <xf numFmtId="0" fontId="20" fillId="0" borderId="0" xfId="0" applyFont="1" applyAlignment="1">
      <alignment vertical="center"/>
    </xf>
    <xf numFmtId="0" fontId="5" fillId="0" borderId="0" xfId="0" applyFont="1" applyAlignment="1">
      <alignment vertical="top" wrapText="1"/>
    </xf>
    <xf numFmtId="0" fontId="20" fillId="9" borderId="0" xfId="0" applyFont="1" applyFill="1" applyAlignment="1">
      <alignment vertical="center" indent="1"/>
    </xf>
    <xf numFmtId="0" fontId="15" fillId="8" borderId="0" xfId="0" applyFont="1" applyFill="1" applyAlignment="1">
      <alignment horizontal="left" vertical="center" indent="1"/>
    </xf>
    <xf numFmtId="0" fontId="3" fillId="0" borderId="0" xfId="0" applyFont="1" applyAlignment="1">
      <alignment horizontal="left" vertical="center" wrapText="1" indent="1"/>
    </xf>
    <xf numFmtId="0" fontId="5" fillId="0" borderId="0" xfId="0" applyFont="1" applyAlignment="1">
      <alignment horizontal="left" vertical="center"/>
    </xf>
    <xf numFmtId="0" fontId="14" fillId="0" borderId="2" xfId="0" applyFont="1" applyBorder="1" applyAlignment="1">
      <alignment horizontal="left" vertical="center"/>
    </xf>
    <xf numFmtId="0" fontId="0" fillId="0" borderId="3" xfId="0" applyBorder="1"/>
    <xf numFmtId="0" fontId="1" fillId="9" borderId="0" xfId="0" applyFont="1" applyFill="1" applyAlignment="1">
      <alignment horizontal="left" vertical="center"/>
    </xf>
  </cellXfs>
  <cellStyles count="1">
    <cellStyle name="Normale" xfId="0" builtinId="0"/>
  </cellStyles>
  <dxfs count="1">
    <dxf>
      <fill>
        <patternFill>
          <bgColor rgb="FFD9D9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Author" displayName="Tbl_Author" ref="A2:B3">
  <autoFilter ref="A2:B3" xr:uid="{00000000-0009-0000-0100-000001000000}"/>
  <tableColumns count="2">
    <tableColumn id="1" xr3:uid="{00000000-0010-0000-0000-000001000000}" name="Author_Code"/>
    <tableColumn id="2" xr3:uid="{00000000-0010-0000-0000-000002000000}" name="Author"/>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TR_G1" displayName="Tbl_STR_G1" ref="D2:G11">
  <autoFilter ref="D2:G11" xr:uid="{00000000-0009-0000-0100-000002000000}"/>
  <tableColumns count="4">
    <tableColumn id="4" xr3:uid="{00000000-0010-0000-0100-000004000000}" name="STR_Group1_Code"/>
    <tableColumn id="5" xr3:uid="{00000000-0010-0000-0100-000005000000}" name="STR_Group1"/>
    <tableColumn id="6" xr3:uid="{00000000-0010-0000-0100-000006000000}" name="STR_Group1_ITA"/>
    <tableColumn id="7" xr3:uid="{00000000-0010-0000-0100-000007000000}" name="TM Cod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InPl" displayName="Tbl_InPl" ref="A6:B7">
  <autoFilter ref="A6:B7" xr:uid="{00000000-0009-0000-0100-000003000000}"/>
  <tableColumns count="2">
    <tableColumn id="1" xr3:uid="{00000000-0010-0000-0200-000001000000}" name="InPl_Code"/>
    <tableColumn id="2" xr3:uid="{00000000-0010-0000-0200-000002000000}" name="InPl_Nam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Role" displayName="Tbl_Role" ref="I2:K4">
  <autoFilter ref="I2:K4" xr:uid="{00000000-0009-0000-0100-000004000000}"/>
  <tableColumns count="3">
    <tableColumn id="9" xr3:uid="{00000000-0010-0000-0300-000009000000}" name="Role_Code"/>
    <tableColumn id="10" xr3:uid="{00000000-0010-0000-0300-00000A000000}" name="Role_Name"/>
    <tableColumn id="11" xr3:uid="{00000000-0010-0000-0300-00000B000000}" name="Role_ITA"/>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Cst" displayName="Tbl_Cst" ref="I6:K7">
  <autoFilter ref="I6:K7" xr:uid="{00000000-0009-0000-0100-000005000000}"/>
  <tableColumns count="3">
    <tableColumn id="9" xr3:uid="{00000000-0010-0000-0400-000009000000}" name="Cst_Code"/>
    <tableColumn id="10" xr3:uid="{00000000-0010-0000-0400-00000A000000}" name="Cst_Name"/>
    <tableColumn id="11" xr3:uid="{00000000-0010-0000-0400-00000B000000}" name="Cst_ITA"/>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Use" displayName="Tbl_Use" ref="I9:K11">
  <autoFilter ref="I9:K11" xr:uid="{00000000-0009-0000-0100-000006000000}"/>
  <tableColumns count="3">
    <tableColumn id="9" xr3:uid="{00000000-0010-0000-0500-000009000000}" name="Use_Code"/>
    <tableColumn id="10" xr3:uid="{00000000-0010-0000-0500-00000A000000}" name="Use_Name"/>
    <tableColumn id="11" xr3:uid="{00000000-0010-0000-0500-00000B000000}" name="Use_ITA"/>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FS_Cat" displayName="Tbl_FS_Cat" ref="A16:B17">
  <autoFilter ref="A16:B17" xr:uid="{00000000-0009-0000-0100-000007000000}"/>
  <tableColumns count="2">
    <tableColumn id="1" xr3:uid="{00000000-0010-0000-0600-000001000000}" name="FS_Category_Code"/>
    <tableColumn id="2" xr3:uid="{00000000-0010-0000-0600-000002000000}" name="FS_Category"/>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FS_G2" displayName="Tbl_FS_G2" ref="I16:K23">
  <autoFilter ref="I16:K23" xr:uid="{00000000-0009-0000-0100-000008000000}"/>
  <tableColumns count="3">
    <tableColumn id="9" xr3:uid="{00000000-0010-0000-0700-000009000000}" name="FS_Group2_Code"/>
    <tableColumn id="10" xr3:uid="{00000000-0010-0000-0700-00000A000000}" name="FS_Group2"/>
    <tableColumn id="11" xr3:uid="{00000000-0010-0000-0700-00000B000000}" name="FS_Group2_ITA"/>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FW_Cat" displayName="Tbl_FW_Cat" ref="A27:B28">
  <autoFilter ref="A27:B28" xr:uid="{00000000-0009-0000-0100-000009000000}"/>
  <tableColumns count="2">
    <tableColumn id="1" xr3:uid="{00000000-0010-0000-0800-000001000000}" name="FW_Category_Code"/>
    <tableColumn id="2" xr3:uid="{00000000-0010-0000-0800-000002000000}" name="FW_Category"/>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FW_G2" displayName="Tbl_FW_G2" ref="I27:K31">
  <autoFilter ref="I27:K31" xr:uid="{00000000-0009-0000-0100-00000A000000}"/>
  <tableColumns count="3">
    <tableColumn id="9" xr3:uid="{00000000-0010-0000-0900-000009000000}" name="FW_Group2_Code"/>
    <tableColumn id="10" xr3:uid="{00000000-0010-0000-0900-00000A000000}" name="FW_Group2"/>
    <tableColumn id="11" xr3:uid="{00000000-0010-0000-0900-00000B000000}" name="FW_Group2_ITA"/>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FI_Cat" displayName="Tbl_FI_Cat" ref="A35:B36">
  <autoFilter ref="A35:B36" xr:uid="{00000000-0009-0000-0100-00000B000000}"/>
  <tableColumns count="2">
    <tableColumn id="1" xr3:uid="{00000000-0010-0000-0A00-000001000000}" name="FI_Category_Code"/>
    <tableColumn id="2" xr3:uid="{00000000-0010-0000-0A00-000002000000}" name="FI_Category"/>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FI_G2" displayName="Tbl_FI_G2" ref="I35:K43">
  <autoFilter ref="I35:K43" xr:uid="{00000000-0009-0000-0100-00000C000000}"/>
  <tableColumns count="3">
    <tableColumn id="9" xr3:uid="{00000000-0010-0000-0B00-000009000000}" name="FI_Group2_Code"/>
    <tableColumn id="10" xr3:uid="{00000000-0010-0000-0B00-00000A000000}" name="FI_Group2"/>
    <tableColumn id="11" xr3:uid="{00000000-0010-0000-0B00-00000B000000}" name="FI_Group2_ITA"/>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SC_Cat" displayName="Tbl_SC_Cat" ref="A47:B48">
  <autoFilter ref="A47:B48" xr:uid="{00000000-0009-0000-0100-00000D000000}"/>
  <tableColumns count="2">
    <tableColumn id="1" xr3:uid="{00000000-0010-0000-0C00-000001000000}" name="SC_Category_Code"/>
    <tableColumn id="2" xr3:uid="{00000000-0010-0000-0C00-000002000000}" name="SC_Category"/>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SC_G2" displayName="Tbl_SC_G2" ref="I47:K58">
  <autoFilter ref="I47:K58" xr:uid="{00000000-0009-0000-0100-00000E000000}"/>
  <tableColumns count="3">
    <tableColumn id="9" xr3:uid="{00000000-0010-0000-0D00-000009000000}" name="SC_Group2_Code"/>
    <tableColumn id="10" xr3:uid="{00000000-0010-0000-0D00-00000A000000}" name="SC_Group2"/>
    <tableColumn id="11" xr3:uid="{00000000-0010-0000-0D00-00000B000000}" name="SC_Group2_ITA"/>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FR_Cat" displayName="Tbl_FR_Cat" ref="A62:B63">
  <autoFilter ref="A62:B63" xr:uid="{00000000-0009-0000-0100-00000F000000}"/>
  <tableColumns count="2">
    <tableColumn id="1" xr3:uid="{00000000-0010-0000-0E00-000001000000}" name="FR_Category_Code"/>
    <tableColumn id="2" xr3:uid="{00000000-0010-0000-0E00-000002000000}" name="FR_Category"/>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FR_G2" displayName="Tbl_FR_G2" ref="I62:K76">
  <autoFilter ref="I62:K76" xr:uid="{00000000-0009-0000-0100-000010000000}"/>
  <tableColumns count="3">
    <tableColumn id="9" xr3:uid="{00000000-0010-0000-0F00-000009000000}" name="FR_Group2_Code"/>
    <tableColumn id="10" xr3:uid="{00000000-0010-0000-0F00-00000A000000}" name="FR_Group2"/>
    <tableColumn id="11" xr3:uid="{00000000-0010-0000-0F00-00000B000000}" name="FR_Group2_ITA"/>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_TR_Cat" displayName="Tbl_TR_Cat" ref="A80:B81">
  <autoFilter ref="A80:B81" xr:uid="{00000000-0009-0000-0100-000011000000}"/>
  <tableColumns count="2">
    <tableColumn id="1" xr3:uid="{00000000-0010-0000-1000-000001000000}" name="TR_Category_Code"/>
    <tableColumn id="2" xr3:uid="{00000000-0010-0000-1000-000002000000}" name="TR_Category"/>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_TR_G2" displayName="Tbl_TR_G2" ref="I80:K89">
  <autoFilter ref="I80:K89" xr:uid="{00000000-0009-0000-0100-000012000000}"/>
  <tableColumns count="3">
    <tableColumn id="9" xr3:uid="{00000000-0010-0000-1100-000009000000}" name="TR_Group2_Code"/>
    <tableColumn id="10" xr3:uid="{00000000-0010-0000-1100-00000A000000}" name="TR_Group2"/>
    <tableColumn id="11" xr3:uid="{00000000-0010-0000-1100-00000B000000}" name="TR_Group2_ITA"/>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bl_CN_Cat" displayName="Tbl_CN_Cat" ref="A93:B94">
  <autoFilter ref="A93:B94" xr:uid="{00000000-0009-0000-0100-000013000000}"/>
  <tableColumns count="2">
    <tableColumn id="1" xr3:uid="{00000000-0010-0000-1200-000001000000}" name="CN_Category_Code"/>
    <tableColumn id="2" xr3:uid="{00000000-0010-0000-1200-000002000000}" name="CN_Category"/>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bl_CN_G2" displayName="Tbl_CN_G2" ref="I93:K103">
  <autoFilter ref="I93:K103" xr:uid="{00000000-0009-0000-0100-000014000000}"/>
  <tableColumns count="3">
    <tableColumn id="9" xr3:uid="{00000000-0010-0000-1300-000009000000}" name="CN_Group2_Code"/>
    <tableColumn id="10" xr3:uid="{00000000-0010-0000-1300-00000A000000}" name="CN_Group2"/>
    <tableColumn id="11" xr3:uid="{00000000-0010-0000-1300-00000B000000}" name="CN_Group2_IT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9"/>
  <sheetViews>
    <sheetView showGridLines="0" tabSelected="1" workbookViewId="0"/>
  </sheetViews>
  <sheetFormatPr defaultRowHeight="15" x14ac:dyDescent="0.25"/>
  <cols>
    <col min="1" max="1" width="4" customWidth="1"/>
    <col min="2" max="2" width="30" customWidth="1"/>
    <col min="3" max="3" width="112" customWidth="1"/>
  </cols>
  <sheetData>
    <row r="1" spans="1:3" ht="24" customHeight="1" x14ac:dyDescent="0.35">
      <c r="B1" s="30" t="s">
        <v>0</v>
      </c>
    </row>
    <row r="2" spans="1:3" ht="104.1" customHeight="1" x14ac:dyDescent="0.25">
      <c r="B2" s="39" t="s">
        <v>1</v>
      </c>
      <c r="C2" s="35"/>
    </row>
    <row r="4" spans="1:3" ht="20.100000000000001" customHeight="1" x14ac:dyDescent="0.25">
      <c r="A4" s="31">
        <v>1</v>
      </c>
      <c r="B4" s="38" t="s">
        <v>2</v>
      </c>
      <c r="C4" s="35"/>
    </row>
    <row r="5" spans="1:3" ht="15" customHeight="1" x14ac:dyDescent="0.25">
      <c r="B5" s="37" t="s">
        <v>3</v>
      </c>
      <c r="C5" s="35"/>
    </row>
    <row r="6" spans="1:3" ht="50.1" customHeight="1" x14ac:dyDescent="0.25">
      <c r="B6" s="34" t="s">
        <v>4</v>
      </c>
      <c r="C6" s="35"/>
    </row>
    <row r="7" spans="1:3" ht="24" customHeight="1" x14ac:dyDescent="0.25">
      <c r="B7" s="32" t="s">
        <v>5</v>
      </c>
      <c r="C7" s="33" t="s">
        <v>6</v>
      </c>
    </row>
    <row r="8" spans="1:3" ht="5.0999999999999996" customHeight="1" x14ac:dyDescent="0.25"/>
    <row r="9" spans="1:3" ht="38.1" customHeight="1" x14ac:dyDescent="0.25">
      <c r="B9" s="32" t="s">
        <v>7</v>
      </c>
      <c r="C9" s="33" t="s">
        <v>8</v>
      </c>
    </row>
    <row r="10" spans="1:3" ht="5.0999999999999996" customHeight="1" x14ac:dyDescent="0.25"/>
    <row r="12" spans="1:3" ht="20.100000000000001" customHeight="1" x14ac:dyDescent="0.25">
      <c r="A12" s="31">
        <v>2</v>
      </c>
      <c r="B12" s="38" t="s">
        <v>9</v>
      </c>
      <c r="C12" s="35"/>
    </row>
    <row r="13" spans="1:3" ht="15" customHeight="1" x14ac:dyDescent="0.25">
      <c r="B13" s="37" t="s">
        <v>10</v>
      </c>
      <c r="C13" s="35"/>
    </row>
    <row r="14" spans="1:3" ht="21.95" customHeight="1" x14ac:dyDescent="0.25">
      <c r="B14" s="40" t="s">
        <v>11</v>
      </c>
      <c r="C14" s="35"/>
    </row>
    <row r="15" spans="1:3" ht="50.1" customHeight="1" x14ac:dyDescent="0.25">
      <c r="B15" s="34" t="s">
        <v>12</v>
      </c>
      <c r="C15" s="35"/>
    </row>
    <row r="16" spans="1:3" ht="20.100000000000001" customHeight="1" x14ac:dyDescent="0.25">
      <c r="B16" s="36" t="s">
        <v>13</v>
      </c>
      <c r="C16" s="35"/>
    </row>
    <row r="18" spans="1:3" ht="20.100000000000001" customHeight="1" x14ac:dyDescent="0.25">
      <c r="A18" s="31">
        <v>3</v>
      </c>
      <c r="B18" s="38" t="s">
        <v>14</v>
      </c>
      <c r="C18" s="35"/>
    </row>
    <row r="19" spans="1:3" ht="15" customHeight="1" x14ac:dyDescent="0.25">
      <c r="B19" s="37" t="s">
        <v>15</v>
      </c>
      <c r="C19" s="35"/>
    </row>
    <row r="20" spans="1:3" ht="21.95" customHeight="1" x14ac:dyDescent="0.25">
      <c r="B20" s="40" t="s">
        <v>16</v>
      </c>
      <c r="C20" s="35"/>
    </row>
    <row r="21" spans="1:3" ht="50.1" customHeight="1" x14ac:dyDescent="0.25">
      <c r="B21" s="34" t="s">
        <v>17</v>
      </c>
      <c r="C21" s="35"/>
    </row>
    <row r="22" spans="1:3" ht="20.100000000000001" customHeight="1" x14ac:dyDescent="0.25">
      <c r="B22" s="36" t="s">
        <v>18</v>
      </c>
      <c r="C22" s="35"/>
    </row>
    <row r="24" spans="1:3" ht="20.100000000000001" customHeight="1" x14ac:dyDescent="0.25">
      <c r="A24" s="31">
        <v>4</v>
      </c>
      <c r="B24" s="38" t="s">
        <v>19</v>
      </c>
      <c r="C24" s="35"/>
    </row>
    <row r="25" spans="1:3" ht="15" customHeight="1" x14ac:dyDescent="0.25">
      <c r="B25" s="37" t="s">
        <v>15</v>
      </c>
      <c r="C25" s="35"/>
    </row>
    <row r="26" spans="1:3" ht="21.95" customHeight="1" x14ac:dyDescent="0.25">
      <c r="B26" s="40" t="s">
        <v>20</v>
      </c>
      <c r="C26" s="35"/>
    </row>
    <row r="27" spans="1:3" ht="78" customHeight="1" x14ac:dyDescent="0.25">
      <c r="B27" s="34" t="s">
        <v>21</v>
      </c>
      <c r="C27" s="35"/>
    </row>
    <row r="28" spans="1:3" ht="50.1" customHeight="1" x14ac:dyDescent="0.25">
      <c r="B28" s="34" t="s">
        <v>22</v>
      </c>
      <c r="C28" s="35"/>
    </row>
    <row r="29" spans="1:3" ht="24" customHeight="1" x14ac:dyDescent="0.25">
      <c r="B29" s="32" t="s">
        <v>23</v>
      </c>
      <c r="C29" s="33" t="s">
        <v>24</v>
      </c>
    </row>
    <row r="30" spans="1:3" ht="5.0999999999999996" customHeight="1" x14ac:dyDescent="0.25"/>
    <row r="31" spans="1:3" ht="24" customHeight="1" x14ac:dyDescent="0.25">
      <c r="B31" s="32" t="s">
        <v>25</v>
      </c>
      <c r="C31" s="33" t="s">
        <v>26</v>
      </c>
    </row>
    <row r="32" spans="1:3" ht="5.0999999999999996" customHeight="1" x14ac:dyDescent="0.25"/>
    <row r="33" spans="1:3" ht="24" customHeight="1" x14ac:dyDescent="0.25">
      <c r="B33" s="32" t="s">
        <v>27</v>
      </c>
      <c r="C33" s="33" t="s">
        <v>28</v>
      </c>
    </row>
    <row r="34" spans="1:3" ht="5.0999999999999996" customHeight="1" x14ac:dyDescent="0.25"/>
    <row r="35" spans="1:3" ht="24" customHeight="1" x14ac:dyDescent="0.25">
      <c r="B35" s="32" t="s">
        <v>29</v>
      </c>
      <c r="C35" s="33" t="s">
        <v>30</v>
      </c>
    </row>
    <row r="36" spans="1:3" ht="5.0999999999999996" customHeight="1" x14ac:dyDescent="0.25"/>
    <row r="37" spans="1:3" ht="24" customHeight="1" x14ac:dyDescent="0.25">
      <c r="B37" s="32" t="s">
        <v>31</v>
      </c>
      <c r="C37" s="33" t="s">
        <v>32</v>
      </c>
    </row>
    <row r="38" spans="1:3" ht="5.0999999999999996" customHeight="1" x14ac:dyDescent="0.25"/>
    <row r="40" spans="1:3" ht="20.100000000000001" customHeight="1" x14ac:dyDescent="0.25">
      <c r="A40" s="31">
        <v>5</v>
      </c>
      <c r="B40" s="38" t="s">
        <v>33</v>
      </c>
      <c r="C40" s="35"/>
    </row>
    <row r="41" spans="1:3" ht="15" customHeight="1" x14ac:dyDescent="0.25">
      <c r="B41" s="37" t="s">
        <v>3</v>
      </c>
      <c r="C41" s="35"/>
    </row>
    <row r="42" spans="1:3" ht="50.1" customHeight="1" x14ac:dyDescent="0.25">
      <c r="B42" s="34" t="s">
        <v>34</v>
      </c>
      <c r="C42" s="35"/>
    </row>
    <row r="43" spans="1:3" ht="36" customHeight="1" x14ac:dyDescent="0.25">
      <c r="B43" s="34" t="s">
        <v>35</v>
      </c>
      <c r="C43" s="35"/>
    </row>
    <row r="44" spans="1:3" ht="20.100000000000001" customHeight="1" x14ac:dyDescent="0.25">
      <c r="B44" s="36" t="s">
        <v>36</v>
      </c>
      <c r="C44" s="35"/>
    </row>
    <row r="45" spans="1:3" ht="20.100000000000001" customHeight="1" x14ac:dyDescent="0.25">
      <c r="B45" s="36" t="s">
        <v>37</v>
      </c>
      <c r="C45" s="35"/>
    </row>
    <row r="46" spans="1:3" ht="38.1" customHeight="1" x14ac:dyDescent="0.25">
      <c r="B46" s="32" t="s">
        <v>38</v>
      </c>
      <c r="C46" s="33" t="s">
        <v>39</v>
      </c>
    </row>
    <row r="47" spans="1:3" ht="5.0999999999999996" customHeight="1" x14ac:dyDescent="0.25"/>
    <row r="48" spans="1:3" ht="38.1" customHeight="1" x14ac:dyDescent="0.25">
      <c r="B48" s="32" t="s">
        <v>40</v>
      </c>
      <c r="C48" s="33" t="s">
        <v>41</v>
      </c>
    </row>
    <row r="49" spans="1:3" ht="5.0999999999999996" customHeight="1" x14ac:dyDescent="0.25"/>
    <row r="50" spans="1:3" ht="38.1" customHeight="1" x14ac:dyDescent="0.25">
      <c r="B50" s="32" t="s">
        <v>42</v>
      </c>
      <c r="C50" s="33" t="s">
        <v>43</v>
      </c>
    </row>
    <row r="51" spans="1:3" ht="5.0999999999999996" customHeight="1" x14ac:dyDescent="0.25"/>
    <row r="53" spans="1:3" ht="20.100000000000001" customHeight="1" x14ac:dyDescent="0.25">
      <c r="A53" s="31">
        <v>6</v>
      </c>
      <c r="B53" s="38" t="s">
        <v>44</v>
      </c>
      <c r="C53" s="35"/>
    </row>
    <row r="54" spans="1:3" ht="15" customHeight="1" x14ac:dyDescent="0.25">
      <c r="B54" s="37" t="s">
        <v>3</v>
      </c>
      <c r="C54" s="35"/>
    </row>
    <row r="55" spans="1:3" ht="50.1" customHeight="1" x14ac:dyDescent="0.25">
      <c r="B55" s="34" t="s">
        <v>45</v>
      </c>
      <c r="C55" s="35"/>
    </row>
    <row r="56" spans="1:3" ht="20.100000000000001" customHeight="1" x14ac:dyDescent="0.25">
      <c r="B56" s="36" t="s">
        <v>46</v>
      </c>
      <c r="C56" s="35"/>
    </row>
    <row r="57" spans="1:3" ht="63.95" customHeight="1" x14ac:dyDescent="0.25">
      <c r="B57" s="34" t="s">
        <v>47</v>
      </c>
      <c r="C57" s="35"/>
    </row>
    <row r="59" spans="1:3" ht="20.100000000000001" customHeight="1" x14ac:dyDescent="0.25">
      <c r="A59" s="31">
        <v>7</v>
      </c>
      <c r="B59" s="38" t="s">
        <v>48</v>
      </c>
      <c r="C59" s="35"/>
    </row>
    <row r="60" spans="1:3" ht="15" customHeight="1" x14ac:dyDescent="0.25">
      <c r="B60" s="37" t="s">
        <v>3</v>
      </c>
      <c r="C60" s="35"/>
    </row>
    <row r="61" spans="1:3" ht="50.1" customHeight="1" x14ac:dyDescent="0.25">
      <c r="B61" s="34" t="s">
        <v>49</v>
      </c>
      <c r="C61" s="35"/>
    </row>
    <row r="62" spans="1:3" ht="38.1" customHeight="1" x14ac:dyDescent="0.25">
      <c r="B62" s="32" t="s">
        <v>50</v>
      </c>
      <c r="C62" s="33" t="s">
        <v>51</v>
      </c>
    </row>
    <row r="63" spans="1:3" ht="5.0999999999999996" customHeight="1" x14ac:dyDescent="0.25"/>
    <row r="64" spans="1:3" ht="38.1" customHeight="1" x14ac:dyDescent="0.25">
      <c r="B64" s="32" t="s">
        <v>52</v>
      </c>
      <c r="C64" s="33" t="s">
        <v>53</v>
      </c>
    </row>
    <row r="65" spans="1:3" ht="5.0999999999999996" customHeight="1" x14ac:dyDescent="0.25"/>
    <row r="67" spans="1:3" ht="20.100000000000001" customHeight="1" x14ac:dyDescent="0.25">
      <c r="A67" s="31">
        <v>8</v>
      </c>
      <c r="B67" s="38" t="s">
        <v>54</v>
      </c>
      <c r="C67" s="35"/>
    </row>
    <row r="68" spans="1:3" ht="15" customHeight="1" x14ac:dyDescent="0.25">
      <c r="B68" s="37" t="s">
        <v>55</v>
      </c>
      <c r="C68" s="35"/>
    </row>
    <row r="69" spans="1:3" ht="63.95" customHeight="1" x14ac:dyDescent="0.25">
      <c r="B69" s="34" t="s">
        <v>56</v>
      </c>
      <c r="C69" s="35"/>
    </row>
    <row r="70" spans="1:3" ht="24" customHeight="1" x14ac:dyDescent="0.25">
      <c r="B70" s="32" t="s">
        <v>57</v>
      </c>
      <c r="C70" s="33" t="s">
        <v>58</v>
      </c>
    </row>
    <row r="71" spans="1:3" ht="5.0999999999999996" customHeight="1" x14ac:dyDescent="0.25"/>
    <row r="72" spans="1:3" ht="24" customHeight="1" x14ac:dyDescent="0.25">
      <c r="B72" s="32" t="s">
        <v>59</v>
      </c>
      <c r="C72" s="33" t="s">
        <v>60</v>
      </c>
    </row>
    <row r="73" spans="1:3" ht="5.0999999999999996" customHeight="1" x14ac:dyDescent="0.25"/>
    <row r="74" spans="1:3" ht="38.1" customHeight="1" x14ac:dyDescent="0.25">
      <c r="B74" s="32" t="s">
        <v>61</v>
      </c>
      <c r="C74" s="33" t="s">
        <v>62</v>
      </c>
    </row>
    <row r="75" spans="1:3" ht="5.0999999999999996" customHeight="1" x14ac:dyDescent="0.25"/>
    <row r="76" spans="1:3" ht="51.95" customHeight="1" x14ac:dyDescent="0.25">
      <c r="B76" s="32" t="s">
        <v>63</v>
      </c>
      <c r="C76" s="33" t="s">
        <v>64</v>
      </c>
    </row>
    <row r="77" spans="1:3" ht="5.0999999999999996" customHeight="1" x14ac:dyDescent="0.25"/>
    <row r="79" spans="1:3" ht="20.100000000000001" customHeight="1" x14ac:dyDescent="0.25">
      <c r="A79" s="31">
        <v>9</v>
      </c>
      <c r="B79" s="38" t="s">
        <v>65</v>
      </c>
      <c r="C79" s="35"/>
    </row>
    <row r="80" spans="1:3" ht="15" customHeight="1" x14ac:dyDescent="0.25">
      <c r="B80" s="37" t="s">
        <v>15</v>
      </c>
      <c r="C80" s="35"/>
    </row>
    <row r="81" spans="1:3" ht="63.95" customHeight="1" x14ac:dyDescent="0.25">
      <c r="B81" s="34" t="s">
        <v>66</v>
      </c>
      <c r="C81" s="35"/>
    </row>
    <row r="82" spans="1:3" ht="38.1" customHeight="1" x14ac:dyDescent="0.25">
      <c r="B82" s="32" t="s">
        <v>67</v>
      </c>
      <c r="C82" s="33" t="s">
        <v>68</v>
      </c>
    </row>
    <row r="83" spans="1:3" ht="5.0999999999999996" customHeight="1" x14ac:dyDescent="0.25"/>
    <row r="84" spans="1:3" ht="24" customHeight="1" x14ac:dyDescent="0.25">
      <c r="B84" s="32" t="s">
        <v>69</v>
      </c>
      <c r="C84" s="33" t="s">
        <v>70</v>
      </c>
    </row>
    <row r="85" spans="1:3" ht="5.0999999999999996" customHeight="1" x14ac:dyDescent="0.25"/>
    <row r="86" spans="1:3" ht="38.1" customHeight="1" x14ac:dyDescent="0.25">
      <c r="B86" s="32" t="s">
        <v>71</v>
      </c>
      <c r="C86" s="33" t="s">
        <v>72</v>
      </c>
    </row>
    <row r="87" spans="1:3" ht="5.0999999999999996" customHeight="1" x14ac:dyDescent="0.25"/>
    <row r="88" spans="1:3" ht="38.1" customHeight="1" x14ac:dyDescent="0.25">
      <c r="B88" s="32" t="s">
        <v>73</v>
      </c>
      <c r="C88" s="33" t="s">
        <v>74</v>
      </c>
    </row>
    <row r="89" spans="1:3" ht="5.0999999999999996" customHeight="1" x14ac:dyDescent="0.25"/>
    <row r="90" spans="1:3" ht="21.95" customHeight="1" x14ac:dyDescent="0.25">
      <c r="B90" s="34" t="s">
        <v>75</v>
      </c>
      <c r="C90" s="35"/>
    </row>
    <row r="92" spans="1:3" ht="20.100000000000001" customHeight="1" x14ac:dyDescent="0.25">
      <c r="A92" s="31">
        <v>10</v>
      </c>
      <c r="B92" s="38" t="s">
        <v>76</v>
      </c>
      <c r="C92" s="35"/>
    </row>
    <row r="93" spans="1:3" ht="15" customHeight="1" x14ac:dyDescent="0.25">
      <c r="B93" s="37" t="s">
        <v>3</v>
      </c>
      <c r="C93" s="35"/>
    </row>
    <row r="94" spans="1:3" ht="21.95" customHeight="1" x14ac:dyDescent="0.25">
      <c r="B94" s="34" t="s">
        <v>77</v>
      </c>
      <c r="C94" s="35"/>
    </row>
    <row r="95" spans="1:3" ht="24" customHeight="1" x14ac:dyDescent="0.25">
      <c r="B95" s="32" t="s">
        <v>78</v>
      </c>
      <c r="C95" s="33" t="s">
        <v>79</v>
      </c>
    </row>
    <row r="96" spans="1:3" ht="5.0999999999999996" customHeight="1" x14ac:dyDescent="0.25"/>
    <row r="97" spans="1:3" ht="51.95" customHeight="1" x14ac:dyDescent="0.25">
      <c r="B97" s="32" t="s">
        <v>80</v>
      </c>
      <c r="C97" s="33" t="s">
        <v>81</v>
      </c>
    </row>
    <row r="98" spans="1:3" ht="5.0999999999999996" customHeight="1" x14ac:dyDescent="0.25"/>
    <row r="99" spans="1:3" ht="38.1" customHeight="1" x14ac:dyDescent="0.25">
      <c r="B99" s="32" t="s">
        <v>82</v>
      </c>
      <c r="C99" s="33" t="s">
        <v>83</v>
      </c>
    </row>
    <row r="100" spans="1:3" ht="5.0999999999999996" customHeight="1" x14ac:dyDescent="0.25"/>
    <row r="102" spans="1:3" ht="20.100000000000001" customHeight="1" x14ac:dyDescent="0.25">
      <c r="A102" s="31">
        <v>11</v>
      </c>
      <c r="B102" s="38" t="s">
        <v>84</v>
      </c>
      <c r="C102" s="35"/>
    </row>
    <row r="103" spans="1:3" ht="15" customHeight="1" x14ac:dyDescent="0.25">
      <c r="B103" s="37" t="s">
        <v>3</v>
      </c>
      <c r="C103" s="35"/>
    </row>
    <row r="104" spans="1:3" ht="36" customHeight="1" x14ac:dyDescent="0.25">
      <c r="B104" s="34" t="s">
        <v>85</v>
      </c>
      <c r="C104" s="35"/>
    </row>
    <row r="105" spans="1:3" ht="36" customHeight="1" x14ac:dyDescent="0.25">
      <c r="B105" s="34" t="s">
        <v>86</v>
      </c>
      <c r="C105" s="35"/>
    </row>
    <row r="107" spans="1:3" ht="20.100000000000001" customHeight="1" x14ac:dyDescent="0.25">
      <c r="A107" s="31">
        <v>12</v>
      </c>
      <c r="B107" s="38" t="s">
        <v>87</v>
      </c>
      <c r="C107" s="35"/>
    </row>
    <row r="108" spans="1:3" ht="15" customHeight="1" x14ac:dyDescent="0.25">
      <c r="B108" s="37" t="s">
        <v>3</v>
      </c>
      <c r="C108" s="35"/>
    </row>
    <row r="109" spans="1:3" ht="50.1" customHeight="1" x14ac:dyDescent="0.25">
      <c r="B109" s="34" t="s">
        <v>88</v>
      </c>
      <c r="C109" s="35"/>
    </row>
  </sheetData>
  <mergeCells count="50">
    <mergeCell ref="B4:C4"/>
    <mergeCell ref="B5:C5"/>
    <mergeCell ref="B20:C20"/>
    <mergeCell ref="B80:C80"/>
    <mergeCell ref="B45:C45"/>
    <mergeCell ref="B94:C94"/>
    <mergeCell ref="B26:C26"/>
    <mergeCell ref="B41:C41"/>
    <mergeCell ref="B24:C24"/>
    <mergeCell ref="B68:C68"/>
    <mergeCell ref="B92:C92"/>
    <mergeCell ref="B15:C15"/>
    <mergeCell ref="B104:C104"/>
    <mergeCell ref="B103:C103"/>
    <mergeCell ref="B28:C28"/>
    <mergeCell ref="B108:C108"/>
    <mergeCell ref="B40:C40"/>
    <mergeCell ref="B55:C55"/>
    <mergeCell ref="B12:C12"/>
    <mergeCell ref="B79:C79"/>
    <mergeCell ref="B21:C21"/>
    <mergeCell ref="B2:C2"/>
    <mergeCell ref="B67:C67"/>
    <mergeCell ref="B42:C42"/>
    <mergeCell ref="B61:C61"/>
    <mergeCell ref="B14:C14"/>
    <mergeCell ref="B60:C60"/>
    <mergeCell ref="B57:C57"/>
    <mergeCell ref="B53:C53"/>
    <mergeCell ref="B13:C13"/>
    <mergeCell ref="B69:C69"/>
    <mergeCell ref="B44:C44"/>
    <mergeCell ref="B19:C19"/>
    <mergeCell ref="B6:C6"/>
    <mergeCell ref="B109:C109"/>
    <mergeCell ref="B16:C16"/>
    <mergeCell ref="B54:C54"/>
    <mergeCell ref="B25:C25"/>
    <mergeCell ref="B90:C90"/>
    <mergeCell ref="B59:C59"/>
    <mergeCell ref="B81:C81"/>
    <mergeCell ref="B22:C22"/>
    <mergeCell ref="B93:C93"/>
    <mergeCell ref="B27:C27"/>
    <mergeCell ref="B18:C18"/>
    <mergeCell ref="B56:C56"/>
    <mergeCell ref="B102:C102"/>
    <mergeCell ref="B105:C105"/>
    <mergeCell ref="B43:C43"/>
    <mergeCell ref="B107:C10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9"/>
  <sheetViews>
    <sheetView showGridLines="0" workbookViewId="0">
      <pane ySplit="1" topLeftCell="A2" activePane="bottomLeft" state="frozen"/>
      <selection pane="bottomLeft"/>
    </sheetView>
  </sheetViews>
  <sheetFormatPr defaultRowHeight="15" x14ac:dyDescent="0.25"/>
  <cols>
    <col min="1" max="1" width="20" customWidth="1"/>
    <col min="2" max="2" width="24" customWidth="1"/>
    <col min="3" max="3" width="3" customWidth="1"/>
    <col min="4" max="4" width="17" customWidth="1"/>
    <col min="5" max="5" width="22" customWidth="1"/>
    <col min="6" max="6" width="56" customWidth="1"/>
    <col min="7" max="7" width="9" customWidth="1"/>
    <col min="8" max="8" width="3" customWidth="1"/>
    <col min="9" max="9" width="17" customWidth="1"/>
    <col min="10" max="10" width="20" customWidth="1"/>
    <col min="11" max="11" width="62" customWidth="1"/>
  </cols>
  <sheetData>
    <row r="1" spans="1:11" ht="15.75" x14ac:dyDescent="0.25">
      <c r="A1" s="1" t="s">
        <v>89</v>
      </c>
    </row>
    <row r="2" spans="1:11" x14ac:dyDescent="0.25">
      <c r="A2" s="2" t="s">
        <v>90</v>
      </c>
      <c r="B2" s="2" t="s">
        <v>91</v>
      </c>
      <c r="D2" s="2" t="s">
        <v>92</v>
      </c>
      <c r="E2" s="2" t="s">
        <v>93</v>
      </c>
      <c r="F2" s="2" t="s">
        <v>94</v>
      </c>
      <c r="G2" s="2" t="s">
        <v>95</v>
      </c>
      <c r="I2" s="2" t="s">
        <v>96</v>
      </c>
      <c r="J2" s="2" t="s">
        <v>97</v>
      </c>
      <c r="K2" s="2" t="s">
        <v>98</v>
      </c>
    </row>
    <row r="3" spans="1:11" x14ac:dyDescent="0.25">
      <c r="A3" s="3" t="s">
        <v>99</v>
      </c>
      <c r="B3" s="3" t="s">
        <v>100</v>
      </c>
      <c r="D3" s="3" t="s">
        <v>101</v>
      </c>
      <c r="E3" s="3" t="s">
        <v>102</v>
      </c>
      <c r="F3" s="4" t="s">
        <v>103</v>
      </c>
      <c r="G3" s="4" t="s">
        <v>104</v>
      </c>
      <c r="I3" s="3" t="s">
        <v>105</v>
      </c>
      <c r="J3" s="3" t="s">
        <v>106</v>
      </c>
      <c r="K3" s="4" t="s">
        <v>107</v>
      </c>
    </row>
    <row r="4" spans="1:11" x14ac:dyDescent="0.25">
      <c r="D4" s="3" t="s">
        <v>108</v>
      </c>
      <c r="E4" s="3" t="s">
        <v>109</v>
      </c>
      <c r="F4" s="4" t="s">
        <v>110</v>
      </c>
      <c r="G4" s="4" t="s">
        <v>111</v>
      </c>
      <c r="I4" s="3" t="s">
        <v>112</v>
      </c>
      <c r="J4" s="3" t="s">
        <v>113</v>
      </c>
      <c r="K4" s="4" t="s">
        <v>114</v>
      </c>
    </row>
    <row r="5" spans="1:11" x14ac:dyDescent="0.25">
      <c r="A5" s="5" t="s">
        <v>115</v>
      </c>
      <c r="D5" s="3" t="s">
        <v>116</v>
      </c>
      <c r="E5" s="3" t="s">
        <v>117</v>
      </c>
      <c r="F5" s="4" t="s">
        <v>118</v>
      </c>
      <c r="G5" s="4" t="s">
        <v>119</v>
      </c>
    </row>
    <row r="6" spans="1:11" x14ac:dyDescent="0.25">
      <c r="A6" s="2" t="s">
        <v>120</v>
      </c>
      <c r="B6" s="2" t="s">
        <v>121</v>
      </c>
      <c r="D6" s="3" t="s">
        <v>122</v>
      </c>
      <c r="E6" s="3" t="s">
        <v>123</v>
      </c>
      <c r="F6" s="4" t="s">
        <v>124</v>
      </c>
      <c r="G6" s="4" t="s">
        <v>125</v>
      </c>
      <c r="I6" s="2" t="s">
        <v>126</v>
      </c>
      <c r="J6" s="2" t="s">
        <v>127</v>
      </c>
      <c r="K6" s="2" t="s">
        <v>128</v>
      </c>
    </row>
    <row r="7" spans="1:11" x14ac:dyDescent="0.25">
      <c r="A7" s="3" t="s">
        <v>129</v>
      </c>
      <c r="B7" s="3" t="s">
        <v>130</v>
      </c>
      <c r="D7" s="3" t="s">
        <v>131</v>
      </c>
      <c r="E7" s="3" t="s">
        <v>132</v>
      </c>
      <c r="F7" s="4" t="s">
        <v>133</v>
      </c>
      <c r="G7" s="4" t="s">
        <v>134</v>
      </c>
      <c r="I7" s="3" t="s">
        <v>135</v>
      </c>
      <c r="J7" s="3" t="s">
        <v>136</v>
      </c>
      <c r="K7" s="4" t="s">
        <v>137</v>
      </c>
    </row>
    <row r="8" spans="1:11" x14ac:dyDescent="0.25">
      <c r="D8" s="3" t="s">
        <v>138</v>
      </c>
      <c r="E8" s="3" t="s">
        <v>139</v>
      </c>
      <c r="F8" s="4" t="s">
        <v>140</v>
      </c>
      <c r="G8" s="4" t="s">
        <v>141</v>
      </c>
    </row>
    <row r="9" spans="1:11" x14ac:dyDescent="0.25">
      <c r="D9" s="3" t="s">
        <v>142</v>
      </c>
      <c r="E9" s="3" t="s">
        <v>143</v>
      </c>
      <c r="F9" s="4" t="s">
        <v>144</v>
      </c>
      <c r="G9" s="4" t="s">
        <v>145</v>
      </c>
      <c r="I9" s="2" t="s">
        <v>146</v>
      </c>
      <c r="J9" s="2" t="s">
        <v>147</v>
      </c>
      <c r="K9" s="2" t="s">
        <v>148</v>
      </c>
    </row>
    <row r="10" spans="1:11" x14ac:dyDescent="0.25">
      <c r="D10" s="3" t="s">
        <v>149</v>
      </c>
      <c r="E10" s="3" t="s">
        <v>150</v>
      </c>
      <c r="F10" s="4" t="s">
        <v>151</v>
      </c>
      <c r="G10" s="4" t="s">
        <v>152</v>
      </c>
      <c r="I10" s="3" t="s">
        <v>153</v>
      </c>
      <c r="J10" s="3" t="s">
        <v>154</v>
      </c>
      <c r="K10" s="4" t="s">
        <v>155</v>
      </c>
    </row>
    <row r="11" spans="1:11" x14ac:dyDescent="0.25">
      <c r="D11" s="3" t="s">
        <v>156</v>
      </c>
      <c r="E11" s="3" t="s">
        <v>157</v>
      </c>
      <c r="F11" s="4" t="s">
        <v>158</v>
      </c>
      <c r="G11" s="4" t="s">
        <v>159</v>
      </c>
      <c r="I11" s="3" t="s">
        <v>160</v>
      </c>
      <c r="J11" s="3" t="s">
        <v>161</v>
      </c>
      <c r="K11" s="4" t="s">
        <v>162</v>
      </c>
    </row>
    <row r="12" spans="1:11" x14ac:dyDescent="0.25">
      <c r="I12" s="5" t="s">
        <v>163</v>
      </c>
    </row>
    <row r="13" spans="1:11" x14ac:dyDescent="0.25">
      <c r="D13" s="5" t="s">
        <v>164</v>
      </c>
    </row>
    <row r="15" spans="1:11" ht="15.75" x14ac:dyDescent="0.25">
      <c r="A15" s="1" t="s">
        <v>165</v>
      </c>
    </row>
    <row r="16" spans="1:11" x14ac:dyDescent="0.25">
      <c r="A16" s="2" t="s">
        <v>166</v>
      </c>
      <c r="B16" s="2" t="s">
        <v>167</v>
      </c>
      <c r="I16" s="2" t="s">
        <v>168</v>
      </c>
      <c r="J16" s="2" t="s">
        <v>169</v>
      </c>
      <c r="K16" s="2" t="s">
        <v>170</v>
      </c>
    </row>
    <row r="17" spans="1:11" x14ac:dyDescent="0.25">
      <c r="A17" s="3" t="s">
        <v>171</v>
      </c>
      <c r="B17" s="3" t="s">
        <v>172</v>
      </c>
      <c r="I17" s="3" t="s">
        <v>173</v>
      </c>
      <c r="J17" s="3" t="s">
        <v>174</v>
      </c>
      <c r="K17" s="4" t="s">
        <v>175</v>
      </c>
    </row>
    <row r="18" spans="1:11" x14ac:dyDescent="0.25">
      <c r="I18" s="3" t="s">
        <v>176</v>
      </c>
      <c r="J18" s="3" t="s">
        <v>177</v>
      </c>
      <c r="K18" s="4" t="s">
        <v>178</v>
      </c>
    </row>
    <row r="19" spans="1:11" x14ac:dyDescent="0.25">
      <c r="I19" s="3" t="s">
        <v>179</v>
      </c>
      <c r="J19" s="3" t="s">
        <v>180</v>
      </c>
      <c r="K19" s="4" t="s">
        <v>181</v>
      </c>
    </row>
    <row r="20" spans="1:11" x14ac:dyDescent="0.25">
      <c r="I20" s="3" t="s">
        <v>182</v>
      </c>
      <c r="J20" s="3" t="s">
        <v>183</v>
      </c>
      <c r="K20" s="4" t="s">
        <v>184</v>
      </c>
    </row>
    <row r="21" spans="1:11" x14ac:dyDescent="0.25">
      <c r="I21" s="3" t="s">
        <v>185</v>
      </c>
      <c r="J21" s="3" t="s">
        <v>186</v>
      </c>
      <c r="K21" s="4" t="s">
        <v>187</v>
      </c>
    </row>
    <row r="22" spans="1:11" x14ac:dyDescent="0.25">
      <c r="I22" s="3" t="s">
        <v>101</v>
      </c>
      <c r="J22" s="3" t="s">
        <v>102</v>
      </c>
      <c r="K22" s="4" t="s">
        <v>188</v>
      </c>
    </row>
    <row r="23" spans="1:11" x14ac:dyDescent="0.25">
      <c r="I23" s="3" t="s">
        <v>156</v>
      </c>
      <c r="J23" s="3" t="s">
        <v>157</v>
      </c>
      <c r="K23" s="4" t="s">
        <v>189</v>
      </c>
    </row>
    <row r="26" spans="1:11" ht="15.75" x14ac:dyDescent="0.25">
      <c r="A26" s="1" t="s">
        <v>190</v>
      </c>
    </row>
    <row r="27" spans="1:11" x14ac:dyDescent="0.25">
      <c r="A27" s="2" t="s">
        <v>191</v>
      </c>
      <c r="B27" s="2" t="s">
        <v>192</v>
      </c>
      <c r="I27" s="2" t="s">
        <v>193</v>
      </c>
      <c r="J27" s="2" t="s">
        <v>194</v>
      </c>
      <c r="K27" s="2" t="s">
        <v>195</v>
      </c>
    </row>
    <row r="28" spans="1:11" x14ac:dyDescent="0.25">
      <c r="A28" s="3" t="s">
        <v>196</v>
      </c>
      <c r="B28" s="3" t="s">
        <v>197</v>
      </c>
      <c r="I28" s="3" t="s">
        <v>198</v>
      </c>
      <c r="J28" s="3" t="s">
        <v>199</v>
      </c>
      <c r="K28" s="4" t="s">
        <v>200</v>
      </c>
    </row>
    <row r="29" spans="1:11" x14ac:dyDescent="0.25">
      <c r="I29" s="3" t="s">
        <v>201</v>
      </c>
      <c r="J29" s="3" t="s">
        <v>202</v>
      </c>
      <c r="K29" s="4" t="s">
        <v>203</v>
      </c>
    </row>
    <row r="30" spans="1:11" x14ac:dyDescent="0.25">
      <c r="I30" s="3" t="s">
        <v>101</v>
      </c>
      <c r="J30" s="3" t="s">
        <v>102</v>
      </c>
      <c r="K30" s="4" t="s">
        <v>188</v>
      </c>
    </row>
    <row r="31" spans="1:11" x14ac:dyDescent="0.25">
      <c r="I31" s="3" t="s">
        <v>156</v>
      </c>
      <c r="J31" s="3" t="s">
        <v>157</v>
      </c>
      <c r="K31" s="4" t="s">
        <v>189</v>
      </c>
    </row>
    <row r="34" spans="1:11" ht="15.75" x14ac:dyDescent="0.25">
      <c r="A34" s="1" t="s">
        <v>204</v>
      </c>
    </row>
    <row r="35" spans="1:11" x14ac:dyDescent="0.25">
      <c r="A35" s="2" t="s">
        <v>205</v>
      </c>
      <c r="B35" s="2" t="s">
        <v>206</v>
      </c>
      <c r="I35" s="2" t="s">
        <v>207</v>
      </c>
      <c r="J35" s="2" t="s">
        <v>208</v>
      </c>
      <c r="K35" s="2" t="s">
        <v>209</v>
      </c>
    </row>
    <row r="36" spans="1:11" x14ac:dyDescent="0.25">
      <c r="A36" s="3" t="s">
        <v>210</v>
      </c>
      <c r="B36" s="3" t="s">
        <v>211</v>
      </c>
      <c r="I36" s="3" t="s">
        <v>212</v>
      </c>
      <c r="J36" s="3" t="s">
        <v>213</v>
      </c>
      <c r="K36" s="4" t="s">
        <v>214</v>
      </c>
    </row>
    <row r="37" spans="1:11" x14ac:dyDescent="0.25">
      <c r="I37" s="3" t="s">
        <v>215</v>
      </c>
      <c r="J37" s="3" t="s">
        <v>216</v>
      </c>
      <c r="K37" s="4" t="s">
        <v>217</v>
      </c>
    </row>
    <row r="38" spans="1:11" x14ac:dyDescent="0.25">
      <c r="I38" s="3" t="s">
        <v>218</v>
      </c>
      <c r="J38" s="3" t="s">
        <v>219</v>
      </c>
      <c r="K38" s="4" t="s">
        <v>220</v>
      </c>
    </row>
    <row r="39" spans="1:11" x14ac:dyDescent="0.25">
      <c r="I39" s="3" t="s">
        <v>221</v>
      </c>
      <c r="J39" s="3" t="s">
        <v>222</v>
      </c>
      <c r="K39" s="4" t="s">
        <v>223</v>
      </c>
    </row>
    <row r="40" spans="1:11" x14ac:dyDescent="0.25">
      <c r="I40" s="3" t="s">
        <v>224</v>
      </c>
      <c r="J40" s="3" t="s">
        <v>225</v>
      </c>
      <c r="K40" s="4" t="s">
        <v>226</v>
      </c>
    </row>
    <row r="41" spans="1:11" x14ac:dyDescent="0.25">
      <c r="I41" s="3" t="s">
        <v>227</v>
      </c>
      <c r="J41" s="3" t="s">
        <v>228</v>
      </c>
      <c r="K41" s="4" t="s">
        <v>229</v>
      </c>
    </row>
    <row r="42" spans="1:11" x14ac:dyDescent="0.25">
      <c r="I42" s="3" t="s">
        <v>101</v>
      </c>
      <c r="J42" s="3" t="s">
        <v>102</v>
      </c>
      <c r="K42" s="4" t="s">
        <v>230</v>
      </c>
    </row>
    <row r="43" spans="1:11" x14ac:dyDescent="0.25">
      <c r="I43" s="3" t="s">
        <v>156</v>
      </c>
      <c r="J43" s="3" t="s">
        <v>157</v>
      </c>
      <c r="K43" s="4" t="s">
        <v>189</v>
      </c>
    </row>
    <row r="46" spans="1:11" ht="15.75" x14ac:dyDescent="0.25">
      <c r="A46" s="1" t="s">
        <v>231</v>
      </c>
    </row>
    <row r="47" spans="1:11" x14ac:dyDescent="0.25">
      <c r="A47" s="2" t="s">
        <v>232</v>
      </c>
      <c r="B47" s="2" t="s">
        <v>233</v>
      </c>
      <c r="I47" s="2" t="s">
        <v>234</v>
      </c>
      <c r="J47" s="2" t="s">
        <v>235</v>
      </c>
      <c r="K47" s="2" t="s">
        <v>236</v>
      </c>
    </row>
    <row r="48" spans="1:11" x14ac:dyDescent="0.25">
      <c r="A48" s="3" t="s">
        <v>237</v>
      </c>
      <c r="B48" s="3" t="s">
        <v>238</v>
      </c>
      <c r="I48" s="3" t="s">
        <v>239</v>
      </c>
      <c r="J48" s="3" t="s">
        <v>240</v>
      </c>
      <c r="K48" s="4" t="s">
        <v>241</v>
      </c>
    </row>
    <row r="49" spans="1:11" x14ac:dyDescent="0.25">
      <c r="I49" s="3" t="s">
        <v>242</v>
      </c>
      <c r="J49" s="3" t="s">
        <v>243</v>
      </c>
      <c r="K49" s="4" t="s">
        <v>244</v>
      </c>
    </row>
    <row r="50" spans="1:11" x14ac:dyDescent="0.25">
      <c r="I50" s="3" t="s">
        <v>245</v>
      </c>
      <c r="J50" s="3" t="s">
        <v>246</v>
      </c>
      <c r="K50" s="4" t="s">
        <v>247</v>
      </c>
    </row>
    <row r="51" spans="1:11" x14ac:dyDescent="0.25">
      <c r="I51" s="3" t="s">
        <v>248</v>
      </c>
      <c r="J51" s="3" t="s">
        <v>249</v>
      </c>
      <c r="K51" s="4" t="s">
        <v>250</v>
      </c>
    </row>
    <row r="52" spans="1:11" x14ac:dyDescent="0.25">
      <c r="I52" s="3" t="s">
        <v>251</v>
      </c>
      <c r="J52" s="3" t="s">
        <v>252</v>
      </c>
      <c r="K52" s="4" t="s">
        <v>253</v>
      </c>
    </row>
    <row r="53" spans="1:11" x14ac:dyDescent="0.25">
      <c r="I53" s="3" t="s">
        <v>254</v>
      </c>
      <c r="J53" s="3" t="s">
        <v>255</v>
      </c>
      <c r="K53" s="4" t="s">
        <v>256</v>
      </c>
    </row>
    <row r="54" spans="1:11" x14ac:dyDescent="0.25">
      <c r="I54" s="3" t="s">
        <v>257</v>
      </c>
      <c r="J54" s="3" t="s">
        <v>258</v>
      </c>
      <c r="K54" s="4" t="s">
        <v>259</v>
      </c>
    </row>
    <row r="55" spans="1:11" x14ac:dyDescent="0.25">
      <c r="I55" s="3" t="s">
        <v>260</v>
      </c>
      <c r="J55" s="3" t="s">
        <v>261</v>
      </c>
      <c r="K55" s="4" t="s">
        <v>262</v>
      </c>
    </row>
    <row r="56" spans="1:11" x14ac:dyDescent="0.25">
      <c r="I56" s="3" t="s">
        <v>263</v>
      </c>
      <c r="J56" s="3" t="s">
        <v>264</v>
      </c>
      <c r="K56" s="4" t="s">
        <v>265</v>
      </c>
    </row>
    <row r="57" spans="1:11" x14ac:dyDescent="0.25">
      <c r="I57" s="3" t="s">
        <v>101</v>
      </c>
      <c r="J57" s="3" t="s">
        <v>102</v>
      </c>
      <c r="K57" s="4" t="s">
        <v>266</v>
      </c>
    </row>
    <row r="58" spans="1:11" x14ac:dyDescent="0.25">
      <c r="I58" s="3" t="s">
        <v>156</v>
      </c>
      <c r="J58" s="3" t="s">
        <v>157</v>
      </c>
      <c r="K58" s="4" t="s">
        <v>189</v>
      </c>
    </row>
    <row r="61" spans="1:11" ht="15.75" x14ac:dyDescent="0.25">
      <c r="A61" s="1" t="s">
        <v>267</v>
      </c>
    </row>
    <row r="62" spans="1:11" x14ac:dyDescent="0.25">
      <c r="A62" s="2" t="s">
        <v>268</v>
      </c>
      <c r="B62" s="2" t="s">
        <v>269</v>
      </c>
      <c r="I62" s="2" t="s">
        <v>270</v>
      </c>
      <c r="J62" s="2" t="s">
        <v>271</v>
      </c>
      <c r="K62" s="2" t="s">
        <v>272</v>
      </c>
    </row>
    <row r="63" spans="1:11" x14ac:dyDescent="0.25">
      <c r="A63" s="3" t="s">
        <v>273</v>
      </c>
      <c r="B63" s="3" t="s">
        <v>274</v>
      </c>
      <c r="I63" s="3" t="s">
        <v>239</v>
      </c>
      <c r="J63" s="3" t="s">
        <v>240</v>
      </c>
      <c r="K63" s="4" t="s">
        <v>241</v>
      </c>
    </row>
    <row r="64" spans="1:11" x14ac:dyDescent="0.25">
      <c r="I64" s="3" t="s">
        <v>242</v>
      </c>
      <c r="J64" s="3" t="s">
        <v>243</v>
      </c>
      <c r="K64" s="4" t="s">
        <v>244</v>
      </c>
    </row>
    <row r="65" spans="1:11" x14ac:dyDescent="0.25">
      <c r="I65" s="3" t="s">
        <v>245</v>
      </c>
      <c r="J65" s="3" t="s">
        <v>246</v>
      </c>
      <c r="K65" s="4" t="s">
        <v>247</v>
      </c>
    </row>
    <row r="66" spans="1:11" x14ac:dyDescent="0.25">
      <c r="I66" s="3" t="s">
        <v>248</v>
      </c>
      <c r="J66" s="3" t="s">
        <v>249</v>
      </c>
      <c r="K66" s="4" t="s">
        <v>250</v>
      </c>
    </row>
    <row r="67" spans="1:11" x14ac:dyDescent="0.25">
      <c r="I67" s="3" t="s">
        <v>251</v>
      </c>
      <c r="J67" s="3" t="s">
        <v>252</v>
      </c>
      <c r="K67" s="4" t="s">
        <v>253</v>
      </c>
    </row>
    <row r="68" spans="1:11" x14ac:dyDescent="0.25">
      <c r="I68" s="3" t="s">
        <v>254</v>
      </c>
      <c r="J68" s="3" t="s">
        <v>255</v>
      </c>
      <c r="K68" s="4" t="s">
        <v>256</v>
      </c>
    </row>
    <row r="69" spans="1:11" x14ac:dyDescent="0.25">
      <c r="I69" s="3" t="s">
        <v>257</v>
      </c>
      <c r="J69" s="3" t="s">
        <v>258</v>
      </c>
      <c r="K69" s="4" t="s">
        <v>259</v>
      </c>
    </row>
    <row r="70" spans="1:11" x14ac:dyDescent="0.25">
      <c r="I70" s="3" t="s">
        <v>275</v>
      </c>
      <c r="J70" s="3" t="s">
        <v>276</v>
      </c>
      <c r="K70" s="4" t="s">
        <v>277</v>
      </c>
    </row>
    <row r="71" spans="1:11" x14ac:dyDescent="0.25">
      <c r="I71" s="3" t="s">
        <v>278</v>
      </c>
      <c r="J71" s="3" t="s">
        <v>279</v>
      </c>
      <c r="K71" s="4" t="s">
        <v>280</v>
      </c>
    </row>
    <row r="72" spans="1:11" x14ac:dyDescent="0.25">
      <c r="I72" s="3" t="s">
        <v>281</v>
      </c>
      <c r="J72" s="3" t="s">
        <v>282</v>
      </c>
      <c r="K72" s="4" t="s">
        <v>283</v>
      </c>
    </row>
    <row r="73" spans="1:11" x14ac:dyDescent="0.25">
      <c r="I73" s="3" t="s">
        <v>284</v>
      </c>
      <c r="J73" s="3" t="s">
        <v>285</v>
      </c>
      <c r="K73" s="4" t="s">
        <v>286</v>
      </c>
    </row>
    <row r="74" spans="1:11" x14ac:dyDescent="0.25">
      <c r="I74" s="3" t="s">
        <v>287</v>
      </c>
      <c r="J74" s="3" t="s">
        <v>288</v>
      </c>
      <c r="K74" s="4" t="s">
        <v>289</v>
      </c>
    </row>
    <row r="75" spans="1:11" x14ac:dyDescent="0.25">
      <c r="I75" s="3" t="s">
        <v>101</v>
      </c>
      <c r="J75" s="3" t="s">
        <v>102</v>
      </c>
      <c r="K75" s="4" t="s">
        <v>266</v>
      </c>
    </row>
    <row r="76" spans="1:11" x14ac:dyDescent="0.25">
      <c r="I76" s="3" t="s">
        <v>156</v>
      </c>
      <c r="J76" s="3" t="s">
        <v>157</v>
      </c>
      <c r="K76" s="4" t="s">
        <v>189</v>
      </c>
    </row>
    <row r="79" spans="1:11" ht="15.75" x14ac:dyDescent="0.25">
      <c r="A79" s="1" t="s">
        <v>290</v>
      </c>
    </row>
    <row r="80" spans="1:11" x14ac:dyDescent="0.25">
      <c r="A80" s="2" t="s">
        <v>291</v>
      </c>
      <c r="B80" s="2" t="s">
        <v>292</v>
      </c>
      <c r="I80" s="2" t="s">
        <v>293</v>
      </c>
      <c r="J80" s="2" t="s">
        <v>294</v>
      </c>
      <c r="K80" s="2" t="s">
        <v>295</v>
      </c>
    </row>
    <row r="81" spans="1:11" x14ac:dyDescent="0.25">
      <c r="A81" s="3" t="s">
        <v>296</v>
      </c>
      <c r="B81" s="3" t="s">
        <v>297</v>
      </c>
      <c r="I81" s="3" t="s">
        <v>298</v>
      </c>
      <c r="J81" s="3" t="s">
        <v>299</v>
      </c>
      <c r="K81" s="4" t="s">
        <v>300</v>
      </c>
    </row>
    <row r="82" spans="1:11" x14ac:dyDescent="0.25">
      <c r="I82" s="3" t="s">
        <v>301</v>
      </c>
      <c r="J82" s="3" t="s">
        <v>302</v>
      </c>
      <c r="K82" s="4" t="s">
        <v>303</v>
      </c>
    </row>
    <row r="83" spans="1:11" x14ac:dyDescent="0.25">
      <c r="I83" s="3" t="s">
        <v>304</v>
      </c>
      <c r="J83" s="3" t="s">
        <v>305</v>
      </c>
      <c r="K83" s="4" t="s">
        <v>306</v>
      </c>
    </row>
    <row r="84" spans="1:11" x14ac:dyDescent="0.25">
      <c r="I84" s="3" t="s">
        <v>307</v>
      </c>
      <c r="J84" s="3" t="s">
        <v>308</v>
      </c>
      <c r="K84" s="4" t="s">
        <v>309</v>
      </c>
    </row>
    <row r="85" spans="1:11" x14ac:dyDescent="0.25">
      <c r="I85" s="3" t="s">
        <v>310</v>
      </c>
      <c r="J85" s="3" t="s">
        <v>311</v>
      </c>
      <c r="K85" s="4" t="s">
        <v>312</v>
      </c>
    </row>
    <row r="86" spans="1:11" x14ac:dyDescent="0.25">
      <c r="I86" s="3" t="s">
        <v>284</v>
      </c>
      <c r="J86" s="3" t="s">
        <v>313</v>
      </c>
      <c r="K86" s="4" t="s">
        <v>314</v>
      </c>
    </row>
    <row r="87" spans="1:11" x14ac:dyDescent="0.25">
      <c r="I87" s="3" t="s">
        <v>315</v>
      </c>
      <c r="J87" s="3" t="s">
        <v>316</v>
      </c>
      <c r="K87" s="4" t="s">
        <v>317</v>
      </c>
    </row>
    <row r="88" spans="1:11" x14ac:dyDescent="0.25">
      <c r="I88" s="3" t="s">
        <v>101</v>
      </c>
      <c r="J88" s="3" t="s">
        <v>102</v>
      </c>
      <c r="K88" s="4" t="s">
        <v>318</v>
      </c>
    </row>
    <row r="89" spans="1:11" x14ac:dyDescent="0.25">
      <c r="I89" s="3" t="s">
        <v>156</v>
      </c>
      <c r="J89" s="3" t="s">
        <v>157</v>
      </c>
      <c r="K89" s="4" t="s">
        <v>189</v>
      </c>
    </row>
    <row r="92" spans="1:11" ht="15.75" x14ac:dyDescent="0.25">
      <c r="A92" s="1" t="s">
        <v>319</v>
      </c>
    </row>
    <row r="93" spans="1:11" x14ac:dyDescent="0.25">
      <c r="A93" s="2" t="s">
        <v>320</v>
      </c>
      <c r="B93" s="2" t="s">
        <v>321</v>
      </c>
      <c r="I93" s="2" t="s">
        <v>322</v>
      </c>
      <c r="J93" s="2" t="s">
        <v>323</v>
      </c>
      <c r="K93" s="2" t="s">
        <v>324</v>
      </c>
    </row>
    <row r="94" spans="1:11" x14ac:dyDescent="0.25">
      <c r="A94" s="3" t="s">
        <v>108</v>
      </c>
      <c r="B94" s="3" t="s">
        <v>325</v>
      </c>
      <c r="I94" s="3" t="s">
        <v>326</v>
      </c>
      <c r="J94" s="3" t="s">
        <v>327</v>
      </c>
      <c r="K94" s="4" t="s">
        <v>328</v>
      </c>
    </row>
    <row r="95" spans="1:11" x14ac:dyDescent="0.25">
      <c r="I95" s="3" t="s">
        <v>329</v>
      </c>
      <c r="J95" s="3" t="s">
        <v>330</v>
      </c>
      <c r="K95" s="4" t="s">
        <v>331</v>
      </c>
    </row>
    <row r="96" spans="1:11" x14ac:dyDescent="0.25">
      <c r="I96" s="3" t="s">
        <v>332</v>
      </c>
      <c r="J96" s="3" t="s">
        <v>333</v>
      </c>
      <c r="K96" s="4" t="s">
        <v>334</v>
      </c>
    </row>
    <row r="97" spans="1:11" x14ac:dyDescent="0.25">
      <c r="I97" s="3" t="s">
        <v>198</v>
      </c>
      <c r="J97" s="3" t="s">
        <v>335</v>
      </c>
      <c r="K97" s="4" t="s">
        <v>336</v>
      </c>
    </row>
    <row r="98" spans="1:11" x14ac:dyDescent="0.25">
      <c r="I98" s="3" t="s">
        <v>254</v>
      </c>
      <c r="J98" s="3" t="s">
        <v>337</v>
      </c>
      <c r="K98" s="4" t="s">
        <v>338</v>
      </c>
    </row>
    <row r="99" spans="1:11" x14ac:dyDescent="0.25">
      <c r="I99" s="3" t="s">
        <v>215</v>
      </c>
      <c r="J99" s="3" t="s">
        <v>339</v>
      </c>
      <c r="K99" s="4" t="s">
        <v>340</v>
      </c>
    </row>
    <row r="100" spans="1:11" x14ac:dyDescent="0.25">
      <c r="I100" s="3" t="s">
        <v>341</v>
      </c>
      <c r="J100" s="3" t="s">
        <v>342</v>
      </c>
      <c r="K100" s="4" t="s">
        <v>343</v>
      </c>
    </row>
    <row r="101" spans="1:11" x14ac:dyDescent="0.25">
      <c r="I101" s="3" t="s">
        <v>344</v>
      </c>
      <c r="J101" s="3" t="s">
        <v>345</v>
      </c>
      <c r="K101" s="4" t="s">
        <v>346</v>
      </c>
    </row>
    <row r="102" spans="1:11" x14ac:dyDescent="0.25">
      <c r="I102" s="3" t="s">
        <v>101</v>
      </c>
      <c r="J102" s="3" t="s">
        <v>102</v>
      </c>
      <c r="K102" s="4" t="s">
        <v>347</v>
      </c>
    </row>
    <row r="103" spans="1:11" x14ac:dyDescent="0.25">
      <c r="I103" s="3" t="s">
        <v>156</v>
      </c>
      <c r="J103" s="3" t="s">
        <v>157</v>
      </c>
      <c r="K103" s="4" t="s">
        <v>189</v>
      </c>
    </row>
    <row r="107" spans="1:11" x14ac:dyDescent="0.25">
      <c r="A107" s="5" t="s">
        <v>348</v>
      </c>
    </row>
    <row r="109" spans="1:11" x14ac:dyDescent="0.25">
      <c r="A109" s="5" t="s">
        <v>349</v>
      </c>
    </row>
  </sheetData>
  <pageMargins left="0.75" right="0.75" top="1" bottom="1" header="0.5" footer="0.5"/>
  <tableParts count="2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6D82"/>
  </sheetPr>
  <dimension ref="A1:S81"/>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21" customWidth="1"/>
    <col min="7" max="7" width="4" customWidth="1"/>
    <col min="8" max="8" width="20" customWidth="1"/>
    <col min="9" max="9" width="4" customWidth="1"/>
    <col min="10" max="10" width="6" customWidth="1"/>
    <col min="11" max="11" width="17" customWidth="1"/>
    <col min="12" max="12" width="4" customWidth="1"/>
    <col min="13" max="13" width="12" customWidth="1"/>
    <col min="14" max="14" width="19" customWidth="1"/>
    <col min="15" max="15" width="12" customWidth="1"/>
    <col min="16" max="16" width="11" customWidth="1"/>
    <col min="17" max="17" width="22" customWidth="1"/>
    <col min="18" max="18" width="12" customWidth="1"/>
    <col min="19" max="19" width="38" customWidth="1"/>
  </cols>
  <sheetData>
    <row r="1" spans="1:19" ht="19.5" x14ac:dyDescent="0.3">
      <c r="A1" s="6" t="s">
        <v>165</v>
      </c>
    </row>
    <row r="2" spans="1:19" x14ac:dyDescent="0.25">
      <c r="A2" s="7" t="s">
        <v>350</v>
      </c>
    </row>
    <row r="3" spans="1:19" x14ac:dyDescent="0.25">
      <c r="A3" s="8" t="s">
        <v>351</v>
      </c>
    </row>
    <row r="4" spans="1:19" ht="17.100000000000001" customHeight="1" x14ac:dyDescent="0.25">
      <c r="A4" s="5" t="s">
        <v>352</v>
      </c>
    </row>
    <row r="5" spans="1:19" ht="30" customHeight="1" x14ac:dyDescent="0.25">
      <c r="A5" s="9" t="s">
        <v>353</v>
      </c>
      <c r="B5" s="9" t="s">
        <v>91</v>
      </c>
      <c r="C5" s="9" t="s">
        <v>354</v>
      </c>
      <c r="D5" s="10" t="s">
        <v>130</v>
      </c>
      <c r="E5" s="9" t="s">
        <v>129</v>
      </c>
      <c r="F5" s="9" t="s">
        <v>355</v>
      </c>
      <c r="G5" s="9" t="s">
        <v>356</v>
      </c>
      <c r="H5" s="9" t="s">
        <v>357</v>
      </c>
      <c r="I5" s="9" t="s">
        <v>358</v>
      </c>
      <c r="J5" s="9" t="s">
        <v>359</v>
      </c>
      <c r="K5" s="9" t="s">
        <v>360</v>
      </c>
      <c r="L5" s="9" t="s">
        <v>361</v>
      </c>
      <c r="M5" s="9" t="s">
        <v>362</v>
      </c>
      <c r="N5" s="9" t="s">
        <v>363</v>
      </c>
      <c r="O5" s="9" t="s">
        <v>364</v>
      </c>
      <c r="P5" s="9" t="s">
        <v>365</v>
      </c>
      <c r="Q5" s="10" t="s">
        <v>366</v>
      </c>
      <c r="R5" s="9" t="s">
        <v>367</v>
      </c>
      <c r="S5" s="9" t="s">
        <v>368</v>
      </c>
    </row>
    <row r="6" spans="1:19" x14ac:dyDescent="0.25">
      <c r="A6" s="11" t="s">
        <v>369</v>
      </c>
      <c r="B6" s="12" t="s">
        <v>100</v>
      </c>
      <c r="C6" s="13" t="str">
        <f t="shared" ref="C6:C27" si="0">IFERROR(INDEX(Author_Code,MATCH($B6,Author_Name,0)),"")</f>
        <v>e</v>
      </c>
      <c r="D6" s="14"/>
      <c r="E6" s="13" t="str">
        <f t="shared" ref="E6:E27" si="1">IFERROR(INDEX(InPl_Code,MATCH($D6,InPl_Name,0)),"")</f>
        <v/>
      </c>
      <c r="F6" s="12" t="s">
        <v>172</v>
      </c>
      <c r="G6" s="13" t="str">
        <f t="shared" ref="G6:G27" si="2">IFERROR(INDEX(FS_Cat_Code,MATCH($F6,FS_Cat_Name,0)),"")</f>
        <v>FS</v>
      </c>
      <c r="H6" s="12" t="s">
        <v>109</v>
      </c>
      <c r="I6" s="13" t="str">
        <f t="shared" ref="I6:I27" si="3">IFERROR(INDEX(STR_G1_Code,MATCH($H6,STR_G1_Name,0)),"")</f>
        <v>CN</v>
      </c>
      <c r="J6" s="13" t="str">
        <f t="shared" ref="J6:J27" si="4">IFERROR(LEFT(INDEX(STR_G1_TM,MATCH($H6,STR_G1_Name,0)),1),"")</f>
        <v>1</v>
      </c>
      <c r="K6" s="12" t="s">
        <v>174</v>
      </c>
      <c r="L6" s="13" t="str">
        <f t="shared" ref="L6:L27" si="5">IFERROR(INDEX(FS_G2_Code,MATCH($K6,FS_G2_Name,0)),"")</f>
        <v>MT</v>
      </c>
      <c r="M6" s="12">
        <v>1</v>
      </c>
      <c r="N6" s="15"/>
      <c r="O6" s="13" t="str">
        <f t="shared" ref="O6:O27" si="6">IF($I6="OT",$N6,IF(OR($G6="",$J6="",$M6=""),"",$G6&amp;"-"&amp;$J6&amp;IF(UPPER($M6)="XX","XX",TEXT($M6,"00"))))</f>
        <v>FS-101</v>
      </c>
      <c r="P6" s="12">
        <v>800</v>
      </c>
      <c r="Q6" s="16"/>
      <c r="R6" s="13" t="str">
        <f t="shared" ref="R6:R27" si="7">$G6&amp;IF($I6&lt;&gt;"","."&amp;$I6,"")&amp;IF($L6&lt;&gt;"","."&amp;$L6,"")</f>
        <v>FS.CN.MT</v>
      </c>
      <c r="S6" s="17" t="str">
        <f t="shared" ref="S6:S27" si="8">IF(AND($F6&lt;&gt;"",$H6&lt;&gt;"",$O6&lt;&gt;"",$P6&lt;&gt;""),$C6&amp;"_"&amp;$O6&amp;"_"&amp;$E6&amp;$R6&amp;"_"&amp;"T"&amp;TEXT($P6,"0")&amp;IF($Q6&lt;&gt;"","_"&amp;$Q6,""),"")</f>
        <v>e_FS-101_FS.CN.MT_T800</v>
      </c>
    </row>
    <row r="7" spans="1:19" x14ac:dyDescent="0.25">
      <c r="A7" s="11" t="s">
        <v>370</v>
      </c>
      <c r="B7" s="12" t="s">
        <v>100</v>
      </c>
      <c r="C7" s="13" t="str">
        <f t="shared" si="0"/>
        <v>e</v>
      </c>
      <c r="D7" s="14"/>
      <c r="E7" s="13" t="str">
        <f t="shared" si="1"/>
        <v/>
      </c>
      <c r="F7" s="12" t="s">
        <v>172</v>
      </c>
      <c r="G7" s="13" t="str">
        <f t="shared" si="2"/>
        <v>FS</v>
      </c>
      <c r="H7" s="12" t="s">
        <v>109</v>
      </c>
      <c r="I7" s="13" t="str">
        <f t="shared" si="3"/>
        <v>CN</v>
      </c>
      <c r="J7" s="13" t="str">
        <f t="shared" si="4"/>
        <v>1</v>
      </c>
      <c r="K7" s="12" t="s">
        <v>174</v>
      </c>
      <c r="L7" s="13" t="str">
        <f t="shared" si="5"/>
        <v>MT</v>
      </c>
      <c r="M7" s="12">
        <v>2</v>
      </c>
      <c r="N7" s="15"/>
      <c r="O7" s="13" t="str">
        <f t="shared" si="6"/>
        <v>FS-102</v>
      </c>
      <c r="P7" s="12">
        <v>1000</v>
      </c>
      <c r="Q7" s="16"/>
      <c r="R7" s="13" t="str">
        <f t="shared" si="7"/>
        <v>FS.CN.MT</v>
      </c>
      <c r="S7" s="17" t="str">
        <f t="shared" si="8"/>
        <v>e_FS-102_FS.CN.MT_T1000</v>
      </c>
    </row>
    <row r="8" spans="1:19" x14ac:dyDescent="0.25">
      <c r="A8" s="11" t="s">
        <v>371</v>
      </c>
      <c r="B8" s="12" t="s">
        <v>100</v>
      </c>
      <c r="C8" s="13" t="str">
        <f t="shared" si="0"/>
        <v>e</v>
      </c>
      <c r="D8" s="14"/>
      <c r="E8" s="13" t="str">
        <f t="shared" si="1"/>
        <v/>
      </c>
      <c r="F8" s="12" t="s">
        <v>172</v>
      </c>
      <c r="G8" s="13" t="str">
        <f t="shared" si="2"/>
        <v>FS</v>
      </c>
      <c r="H8" s="12" t="s">
        <v>109</v>
      </c>
      <c r="I8" s="13" t="str">
        <f t="shared" si="3"/>
        <v>CN</v>
      </c>
      <c r="J8" s="13" t="str">
        <f t="shared" si="4"/>
        <v>1</v>
      </c>
      <c r="K8" s="12" t="s">
        <v>177</v>
      </c>
      <c r="L8" s="13" t="str">
        <f t="shared" si="5"/>
        <v>GB</v>
      </c>
      <c r="M8" s="12">
        <v>3</v>
      </c>
      <c r="N8" s="15"/>
      <c r="O8" s="13" t="str">
        <f t="shared" si="6"/>
        <v>FS-103</v>
      </c>
      <c r="P8" s="12">
        <v>150</v>
      </c>
      <c r="Q8" s="16"/>
      <c r="R8" s="13" t="str">
        <f t="shared" si="7"/>
        <v>FS.CN.GB</v>
      </c>
      <c r="S8" s="17" t="str">
        <f t="shared" si="8"/>
        <v>e_FS-103_FS.CN.GB_T150</v>
      </c>
    </row>
    <row r="9" spans="1:19" x14ac:dyDescent="0.25">
      <c r="A9" s="11" t="s">
        <v>372</v>
      </c>
      <c r="B9" s="12" t="s">
        <v>100</v>
      </c>
      <c r="C9" s="13" t="str">
        <f t="shared" si="0"/>
        <v>e</v>
      </c>
      <c r="D9" s="14"/>
      <c r="E9" s="13" t="str">
        <f t="shared" si="1"/>
        <v/>
      </c>
      <c r="F9" s="12" t="s">
        <v>172</v>
      </c>
      <c r="G9" s="13" t="str">
        <f t="shared" si="2"/>
        <v>FS</v>
      </c>
      <c r="H9" s="12" t="s">
        <v>109</v>
      </c>
      <c r="I9" s="13" t="str">
        <f t="shared" si="3"/>
        <v>CN</v>
      </c>
      <c r="J9" s="13" t="str">
        <f t="shared" si="4"/>
        <v>1</v>
      </c>
      <c r="K9" s="12" t="s">
        <v>183</v>
      </c>
      <c r="L9" s="13" t="str">
        <f t="shared" si="5"/>
        <v>BL</v>
      </c>
      <c r="M9" s="12">
        <v>4</v>
      </c>
      <c r="N9" s="15"/>
      <c r="O9" s="13" t="str">
        <f t="shared" si="6"/>
        <v>FS-104</v>
      </c>
      <c r="P9" s="12">
        <v>100</v>
      </c>
      <c r="Q9" s="16"/>
      <c r="R9" s="13" t="str">
        <f t="shared" si="7"/>
        <v>FS.CN.BL</v>
      </c>
      <c r="S9" s="17" t="str">
        <f t="shared" si="8"/>
        <v>e_FS-104_FS.CN.BL_T100</v>
      </c>
    </row>
    <row r="10" spans="1:19" x14ac:dyDescent="0.25">
      <c r="A10" s="11" t="s">
        <v>373</v>
      </c>
      <c r="B10" s="12" t="s">
        <v>100</v>
      </c>
      <c r="C10" s="13" t="str">
        <f t="shared" si="0"/>
        <v>e</v>
      </c>
      <c r="D10" s="14"/>
      <c r="E10" s="13" t="str">
        <f t="shared" si="1"/>
        <v/>
      </c>
      <c r="F10" s="12" t="s">
        <v>172</v>
      </c>
      <c r="G10" s="13" t="str">
        <f t="shared" si="2"/>
        <v>FS</v>
      </c>
      <c r="H10" s="12" t="s">
        <v>117</v>
      </c>
      <c r="I10" s="13" t="str">
        <f t="shared" si="3"/>
        <v>PC</v>
      </c>
      <c r="J10" s="13" t="str">
        <f t="shared" si="4"/>
        <v>2</v>
      </c>
      <c r="K10" s="12" t="s">
        <v>180</v>
      </c>
      <c r="L10" s="13" t="str">
        <f t="shared" si="5"/>
        <v>VC</v>
      </c>
      <c r="M10" s="12">
        <v>1</v>
      </c>
      <c r="N10" s="15"/>
      <c r="O10" s="13" t="str">
        <f t="shared" si="6"/>
        <v>FS-201</v>
      </c>
      <c r="P10" s="12">
        <v>350</v>
      </c>
      <c r="Q10" s="16" t="s">
        <v>374</v>
      </c>
      <c r="R10" s="13" t="str">
        <f t="shared" si="7"/>
        <v>FS.PC.VC</v>
      </c>
      <c r="S10" s="17" t="str">
        <f t="shared" si="8"/>
        <v>e_FS-201_FS.PC.VC_T350_VespaioAreato</v>
      </c>
    </row>
    <row r="11" spans="1:19" x14ac:dyDescent="0.25">
      <c r="A11" s="11" t="s">
        <v>375</v>
      </c>
      <c r="B11" s="12" t="s">
        <v>100</v>
      </c>
      <c r="C11" s="13" t="str">
        <f t="shared" si="0"/>
        <v>e</v>
      </c>
      <c r="D11" s="14"/>
      <c r="E11" s="13" t="str">
        <f t="shared" si="1"/>
        <v/>
      </c>
      <c r="F11" s="12" t="s">
        <v>172</v>
      </c>
      <c r="G11" s="13" t="str">
        <f t="shared" si="2"/>
        <v>FS</v>
      </c>
      <c r="H11" s="12" t="s">
        <v>109</v>
      </c>
      <c r="I11" s="13" t="str">
        <f t="shared" si="3"/>
        <v>CN</v>
      </c>
      <c r="J11" s="13" t="str">
        <f t="shared" si="4"/>
        <v>1</v>
      </c>
      <c r="K11" s="12" t="s">
        <v>186</v>
      </c>
      <c r="L11" s="13" t="str">
        <f t="shared" si="5"/>
        <v>TH</v>
      </c>
      <c r="M11" s="12">
        <v>5</v>
      </c>
      <c r="N11" s="15"/>
      <c r="O11" s="13" t="str">
        <f t="shared" si="6"/>
        <v>FS-105</v>
      </c>
      <c r="P11" s="12">
        <v>1200</v>
      </c>
      <c r="Q11" s="16" t="s">
        <v>376</v>
      </c>
      <c r="R11" s="13" t="str">
        <f t="shared" si="7"/>
        <v>FS.CN.TH</v>
      </c>
      <c r="S11" s="17" t="str">
        <f t="shared" si="8"/>
        <v>e_FS-105_FS.CN.TH_T1200_RingrossoSottoPilastro</v>
      </c>
    </row>
    <row r="12" spans="1:19" x14ac:dyDescent="0.25">
      <c r="A12" s="11" t="s">
        <v>377</v>
      </c>
      <c r="B12" s="12" t="s">
        <v>100</v>
      </c>
      <c r="C12" s="13" t="str">
        <f t="shared" si="0"/>
        <v>e</v>
      </c>
      <c r="D12" s="14" t="s">
        <v>130</v>
      </c>
      <c r="E12" s="13" t="str">
        <f t="shared" si="1"/>
        <v>(I)</v>
      </c>
      <c r="F12" s="12" t="s">
        <v>172</v>
      </c>
      <c r="G12" s="13" t="str">
        <f t="shared" si="2"/>
        <v>FS</v>
      </c>
      <c r="H12" s="12" t="s">
        <v>109</v>
      </c>
      <c r="I12" s="13" t="str">
        <f t="shared" si="3"/>
        <v>CN</v>
      </c>
      <c r="J12" s="13" t="str">
        <f t="shared" si="4"/>
        <v>1</v>
      </c>
      <c r="K12" s="12" t="s">
        <v>174</v>
      </c>
      <c r="L12" s="13" t="str">
        <f t="shared" si="5"/>
        <v>MT</v>
      </c>
      <c r="M12" s="12">
        <v>1</v>
      </c>
      <c r="N12" s="15"/>
      <c r="O12" s="13" t="str">
        <f t="shared" si="6"/>
        <v>FS-101</v>
      </c>
      <c r="P12" s="12">
        <v>800</v>
      </c>
      <c r="Q12" s="16"/>
      <c r="R12" s="13" t="str">
        <f t="shared" si="7"/>
        <v>FS.CN.MT</v>
      </c>
      <c r="S12" s="17" t="str">
        <f t="shared" si="8"/>
        <v>e_FS-101_(I)FS.CN.MT_T800</v>
      </c>
    </row>
    <row r="13" spans="1:19" x14ac:dyDescent="0.25">
      <c r="A13" s="18">
        <v>1</v>
      </c>
      <c r="B13" s="19"/>
      <c r="C13" s="20" t="str">
        <f t="shared" si="0"/>
        <v/>
      </c>
      <c r="D13" s="21"/>
      <c r="E13" s="20" t="str">
        <f t="shared" si="1"/>
        <v/>
      </c>
      <c r="F13" s="19"/>
      <c r="G13" s="20" t="str">
        <f t="shared" si="2"/>
        <v/>
      </c>
      <c r="H13" s="19"/>
      <c r="I13" s="20" t="str">
        <f t="shared" si="3"/>
        <v/>
      </c>
      <c r="J13" s="20" t="str">
        <f t="shared" si="4"/>
        <v/>
      </c>
      <c r="K13" s="19"/>
      <c r="L13" s="20" t="str">
        <f t="shared" si="5"/>
        <v/>
      </c>
      <c r="M13" s="19"/>
      <c r="N13" s="22"/>
      <c r="O13" s="20" t="str">
        <f t="shared" si="6"/>
        <v/>
      </c>
      <c r="P13" s="19"/>
      <c r="Q13" s="23"/>
      <c r="R13" s="20" t="str">
        <f t="shared" si="7"/>
        <v/>
      </c>
      <c r="S13" s="24" t="str">
        <f t="shared" si="8"/>
        <v/>
      </c>
    </row>
    <row r="14" spans="1:19" x14ac:dyDescent="0.25">
      <c r="A14" s="18">
        <v>2</v>
      </c>
      <c r="B14" s="19"/>
      <c r="C14" s="20" t="str">
        <f t="shared" si="0"/>
        <v/>
      </c>
      <c r="D14" s="21"/>
      <c r="E14" s="20" t="str">
        <f t="shared" si="1"/>
        <v/>
      </c>
      <c r="F14" s="19"/>
      <c r="G14" s="20" t="str">
        <f t="shared" si="2"/>
        <v/>
      </c>
      <c r="H14" s="19"/>
      <c r="I14" s="20" t="str">
        <f t="shared" si="3"/>
        <v/>
      </c>
      <c r="J14" s="20" t="str">
        <f t="shared" si="4"/>
        <v/>
      </c>
      <c r="K14" s="19"/>
      <c r="L14" s="20" t="str">
        <f t="shared" si="5"/>
        <v/>
      </c>
      <c r="M14" s="19"/>
      <c r="N14" s="22"/>
      <c r="O14" s="20" t="str">
        <f t="shared" si="6"/>
        <v/>
      </c>
      <c r="P14" s="19"/>
      <c r="Q14" s="23"/>
      <c r="R14" s="20" t="str">
        <f t="shared" si="7"/>
        <v/>
      </c>
      <c r="S14" s="24" t="str">
        <f t="shared" si="8"/>
        <v/>
      </c>
    </row>
    <row r="15" spans="1:19" x14ac:dyDescent="0.25">
      <c r="A15" s="18">
        <v>3</v>
      </c>
      <c r="B15" s="19"/>
      <c r="C15" s="20" t="str">
        <f t="shared" si="0"/>
        <v/>
      </c>
      <c r="D15" s="21"/>
      <c r="E15" s="20" t="str">
        <f t="shared" si="1"/>
        <v/>
      </c>
      <c r="F15" s="19"/>
      <c r="G15" s="20" t="str">
        <f t="shared" si="2"/>
        <v/>
      </c>
      <c r="H15" s="19"/>
      <c r="I15" s="20" t="str">
        <f t="shared" si="3"/>
        <v/>
      </c>
      <c r="J15" s="20" t="str">
        <f t="shared" si="4"/>
        <v/>
      </c>
      <c r="K15" s="19"/>
      <c r="L15" s="20" t="str">
        <f t="shared" si="5"/>
        <v/>
      </c>
      <c r="M15" s="19"/>
      <c r="N15" s="22"/>
      <c r="O15" s="20" t="str">
        <f t="shared" si="6"/>
        <v/>
      </c>
      <c r="P15" s="19"/>
      <c r="Q15" s="23"/>
      <c r="R15" s="20" t="str">
        <f t="shared" si="7"/>
        <v/>
      </c>
      <c r="S15" s="24" t="str">
        <f t="shared" si="8"/>
        <v/>
      </c>
    </row>
    <row r="16" spans="1:19" x14ac:dyDescent="0.25">
      <c r="A16" s="18">
        <v>4</v>
      </c>
      <c r="B16" s="19"/>
      <c r="C16" s="20" t="str">
        <f t="shared" si="0"/>
        <v/>
      </c>
      <c r="D16" s="21"/>
      <c r="E16" s="20" t="str">
        <f t="shared" si="1"/>
        <v/>
      </c>
      <c r="F16" s="19"/>
      <c r="G16" s="20" t="str">
        <f t="shared" si="2"/>
        <v/>
      </c>
      <c r="H16" s="19"/>
      <c r="I16" s="20" t="str">
        <f t="shared" si="3"/>
        <v/>
      </c>
      <c r="J16" s="20" t="str">
        <f t="shared" si="4"/>
        <v/>
      </c>
      <c r="K16" s="19"/>
      <c r="L16" s="20" t="str">
        <f t="shared" si="5"/>
        <v/>
      </c>
      <c r="M16" s="19"/>
      <c r="N16" s="22"/>
      <c r="O16" s="20" t="str">
        <f t="shared" si="6"/>
        <v/>
      </c>
      <c r="P16" s="19"/>
      <c r="Q16" s="23"/>
      <c r="R16" s="20" t="str">
        <f t="shared" si="7"/>
        <v/>
      </c>
      <c r="S16" s="24" t="str">
        <f t="shared" si="8"/>
        <v/>
      </c>
    </row>
    <row r="17" spans="1:19" x14ac:dyDescent="0.25">
      <c r="A17" s="18">
        <v>5</v>
      </c>
      <c r="B17" s="19"/>
      <c r="C17" s="20" t="str">
        <f t="shared" si="0"/>
        <v/>
      </c>
      <c r="D17" s="21"/>
      <c r="E17" s="20" t="str">
        <f t="shared" si="1"/>
        <v/>
      </c>
      <c r="F17" s="19"/>
      <c r="G17" s="20" t="str">
        <f t="shared" si="2"/>
        <v/>
      </c>
      <c r="H17" s="19"/>
      <c r="I17" s="20" t="str">
        <f t="shared" si="3"/>
        <v/>
      </c>
      <c r="J17" s="20" t="str">
        <f t="shared" si="4"/>
        <v/>
      </c>
      <c r="K17" s="19"/>
      <c r="L17" s="20" t="str">
        <f t="shared" si="5"/>
        <v/>
      </c>
      <c r="M17" s="19"/>
      <c r="N17" s="22"/>
      <c r="O17" s="20" t="str">
        <f t="shared" si="6"/>
        <v/>
      </c>
      <c r="P17" s="19"/>
      <c r="Q17" s="23"/>
      <c r="R17" s="20" t="str">
        <f t="shared" si="7"/>
        <v/>
      </c>
      <c r="S17" s="24" t="str">
        <f t="shared" si="8"/>
        <v/>
      </c>
    </row>
    <row r="18" spans="1:19" x14ac:dyDescent="0.25">
      <c r="A18" s="18">
        <v>6</v>
      </c>
      <c r="B18" s="19"/>
      <c r="C18" s="20" t="str">
        <f t="shared" si="0"/>
        <v/>
      </c>
      <c r="D18" s="21"/>
      <c r="E18" s="20" t="str">
        <f t="shared" si="1"/>
        <v/>
      </c>
      <c r="F18" s="19"/>
      <c r="G18" s="20" t="str">
        <f t="shared" si="2"/>
        <v/>
      </c>
      <c r="H18" s="19"/>
      <c r="I18" s="20" t="str">
        <f t="shared" si="3"/>
        <v/>
      </c>
      <c r="J18" s="20" t="str">
        <f t="shared" si="4"/>
        <v/>
      </c>
      <c r="K18" s="19"/>
      <c r="L18" s="20" t="str">
        <f t="shared" si="5"/>
        <v/>
      </c>
      <c r="M18" s="19"/>
      <c r="N18" s="22"/>
      <c r="O18" s="20" t="str">
        <f t="shared" si="6"/>
        <v/>
      </c>
      <c r="P18" s="19"/>
      <c r="Q18" s="23"/>
      <c r="R18" s="20" t="str">
        <f t="shared" si="7"/>
        <v/>
      </c>
      <c r="S18" s="24" t="str">
        <f t="shared" si="8"/>
        <v/>
      </c>
    </row>
    <row r="19" spans="1:19" x14ac:dyDescent="0.25">
      <c r="A19" s="18">
        <v>7</v>
      </c>
      <c r="B19" s="19"/>
      <c r="C19" s="20" t="str">
        <f t="shared" si="0"/>
        <v/>
      </c>
      <c r="D19" s="21"/>
      <c r="E19" s="20" t="str">
        <f t="shared" si="1"/>
        <v/>
      </c>
      <c r="F19" s="19"/>
      <c r="G19" s="20" t="str">
        <f t="shared" si="2"/>
        <v/>
      </c>
      <c r="H19" s="19"/>
      <c r="I19" s="20" t="str">
        <f t="shared" si="3"/>
        <v/>
      </c>
      <c r="J19" s="20" t="str">
        <f t="shared" si="4"/>
        <v/>
      </c>
      <c r="K19" s="19"/>
      <c r="L19" s="20" t="str">
        <f t="shared" si="5"/>
        <v/>
      </c>
      <c r="M19" s="19"/>
      <c r="N19" s="22"/>
      <c r="O19" s="20" t="str">
        <f t="shared" si="6"/>
        <v/>
      </c>
      <c r="P19" s="19"/>
      <c r="Q19" s="23"/>
      <c r="R19" s="20" t="str">
        <f t="shared" si="7"/>
        <v/>
      </c>
      <c r="S19" s="24" t="str">
        <f t="shared" si="8"/>
        <v/>
      </c>
    </row>
    <row r="20" spans="1:19" x14ac:dyDescent="0.25">
      <c r="A20" s="18">
        <v>8</v>
      </c>
      <c r="B20" s="19"/>
      <c r="C20" s="20" t="str">
        <f t="shared" si="0"/>
        <v/>
      </c>
      <c r="D20" s="21"/>
      <c r="E20" s="20" t="str">
        <f t="shared" si="1"/>
        <v/>
      </c>
      <c r="F20" s="19"/>
      <c r="G20" s="20" t="str">
        <f t="shared" si="2"/>
        <v/>
      </c>
      <c r="H20" s="19"/>
      <c r="I20" s="20" t="str">
        <f t="shared" si="3"/>
        <v/>
      </c>
      <c r="J20" s="20" t="str">
        <f t="shared" si="4"/>
        <v/>
      </c>
      <c r="K20" s="19"/>
      <c r="L20" s="20" t="str">
        <f t="shared" si="5"/>
        <v/>
      </c>
      <c r="M20" s="19"/>
      <c r="N20" s="22"/>
      <c r="O20" s="20" t="str">
        <f t="shared" si="6"/>
        <v/>
      </c>
      <c r="P20" s="19"/>
      <c r="Q20" s="23"/>
      <c r="R20" s="20" t="str">
        <f t="shared" si="7"/>
        <v/>
      </c>
      <c r="S20" s="24" t="str">
        <f t="shared" si="8"/>
        <v/>
      </c>
    </row>
    <row r="21" spans="1:19" x14ac:dyDescent="0.25">
      <c r="A21" s="18">
        <v>9</v>
      </c>
      <c r="B21" s="19"/>
      <c r="C21" s="20" t="str">
        <f t="shared" si="0"/>
        <v/>
      </c>
      <c r="D21" s="21"/>
      <c r="E21" s="20" t="str">
        <f t="shared" si="1"/>
        <v/>
      </c>
      <c r="F21" s="19"/>
      <c r="G21" s="20" t="str">
        <f t="shared" si="2"/>
        <v/>
      </c>
      <c r="H21" s="19"/>
      <c r="I21" s="20" t="str">
        <f t="shared" si="3"/>
        <v/>
      </c>
      <c r="J21" s="20" t="str">
        <f t="shared" si="4"/>
        <v/>
      </c>
      <c r="K21" s="19"/>
      <c r="L21" s="20" t="str">
        <f t="shared" si="5"/>
        <v/>
      </c>
      <c r="M21" s="19"/>
      <c r="N21" s="22"/>
      <c r="O21" s="20" t="str">
        <f t="shared" si="6"/>
        <v/>
      </c>
      <c r="P21" s="19"/>
      <c r="Q21" s="23"/>
      <c r="R21" s="20" t="str">
        <f t="shared" si="7"/>
        <v/>
      </c>
      <c r="S21" s="24" t="str">
        <f t="shared" si="8"/>
        <v/>
      </c>
    </row>
    <row r="22" spans="1:19" x14ac:dyDescent="0.25">
      <c r="A22" s="18">
        <v>10</v>
      </c>
      <c r="B22" s="19"/>
      <c r="C22" s="20" t="str">
        <f t="shared" si="0"/>
        <v/>
      </c>
      <c r="D22" s="21"/>
      <c r="E22" s="20" t="str">
        <f t="shared" si="1"/>
        <v/>
      </c>
      <c r="F22" s="19"/>
      <c r="G22" s="20" t="str">
        <f t="shared" si="2"/>
        <v/>
      </c>
      <c r="H22" s="19"/>
      <c r="I22" s="20" t="str">
        <f t="shared" si="3"/>
        <v/>
      </c>
      <c r="J22" s="20" t="str">
        <f t="shared" si="4"/>
        <v/>
      </c>
      <c r="K22" s="19"/>
      <c r="L22" s="20" t="str">
        <f t="shared" si="5"/>
        <v/>
      </c>
      <c r="M22" s="19"/>
      <c r="N22" s="22"/>
      <c r="O22" s="20" t="str">
        <f t="shared" si="6"/>
        <v/>
      </c>
      <c r="P22" s="19"/>
      <c r="Q22" s="23"/>
      <c r="R22" s="20" t="str">
        <f t="shared" si="7"/>
        <v/>
      </c>
      <c r="S22" s="24" t="str">
        <f t="shared" si="8"/>
        <v/>
      </c>
    </row>
    <row r="23" spans="1:19" x14ac:dyDescent="0.25">
      <c r="A23" s="18">
        <v>11</v>
      </c>
      <c r="B23" s="19"/>
      <c r="C23" s="20" t="str">
        <f t="shared" si="0"/>
        <v/>
      </c>
      <c r="D23" s="21"/>
      <c r="E23" s="20" t="str">
        <f t="shared" si="1"/>
        <v/>
      </c>
      <c r="F23" s="19"/>
      <c r="G23" s="20" t="str">
        <f t="shared" si="2"/>
        <v/>
      </c>
      <c r="H23" s="19"/>
      <c r="I23" s="20" t="str">
        <f t="shared" si="3"/>
        <v/>
      </c>
      <c r="J23" s="20" t="str">
        <f t="shared" si="4"/>
        <v/>
      </c>
      <c r="K23" s="19"/>
      <c r="L23" s="20" t="str">
        <f t="shared" si="5"/>
        <v/>
      </c>
      <c r="M23" s="19"/>
      <c r="N23" s="22"/>
      <c r="O23" s="20" t="str">
        <f t="shared" si="6"/>
        <v/>
      </c>
      <c r="P23" s="19"/>
      <c r="Q23" s="23"/>
      <c r="R23" s="20" t="str">
        <f t="shared" si="7"/>
        <v/>
      </c>
      <c r="S23" s="24" t="str">
        <f t="shared" si="8"/>
        <v/>
      </c>
    </row>
    <row r="24" spans="1:19" x14ac:dyDescent="0.25">
      <c r="A24" s="18">
        <v>12</v>
      </c>
      <c r="B24" s="19"/>
      <c r="C24" s="20" t="str">
        <f t="shared" si="0"/>
        <v/>
      </c>
      <c r="D24" s="21"/>
      <c r="E24" s="20" t="str">
        <f t="shared" si="1"/>
        <v/>
      </c>
      <c r="F24" s="19"/>
      <c r="G24" s="20" t="str">
        <f t="shared" si="2"/>
        <v/>
      </c>
      <c r="H24" s="19"/>
      <c r="I24" s="20" t="str">
        <f t="shared" si="3"/>
        <v/>
      </c>
      <c r="J24" s="20" t="str">
        <f t="shared" si="4"/>
        <v/>
      </c>
      <c r="K24" s="19"/>
      <c r="L24" s="20" t="str">
        <f t="shared" si="5"/>
        <v/>
      </c>
      <c r="M24" s="19"/>
      <c r="N24" s="22"/>
      <c r="O24" s="20" t="str">
        <f t="shared" si="6"/>
        <v/>
      </c>
      <c r="P24" s="19"/>
      <c r="Q24" s="23"/>
      <c r="R24" s="20" t="str">
        <f t="shared" si="7"/>
        <v/>
      </c>
      <c r="S24" s="24" t="str">
        <f t="shared" si="8"/>
        <v/>
      </c>
    </row>
    <row r="25" spans="1:19" x14ac:dyDescent="0.25">
      <c r="A25" s="18">
        <v>13</v>
      </c>
      <c r="B25" s="19"/>
      <c r="C25" s="20" t="str">
        <f t="shared" si="0"/>
        <v/>
      </c>
      <c r="D25" s="21"/>
      <c r="E25" s="20" t="str">
        <f t="shared" si="1"/>
        <v/>
      </c>
      <c r="F25" s="19"/>
      <c r="G25" s="20" t="str">
        <f t="shared" si="2"/>
        <v/>
      </c>
      <c r="H25" s="19"/>
      <c r="I25" s="20" t="str">
        <f t="shared" si="3"/>
        <v/>
      </c>
      <c r="J25" s="20" t="str">
        <f t="shared" si="4"/>
        <v/>
      </c>
      <c r="K25" s="19"/>
      <c r="L25" s="20" t="str">
        <f t="shared" si="5"/>
        <v/>
      </c>
      <c r="M25" s="19"/>
      <c r="N25" s="22"/>
      <c r="O25" s="20" t="str">
        <f t="shared" si="6"/>
        <v/>
      </c>
      <c r="P25" s="19"/>
      <c r="Q25" s="23"/>
      <c r="R25" s="20" t="str">
        <f t="shared" si="7"/>
        <v/>
      </c>
      <c r="S25" s="24" t="str">
        <f t="shared" si="8"/>
        <v/>
      </c>
    </row>
    <row r="26" spans="1:19" x14ac:dyDescent="0.25">
      <c r="A26" s="18">
        <v>14</v>
      </c>
      <c r="B26" s="19"/>
      <c r="C26" s="20" t="str">
        <f t="shared" si="0"/>
        <v/>
      </c>
      <c r="D26" s="21"/>
      <c r="E26" s="20" t="str">
        <f t="shared" si="1"/>
        <v/>
      </c>
      <c r="F26" s="19"/>
      <c r="G26" s="20" t="str">
        <f t="shared" si="2"/>
        <v/>
      </c>
      <c r="H26" s="19"/>
      <c r="I26" s="20" t="str">
        <f t="shared" si="3"/>
        <v/>
      </c>
      <c r="J26" s="20" t="str">
        <f t="shared" si="4"/>
        <v/>
      </c>
      <c r="K26" s="19"/>
      <c r="L26" s="20" t="str">
        <f t="shared" si="5"/>
        <v/>
      </c>
      <c r="M26" s="19"/>
      <c r="N26" s="22"/>
      <c r="O26" s="20" t="str">
        <f t="shared" si="6"/>
        <v/>
      </c>
      <c r="P26" s="19"/>
      <c r="Q26" s="23"/>
      <c r="R26" s="20" t="str">
        <f t="shared" si="7"/>
        <v/>
      </c>
      <c r="S26" s="24" t="str">
        <f t="shared" si="8"/>
        <v/>
      </c>
    </row>
    <row r="27" spans="1:19" x14ac:dyDescent="0.25">
      <c r="A27" s="18">
        <v>15</v>
      </c>
      <c r="B27" s="19"/>
      <c r="C27" s="20" t="str">
        <f t="shared" si="0"/>
        <v/>
      </c>
      <c r="D27" s="21"/>
      <c r="E27" s="20" t="str">
        <f t="shared" si="1"/>
        <v/>
      </c>
      <c r="F27" s="19"/>
      <c r="G27" s="20" t="str">
        <f t="shared" si="2"/>
        <v/>
      </c>
      <c r="H27" s="19"/>
      <c r="I27" s="20" t="str">
        <f t="shared" si="3"/>
        <v/>
      </c>
      <c r="J27" s="20" t="str">
        <f t="shared" si="4"/>
        <v/>
      </c>
      <c r="K27" s="19"/>
      <c r="L27" s="20" t="str">
        <f t="shared" si="5"/>
        <v/>
      </c>
      <c r="M27" s="19"/>
      <c r="N27" s="22"/>
      <c r="O27" s="20" t="str">
        <f t="shared" si="6"/>
        <v/>
      </c>
      <c r="P27" s="19"/>
      <c r="Q27" s="23"/>
      <c r="R27" s="20" t="str">
        <f t="shared" si="7"/>
        <v/>
      </c>
      <c r="S27" s="24" t="str">
        <f t="shared" si="8"/>
        <v/>
      </c>
    </row>
    <row r="30" spans="1:19" ht="21.95" customHeight="1" x14ac:dyDescent="0.25">
      <c r="A30" s="44" t="s">
        <v>378</v>
      </c>
      <c r="B30" s="45"/>
      <c r="C30" s="45"/>
      <c r="D30" s="45"/>
      <c r="E30" s="45"/>
      <c r="F30" s="45"/>
      <c r="G30" s="45"/>
      <c r="H30" s="45"/>
      <c r="I30" s="45"/>
      <c r="J30" s="45"/>
      <c r="K30" s="45"/>
      <c r="L30" s="45"/>
      <c r="M30" s="45"/>
      <c r="N30" s="45"/>
      <c r="O30" s="45"/>
      <c r="P30" s="45"/>
      <c r="Q30" s="45"/>
      <c r="R30" s="45"/>
      <c r="S30" s="45"/>
    </row>
    <row r="31" spans="1:19" ht="15.95" customHeight="1" x14ac:dyDescent="0.25">
      <c r="A31" s="43" t="s">
        <v>379</v>
      </c>
      <c r="B31" s="35"/>
      <c r="C31" s="35"/>
      <c r="D31" s="35"/>
      <c r="E31" s="35"/>
      <c r="F31" s="35"/>
      <c r="G31" s="35"/>
      <c r="H31" s="35"/>
      <c r="I31" s="35"/>
      <c r="J31" s="35"/>
      <c r="K31" s="35"/>
      <c r="L31" s="35"/>
      <c r="M31" s="35"/>
      <c r="N31" s="35"/>
      <c r="O31" s="35"/>
      <c r="P31" s="35"/>
      <c r="Q31" s="35"/>
      <c r="R31" s="35"/>
      <c r="S31" s="35"/>
    </row>
    <row r="33" spans="1:19" ht="18" customHeight="1" x14ac:dyDescent="0.25">
      <c r="A33" s="41" t="s">
        <v>380</v>
      </c>
      <c r="B33" s="35"/>
      <c r="C33" s="35"/>
      <c r="D33" s="35"/>
      <c r="E33" s="35"/>
      <c r="F33" s="35"/>
      <c r="G33" s="35"/>
      <c r="H33" s="35"/>
      <c r="I33" s="35"/>
      <c r="J33" s="35"/>
      <c r="K33" s="35"/>
      <c r="L33" s="35"/>
      <c r="M33" s="35"/>
      <c r="N33" s="35"/>
      <c r="O33" s="35"/>
      <c r="P33" s="35"/>
      <c r="Q33" s="35"/>
      <c r="R33" s="35"/>
      <c r="S33" s="35"/>
    </row>
    <row r="34" spans="1:19" ht="36" customHeight="1" x14ac:dyDescent="0.25">
      <c r="A34" s="42" t="s">
        <v>381</v>
      </c>
      <c r="B34" s="35"/>
      <c r="C34" s="35"/>
      <c r="D34" s="35"/>
      <c r="E34" s="35"/>
      <c r="F34" s="35"/>
      <c r="G34" s="35"/>
      <c r="H34" s="35"/>
      <c r="I34" s="35"/>
      <c r="J34" s="35"/>
      <c r="K34" s="35"/>
      <c r="L34" s="35"/>
      <c r="M34" s="35"/>
      <c r="N34" s="35"/>
      <c r="O34" s="35"/>
      <c r="P34" s="35"/>
      <c r="Q34" s="35"/>
      <c r="R34" s="35"/>
      <c r="S34" s="35"/>
    </row>
    <row r="35" spans="1:19" ht="6" customHeight="1" x14ac:dyDescent="0.25"/>
    <row r="36" spans="1:19" ht="18" customHeight="1" x14ac:dyDescent="0.25">
      <c r="A36" s="41" t="s">
        <v>382</v>
      </c>
      <c r="B36" s="35"/>
      <c r="C36" s="35"/>
      <c r="D36" s="35"/>
      <c r="E36" s="35"/>
      <c r="F36" s="35"/>
      <c r="G36" s="35"/>
      <c r="H36" s="35"/>
      <c r="I36" s="35"/>
      <c r="J36" s="35"/>
      <c r="K36" s="35"/>
      <c r="L36" s="35"/>
      <c r="M36" s="35"/>
      <c r="N36" s="35"/>
      <c r="O36" s="35"/>
      <c r="P36" s="35"/>
      <c r="Q36" s="35"/>
      <c r="R36" s="35"/>
      <c r="S36" s="35"/>
    </row>
    <row r="37" spans="1:19" ht="21" customHeight="1" x14ac:dyDescent="0.25">
      <c r="A37" s="42" t="s">
        <v>383</v>
      </c>
      <c r="B37" s="35"/>
      <c r="C37" s="35"/>
      <c r="D37" s="35"/>
      <c r="E37" s="35"/>
      <c r="F37" s="35"/>
      <c r="G37" s="35"/>
      <c r="H37" s="35"/>
      <c r="I37" s="35"/>
      <c r="J37" s="35"/>
      <c r="K37" s="35"/>
      <c r="L37" s="35"/>
      <c r="M37" s="35"/>
      <c r="N37" s="35"/>
      <c r="O37" s="35"/>
      <c r="P37" s="35"/>
      <c r="Q37" s="35"/>
      <c r="R37" s="35"/>
      <c r="S37" s="35"/>
    </row>
    <row r="38" spans="1:19" ht="6" customHeight="1" x14ac:dyDescent="0.25"/>
    <row r="39" spans="1:19" ht="18" customHeight="1" x14ac:dyDescent="0.25">
      <c r="A39" s="41" t="s">
        <v>384</v>
      </c>
      <c r="B39" s="35"/>
      <c r="C39" s="35"/>
      <c r="D39" s="35"/>
      <c r="E39" s="35"/>
      <c r="F39" s="35"/>
      <c r="G39" s="35"/>
      <c r="H39" s="35"/>
      <c r="I39" s="35"/>
      <c r="J39" s="35"/>
      <c r="K39" s="35"/>
      <c r="L39" s="35"/>
      <c r="M39" s="35"/>
      <c r="N39" s="35"/>
      <c r="O39" s="35"/>
      <c r="P39" s="35"/>
      <c r="Q39" s="35"/>
      <c r="R39" s="35"/>
      <c r="S39" s="35"/>
    </row>
    <row r="40" spans="1:19" ht="36" customHeight="1" x14ac:dyDescent="0.25">
      <c r="A40" s="42" t="s">
        <v>385</v>
      </c>
      <c r="B40" s="35"/>
      <c r="C40" s="35"/>
      <c r="D40" s="35"/>
      <c r="E40" s="35"/>
      <c r="F40" s="35"/>
      <c r="G40" s="35"/>
      <c r="H40" s="35"/>
      <c r="I40" s="35"/>
      <c r="J40" s="35"/>
      <c r="K40" s="35"/>
      <c r="L40" s="35"/>
      <c r="M40" s="35"/>
      <c r="N40" s="35"/>
      <c r="O40" s="35"/>
      <c r="P40" s="35"/>
      <c r="Q40" s="35"/>
      <c r="R40" s="35"/>
      <c r="S40" s="35"/>
    </row>
    <row r="41" spans="1:19" ht="6" customHeight="1" x14ac:dyDescent="0.25"/>
    <row r="42" spans="1:19" ht="18" customHeight="1" x14ac:dyDescent="0.25">
      <c r="A42" s="41" t="s">
        <v>386</v>
      </c>
      <c r="B42" s="35"/>
      <c r="C42" s="35"/>
      <c r="D42" s="35"/>
      <c r="E42" s="35"/>
      <c r="F42" s="35"/>
      <c r="G42" s="35"/>
      <c r="H42" s="35"/>
      <c r="I42" s="35"/>
      <c r="J42" s="35"/>
      <c r="K42" s="35"/>
      <c r="L42" s="35"/>
      <c r="M42" s="35"/>
      <c r="N42" s="35"/>
      <c r="O42" s="35"/>
      <c r="P42" s="35"/>
      <c r="Q42" s="35"/>
      <c r="R42" s="35"/>
      <c r="S42" s="35"/>
    </row>
    <row r="43" spans="1:19" ht="21" customHeight="1" x14ac:dyDescent="0.25">
      <c r="A43" s="42" t="s">
        <v>387</v>
      </c>
      <c r="B43" s="35"/>
      <c r="C43" s="35"/>
      <c r="D43" s="35"/>
      <c r="E43" s="35"/>
      <c r="F43" s="35"/>
      <c r="G43" s="35"/>
      <c r="H43" s="35"/>
      <c r="I43" s="35"/>
      <c r="J43" s="35"/>
      <c r="K43" s="35"/>
      <c r="L43" s="35"/>
      <c r="M43" s="35"/>
      <c r="N43" s="35"/>
      <c r="O43" s="35"/>
      <c r="P43" s="35"/>
      <c r="Q43" s="35"/>
      <c r="R43" s="35"/>
      <c r="S43" s="35"/>
    </row>
    <row r="44" spans="1:19" ht="6" customHeight="1" x14ac:dyDescent="0.25"/>
    <row r="45" spans="1:19" ht="18" customHeight="1" x14ac:dyDescent="0.25">
      <c r="A45" s="41" t="s">
        <v>388</v>
      </c>
      <c r="B45" s="35"/>
      <c r="C45" s="35"/>
      <c r="D45" s="35"/>
      <c r="E45" s="35"/>
      <c r="F45" s="35"/>
      <c r="G45" s="35"/>
      <c r="H45" s="35"/>
      <c r="I45" s="35"/>
      <c r="J45" s="35"/>
      <c r="K45" s="35"/>
      <c r="L45" s="35"/>
      <c r="M45" s="35"/>
      <c r="N45" s="35"/>
      <c r="O45" s="35"/>
      <c r="P45" s="35"/>
      <c r="Q45" s="35"/>
      <c r="R45" s="35"/>
      <c r="S45" s="35"/>
    </row>
    <row r="46" spans="1:19" ht="51" customHeight="1" x14ac:dyDescent="0.25">
      <c r="A46" s="42" t="s">
        <v>389</v>
      </c>
      <c r="B46" s="35"/>
      <c r="C46" s="35"/>
      <c r="D46" s="35"/>
      <c r="E46" s="35"/>
      <c r="F46" s="35"/>
      <c r="G46" s="35"/>
      <c r="H46" s="35"/>
      <c r="I46" s="35"/>
      <c r="J46" s="35"/>
      <c r="K46" s="35"/>
      <c r="L46" s="35"/>
      <c r="M46" s="35"/>
      <c r="N46" s="35"/>
      <c r="O46" s="35"/>
      <c r="P46" s="35"/>
      <c r="Q46" s="35"/>
      <c r="R46" s="35"/>
      <c r="S46" s="35"/>
    </row>
    <row r="47" spans="1:19" ht="6" customHeight="1" x14ac:dyDescent="0.25"/>
    <row r="50" spans="1:19" ht="21.95" customHeight="1" x14ac:dyDescent="0.25">
      <c r="A50" s="44" t="s">
        <v>390</v>
      </c>
      <c r="B50" s="45"/>
      <c r="C50" s="45"/>
      <c r="D50" s="45"/>
      <c r="E50" s="45"/>
      <c r="F50" s="45"/>
      <c r="G50" s="45"/>
      <c r="H50" s="45"/>
      <c r="I50" s="45"/>
      <c r="J50" s="45"/>
      <c r="K50" s="45"/>
      <c r="L50" s="45"/>
      <c r="M50" s="45"/>
      <c r="N50" s="45"/>
      <c r="O50" s="45"/>
      <c r="P50" s="45"/>
      <c r="Q50" s="45"/>
      <c r="R50" s="45"/>
      <c r="S50" s="45"/>
    </row>
    <row r="52" spans="1:19" ht="18" customHeight="1" x14ac:dyDescent="0.25">
      <c r="A52" s="41" t="s">
        <v>91</v>
      </c>
      <c r="B52" s="35"/>
      <c r="C52" s="35"/>
      <c r="D52" s="35"/>
      <c r="E52" s="35"/>
      <c r="F52" s="35"/>
      <c r="G52" s="35"/>
      <c r="H52" s="35"/>
      <c r="I52" s="35"/>
      <c r="J52" s="35"/>
      <c r="K52" s="35"/>
      <c r="L52" s="35"/>
      <c r="M52" s="35"/>
      <c r="N52" s="35"/>
      <c r="O52" s="35"/>
      <c r="P52" s="35"/>
      <c r="Q52" s="35"/>
      <c r="R52" s="35"/>
      <c r="S52" s="35"/>
    </row>
    <row r="53" spans="1:19" ht="21" customHeight="1" x14ac:dyDescent="0.25">
      <c r="A53" s="42" t="s">
        <v>391</v>
      </c>
      <c r="B53" s="35"/>
      <c r="C53" s="35"/>
      <c r="D53" s="35"/>
      <c r="E53" s="35"/>
      <c r="F53" s="35"/>
      <c r="G53" s="35"/>
      <c r="H53" s="35"/>
      <c r="I53" s="35"/>
      <c r="J53" s="35"/>
      <c r="K53" s="35"/>
      <c r="L53" s="35"/>
      <c r="M53" s="35"/>
      <c r="N53" s="35"/>
      <c r="O53" s="35"/>
      <c r="P53" s="35"/>
      <c r="Q53" s="35"/>
      <c r="R53" s="35"/>
      <c r="S53" s="35"/>
    </row>
    <row r="54" spans="1:19" ht="6" customHeight="1" x14ac:dyDescent="0.25"/>
    <row r="55" spans="1:19" ht="18" customHeight="1" x14ac:dyDescent="0.25">
      <c r="A55" s="41" t="s">
        <v>130</v>
      </c>
      <c r="B55" s="35"/>
      <c r="C55" s="35"/>
      <c r="D55" s="35"/>
      <c r="E55" s="35"/>
      <c r="F55" s="35"/>
      <c r="G55" s="35"/>
      <c r="H55" s="35"/>
      <c r="I55" s="35"/>
      <c r="J55" s="35"/>
      <c r="K55" s="35"/>
      <c r="L55" s="35"/>
      <c r="M55" s="35"/>
      <c r="N55" s="35"/>
      <c r="O55" s="35"/>
      <c r="P55" s="35"/>
      <c r="Q55" s="35"/>
      <c r="R55" s="35"/>
      <c r="S55" s="35"/>
    </row>
    <row r="56" spans="1:19" ht="36" customHeight="1" x14ac:dyDescent="0.25">
      <c r="A56" s="42" t="s">
        <v>392</v>
      </c>
      <c r="B56" s="35"/>
      <c r="C56" s="35"/>
      <c r="D56" s="35"/>
      <c r="E56" s="35"/>
      <c r="F56" s="35"/>
      <c r="G56" s="35"/>
      <c r="H56" s="35"/>
      <c r="I56" s="35"/>
      <c r="J56" s="35"/>
      <c r="K56" s="35"/>
      <c r="L56" s="35"/>
      <c r="M56" s="35"/>
      <c r="N56" s="35"/>
      <c r="O56" s="35"/>
      <c r="P56" s="35"/>
      <c r="Q56" s="35"/>
      <c r="R56" s="35"/>
      <c r="S56" s="35"/>
    </row>
    <row r="57" spans="1:19" ht="6" customHeight="1" x14ac:dyDescent="0.25"/>
    <row r="58" spans="1:19" ht="18" customHeight="1" x14ac:dyDescent="0.25">
      <c r="A58" s="41" t="s">
        <v>355</v>
      </c>
      <c r="B58" s="35"/>
      <c r="C58" s="35"/>
      <c r="D58" s="35"/>
      <c r="E58" s="35"/>
      <c r="F58" s="35"/>
      <c r="G58" s="35"/>
      <c r="H58" s="35"/>
      <c r="I58" s="35"/>
      <c r="J58" s="35"/>
      <c r="K58" s="35"/>
      <c r="L58" s="35"/>
      <c r="M58" s="35"/>
      <c r="N58" s="35"/>
      <c r="O58" s="35"/>
      <c r="P58" s="35"/>
      <c r="Q58" s="35"/>
      <c r="R58" s="35"/>
      <c r="S58" s="35"/>
    </row>
    <row r="59" spans="1:19" ht="21" customHeight="1" x14ac:dyDescent="0.25">
      <c r="A59" s="42" t="s">
        <v>393</v>
      </c>
      <c r="B59" s="35"/>
      <c r="C59" s="35"/>
      <c r="D59" s="35"/>
      <c r="E59" s="35"/>
      <c r="F59" s="35"/>
      <c r="G59" s="35"/>
      <c r="H59" s="35"/>
      <c r="I59" s="35"/>
      <c r="J59" s="35"/>
      <c r="K59" s="35"/>
      <c r="L59" s="35"/>
      <c r="M59" s="35"/>
      <c r="N59" s="35"/>
      <c r="O59" s="35"/>
      <c r="P59" s="35"/>
      <c r="Q59" s="35"/>
      <c r="R59" s="35"/>
      <c r="S59" s="35"/>
    </row>
    <row r="60" spans="1:19" ht="6" customHeight="1" x14ac:dyDescent="0.25"/>
    <row r="61" spans="1:19" ht="18" customHeight="1" x14ac:dyDescent="0.25">
      <c r="A61" s="41" t="s">
        <v>357</v>
      </c>
      <c r="B61" s="35"/>
      <c r="C61" s="35"/>
      <c r="D61" s="35"/>
      <c r="E61" s="35"/>
      <c r="F61" s="35"/>
      <c r="G61" s="35"/>
      <c r="H61" s="35"/>
      <c r="I61" s="35"/>
      <c r="J61" s="35"/>
      <c r="K61" s="35"/>
      <c r="L61" s="35"/>
      <c r="M61" s="35"/>
      <c r="N61" s="35"/>
      <c r="O61" s="35"/>
      <c r="P61" s="35"/>
      <c r="Q61" s="35"/>
      <c r="R61" s="35"/>
      <c r="S61" s="35"/>
    </row>
    <row r="62" spans="1:19" ht="36" customHeight="1" x14ac:dyDescent="0.25">
      <c r="A62" s="42" t="s">
        <v>394</v>
      </c>
      <c r="B62" s="35"/>
      <c r="C62" s="35"/>
      <c r="D62" s="35"/>
      <c r="E62" s="35"/>
      <c r="F62" s="35"/>
      <c r="G62" s="35"/>
      <c r="H62" s="35"/>
      <c r="I62" s="35"/>
      <c r="J62" s="35"/>
      <c r="K62" s="35"/>
      <c r="L62" s="35"/>
      <c r="M62" s="35"/>
      <c r="N62" s="35"/>
      <c r="O62" s="35"/>
      <c r="P62" s="35"/>
      <c r="Q62" s="35"/>
      <c r="R62" s="35"/>
      <c r="S62" s="35"/>
    </row>
    <row r="63" spans="1:19" ht="6" customHeight="1" x14ac:dyDescent="0.25"/>
    <row r="64" spans="1:19" ht="18" customHeight="1" x14ac:dyDescent="0.25">
      <c r="A64" s="41" t="s">
        <v>360</v>
      </c>
      <c r="B64" s="35"/>
      <c r="C64" s="35"/>
      <c r="D64" s="35"/>
      <c r="E64" s="35"/>
      <c r="F64" s="35"/>
      <c r="G64" s="35"/>
      <c r="H64" s="35"/>
      <c r="I64" s="35"/>
      <c r="J64" s="35"/>
      <c r="K64" s="35"/>
      <c r="L64" s="35"/>
      <c r="M64" s="35"/>
      <c r="N64" s="35"/>
      <c r="O64" s="35"/>
      <c r="P64" s="35"/>
      <c r="Q64" s="35"/>
      <c r="R64" s="35"/>
      <c r="S64" s="35"/>
    </row>
    <row r="65" spans="1:19" ht="21" customHeight="1" x14ac:dyDescent="0.25">
      <c r="A65" s="42" t="s">
        <v>395</v>
      </c>
      <c r="B65" s="35"/>
      <c r="C65" s="35"/>
      <c r="D65" s="35"/>
      <c r="E65" s="35"/>
      <c r="F65" s="35"/>
      <c r="G65" s="35"/>
      <c r="H65" s="35"/>
      <c r="I65" s="35"/>
      <c r="J65" s="35"/>
      <c r="K65" s="35"/>
      <c r="L65" s="35"/>
      <c r="M65" s="35"/>
      <c r="N65" s="35"/>
      <c r="O65" s="35"/>
      <c r="P65" s="35"/>
      <c r="Q65" s="35"/>
      <c r="R65" s="35"/>
      <c r="S65" s="35"/>
    </row>
    <row r="66" spans="1:19" ht="6" customHeight="1" x14ac:dyDescent="0.25"/>
    <row r="67" spans="1:19" ht="18" customHeight="1" x14ac:dyDescent="0.25">
      <c r="A67" s="41" t="s">
        <v>362</v>
      </c>
      <c r="B67" s="35"/>
      <c r="C67" s="35"/>
      <c r="D67" s="35"/>
      <c r="E67" s="35"/>
      <c r="F67" s="35"/>
      <c r="G67" s="35"/>
      <c r="H67" s="35"/>
      <c r="I67" s="35"/>
      <c r="J67" s="35"/>
      <c r="K67" s="35"/>
      <c r="L67" s="35"/>
      <c r="M67" s="35"/>
      <c r="N67" s="35"/>
      <c r="O67" s="35"/>
      <c r="P67" s="35"/>
      <c r="Q67" s="35"/>
      <c r="R67" s="35"/>
      <c r="S67" s="35"/>
    </row>
    <row r="68" spans="1:19" ht="21" customHeight="1" x14ac:dyDescent="0.25">
      <c r="A68" s="42" t="s">
        <v>396</v>
      </c>
      <c r="B68" s="35"/>
      <c r="C68" s="35"/>
      <c r="D68" s="35"/>
      <c r="E68" s="35"/>
      <c r="F68" s="35"/>
      <c r="G68" s="35"/>
      <c r="H68" s="35"/>
      <c r="I68" s="35"/>
      <c r="J68" s="35"/>
      <c r="K68" s="35"/>
      <c r="L68" s="35"/>
      <c r="M68" s="35"/>
      <c r="N68" s="35"/>
      <c r="O68" s="35"/>
      <c r="P68" s="35"/>
      <c r="Q68" s="35"/>
      <c r="R68" s="35"/>
      <c r="S68" s="35"/>
    </row>
    <row r="69" spans="1:19" ht="6" customHeight="1" x14ac:dyDescent="0.25"/>
    <row r="70" spans="1:19" ht="18" customHeight="1" x14ac:dyDescent="0.25">
      <c r="A70" s="41" t="s">
        <v>363</v>
      </c>
      <c r="B70" s="35"/>
      <c r="C70" s="35"/>
      <c r="D70" s="35"/>
      <c r="E70" s="35"/>
      <c r="F70" s="35"/>
      <c r="G70" s="35"/>
      <c r="H70" s="35"/>
      <c r="I70" s="35"/>
      <c r="J70" s="35"/>
      <c r="K70" s="35"/>
      <c r="L70" s="35"/>
      <c r="M70" s="35"/>
      <c r="N70" s="35"/>
      <c r="O70" s="35"/>
      <c r="P70" s="35"/>
      <c r="Q70" s="35"/>
      <c r="R70" s="35"/>
      <c r="S70" s="35"/>
    </row>
    <row r="71" spans="1:19" ht="21" customHeight="1" x14ac:dyDescent="0.25">
      <c r="A71" s="42" t="s">
        <v>397</v>
      </c>
      <c r="B71" s="35"/>
      <c r="C71" s="35"/>
      <c r="D71" s="35"/>
      <c r="E71" s="35"/>
      <c r="F71" s="35"/>
      <c r="G71" s="35"/>
      <c r="H71" s="35"/>
      <c r="I71" s="35"/>
      <c r="J71" s="35"/>
      <c r="K71" s="35"/>
      <c r="L71" s="35"/>
      <c r="M71" s="35"/>
      <c r="N71" s="35"/>
      <c r="O71" s="35"/>
      <c r="P71" s="35"/>
      <c r="Q71" s="35"/>
      <c r="R71" s="35"/>
      <c r="S71" s="35"/>
    </row>
    <row r="72" spans="1:19" ht="6" customHeight="1" x14ac:dyDescent="0.25"/>
    <row r="73" spans="1:19" ht="18" customHeight="1" x14ac:dyDescent="0.25">
      <c r="A73" s="41" t="s">
        <v>365</v>
      </c>
      <c r="B73" s="35"/>
      <c r="C73" s="35"/>
      <c r="D73" s="35"/>
      <c r="E73" s="35"/>
      <c r="F73" s="35"/>
      <c r="G73" s="35"/>
      <c r="H73" s="35"/>
      <c r="I73" s="35"/>
      <c r="J73" s="35"/>
      <c r="K73" s="35"/>
      <c r="L73" s="35"/>
      <c r="M73" s="35"/>
      <c r="N73" s="35"/>
      <c r="O73" s="35"/>
      <c r="P73" s="35"/>
      <c r="Q73" s="35"/>
      <c r="R73" s="35"/>
      <c r="S73" s="35"/>
    </row>
    <row r="74" spans="1:19" ht="21" customHeight="1" x14ac:dyDescent="0.25">
      <c r="A74" s="42" t="s">
        <v>398</v>
      </c>
      <c r="B74" s="35"/>
      <c r="C74" s="35"/>
      <c r="D74" s="35"/>
      <c r="E74" s="35"/>
      <c r="F74" s="35"/>
      <c r="G74" s="35"/>
      <c r="H74" s="35"/>
      <c r="I74" s="35"/>
      <c r="J74" s="35"/>
      <c r="K74" s="35"/>
      <c r="L74" s="35"/>
      <c r="M74" s="35"/>
      <c r="N74" s="35"/>
      <c r="O74" s="35"/>
      <c r="P74" s="35"/>
      <c r="Q74" s="35"/>
      <c r="R74" s="35"/>
      <c r="S74" s="35"/>
    </row>
    <row r="75" spans="1:19" ht="6" customHeight="1" x14ac:dyDescent="0.25"/>
    <row r="76" spans="1:19" ht="18" customHeight="1" x14ac:dyDescent="0.25">
      <c r="A76" s="41" t="s">
        <v>366</v>
      </c>
      <c r="B76" s="35"/>
      <c r="C76" s="35"/>
      <c r="D76" s="35"/>
      <c r="E76" s="35"/>
      <c r="F76" s="35"/>
      <c r="G76" s="35"/>
      <c r="H76" s="35"/>
      <c r="I76" s="35"/>
      <c r="J76" s="35"/>
      <c r="K76" s="35"/>
      <c r="L76" s="35"/>
      <c r="M76" s="35"/>
      <c r="N76" s="35"/>
      <c r="O76" s="35"/>
      <c r="P76" s="35"/>
      <c r="Q76" s="35"/>
      <c r="R76" s="35"/>
      <c r="S76" s="35"/>
    </row>
    <row r="77" spans="1:19" ht="21" customHeight="1" x14ac:dyDescent="0.25">
      <c r="A77" s="42" t="s">
        <v>399</v>
      </c>
      <c r="B77" s="35"/>
      <c r="C77" s="35"/>
      <c r="D77" s="35"/>
      <c r="E77" s="35"/>
      <c r="F77" s="35"/>
      <c r="G77" s="35"/>
      <c r="H77" s="35"/>
      <c r="I77" s="35"/>
      <c r="J77" s="35"/>
      <c r="K77" s="35"/>
      <c r="L77" s="35"/>
      <c r="M77" s="35"/>
      <c r="N77" s="35"/>
      <c r="O77" s="35"/>
      <c r="P77" s="35"/>
      <c r="Q77" s="35"/>
      <c r="R77" s="35"/>
      <c r="S77" s="35"/>
    </row>
    <row r="78" spans="1:19" ht="6" customHeight="1" x14ac:dyDescent="0.25"/>
    <row r="81" spans="1:19" x14ac:dyDescent="0.25">
      <c r="A81" s="43" t="s">
        <v>400</v>
      </c>
      <c r="B81" s="35"/>
      <c r="C81" s="35"/>
      <c r="D81" s="35"/>
      <c r="E81" s="35"/>
      <c r="F81" s="35"/>
      <c r="G81" s="35"/>
      <c r="H81" s="35"/>
      <c r="I81" s="35"/>
      <c r="J81" s="35"/>
      <c r="K81" s="35"/>
      <c r="L81" s="35"/>
      <c r="M81" s="35"/>
      <c r="N81" s="35"/>
      <c r="O81" s="35"/>
      <c r="P81" s="35"/>
      <c r="Q81" s="35"/>
      <c r="R81" s="35"/>
      <c r="S81" s="35"/>
    </row>
  </sheetData>
  <mergeCells count="32">
    <mergeCell ref="A30:S30"/>
    <mergeCell ref="A73:S73"/>
    <mergeCell ref="A64:S64"/>
    <mergeCell ref="A45:S45"/>
    <mergeCell ref="A36:S36"/>
    <mergeCell ref="A61:S61"/>
    <mergeCell ref="A70:S70"/>
    <mergeCell ref="A65:S65"/>
    <mergeCell ref="A37:S37"/>
    <mergeCell ref="A46:S46"/>
    <mergeCell ref="A56:S56"/>
    <mergeCell ref="A55:S55"/>
    <mergeCell ref="A50:S50"/>
    <mergeCell ref="A31:S31"/>
    <mergeCell ref="A39:S39"/>
    <mergeCell ref="A34:S34"/>
    <mergeCell ref="A77:S77"/>
    <mergeCell ref="A59:S59"/>
    <mergeCell ref="A74:S74"/>
    <mergeCell ref="A81:S81"/>
    <mergeCell ref="A68:S68"/>
    <mergeCell ref="A58:S58"/>
    <mergeCell ref="A40:S40"/>
    <mergeCell ref="A67:S67"/>
    <mergeCell ref="A42:S42"/>
    <mergeCell ref="A76:S76"/>
    <mergeCell ref="A33:S33"/>
    <mergeCell ref="A71:S71"/>
    <mergeCell ref="A53:S53"/>
    <mergeCell ref="A62:S62"/>
    <mergeCell ref="A52:S52"/>
    <mergeCell ref="A43:S43"/>
  </mergeCells>
  <dataValidations count="9">
    <dataValidation type="list" allowBlank="1" errorTitle="Valore non valido" error="Selezionare dalla lista." promptTitle="Author" prompt="Autore della codifica." sqref="B6:B27" xr:uid="{00000000-0002-0000-0200-000000000000}">
      <formula1>Author_Name</formula1>
    </dataValidation>
    <dataValidation type="list" allowBlank="1" errorTitle="Valore non valido" error="Selezionare dalla lista, oppure lasciare vuoto." promptTitle="In Place" prompt="Facoltativo. Si compila solo quando l’elemento è modellato in place dentro il progetto, non caricato da una libreria né tipo di una famiglia di sistema. Nel nome diventa (I) attaccato al codice di categoria, senza separatore. Cella vuota = caso normale." sqref="D6:D27" xr:uid="{00000000-0002-0000-0200-000001000000}">
      <formula1>InPl_Name</formula1>
    </dataValidation>
    <dataValidation type="list" allowBlank="1" errorTitle="Valore non valido" error="Selezionare dalla lista." promptTitle="Categoria" prompt="Categoria Revit dell’elemento." sqref="F6:F27" xr:uid="{00000000-0002-0000-0200-000002000000}">
      <formula1>FS_Cat_Name</formula1>
    </dataValidation>
    <dataValidation type="list" allowBlank="1" errorTitle="Valore non valido" error="Selezionare dalla lista." promptTitle="Group1 — materiale" sqref="H6:H27" xr:uid="{00000000-0002-0000-0200-000003000000}">
      <formula1>STR_G1_Name</formula1>
    </dataValidation>
    <dataValidation type="list" allowBlank="1" errorTitle="Valore non valido" error="Selezionare dalla lista." promptTitle="Group2 — che cosa è la platea" prompt="Che cosa rappresenta la platea: fondazione vera e propria, soletta contro terra, magrone, vespaio, ispessimento locale." sqref="K6:K27" xr:uid="{00000000-0002-0000-0200-000004000000}">
      <formula1>FS_G2_Name</formula1>
    </dataValidation>
    <dataValidation type="custom" allowBlank="1" errorTitle="Non valido" error="Inserire un intero da 0 a 99, oppure XX se il tipo non è ancora definito. Con Group1 = Other si compila il Type Mark manuale." promptTitle="TM sequenza" prompt="Due cifre da 0 a 99. Distingue le varianti di stesso Group1 e stesso Group2. Tipo non ancora definito → XX. Non si compila con Group1 = Other." sqref="M6:M27" xr:uid="{00000000-0002-0000-0200-000005000000}">
      <formula1>AND($I6&lt;&gt;"OT",OR(UPPER($M6)="XX",AND(ISNUMBER($M6),$M6&gt;=0,$M6&lt;=99,$M6=INT($M6))))</formula1>
    </dataValidation>
    <dataValidation type="custom" allowBlank="1" errorTitle="Non ammesso qui" error="Si usa solo quando Group1 è Other." promptTitle="Type Mark manuale" prompt="Solo con Group1 = Other. Sostituisce tutto il Type Mark, prefisso compreso." sqref="N6:N27" xr:uid="{00000000-0002-0000-0200-000006000000}">
      <formula1>$I6="OT"</formula1>
    </dataValidation>
    <dataValidation type="decimal" operator="greaterThan" allowBlank="1" errorTitle="Non valido" error="Inserire un valore maggiore di 0." promptTitle="Thickness mm" prompt="Spessore in mm." sqref="P6:P27" xr:uid="{00000000-0002-0000-0200-000007000000}">
      <formula1>0</formula1>
    </dataValidation>
    <dataValidation type="textLength" operator="lessThanOrEqual" allowBlank="1" errorTitle="Troppo lunga" error="Massimo 40 caratteri." promptTitle="Description" prompt="Facoltativa. Solo se aggiunge un’informazione non già nei codici. Senza spazi, iniziali maiuscole, massimo 40 caratteri, senza accenti." sqref="Q6:Q27" xr:uid="{00000000-0002-0000-0200-000008000000}">
      <formula1>40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6D82"/>
  </sheetPr>
  <dimension ref="A1:T79"/>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21" customWidth="1"/>
    <col min="7" max="7" width="4" customWidth="1"/>
    <col min="8" max="8" width="20" customWidth="1"/>
    <col min="9" max="9" width="4" customWidth="1"/>
    <col min="10" max="10" width="6" customWidth="1"/>
    <col min="11" max="11" width="17" customWidth="1"/>
    <col min="12" max="12" width="4" customWidth="1"/>
    <col min="13" max="13" width="12" customWidth="1"/>
    <col min="14" max="14" width="19" customWidth="1"/>
    <col min="15" max="15" width="12" customWidth="1"/>
    <col min="16" max="16" width="10" customWidth="1"/>
    <col min="17" max="17" width="11" customWidth="1"/>
    <col min="18" max="18" width="22" customWidth="1"/>
    <col min="19" max="19" width="12" customWidth="1"/>
    <col min="20" max="20" width="38" customWidth="1"/>
  </cols>
  <sheetData>
    <row r="1" spans="1:20" ht="19.5" x14ac:dyDescent="0.3">
      <c r="A1" s="6" t="s">
        <v>190</v>
      </c>
    </row>
    <row r="2" spans="1:20" x14ac:dyDescent="0.25">
      <c r="A2" s="7" t="s">
        <v>350</v>
      </c>
    </row>
    <row r="3" spans="1:20" x14ac:dyDescent="0.25">
      <c r="A3" s="8" t="s">
        <v>401</v>
      </c>
    </row>
    <row r="4" spans="1:20" ht="17.100000000000001" customHeight="1" x14ac:dyDescent="0.25">
      <c r="A4" s="5" t="s">
        <v>352</v>
      </c>
    </row>
    <row r="5" spans="1:20" ht="30" customHeight="1" x14ac:dyDescent="0.25">
      <c r="A5" s="9" t="s">
        <v>353</v>
      </c>
      <c r="B5" s="9" t="s">
        <v>91</v>
      </c>
      <c r="C5" s="9" t="s">
        <v>354</v>
      </c>
      <c r="D5" s="10" t="s">
        <v>130</v>
      </c>
      <c r="E5" s="9" t="s">
        <v>129</v>
      </c>
      <c r="F5" s="9" t="s">
        <v>355</v>
      </c>
      <c r="G5" s="9" t="s">
        <v>356</v>
      </c>
      <c r="H5" s="9" t="s">
        <v>357</v>
      </c>
      <c r="I5" s="9" t="s">
        <v>358</v>
      </c>
      <c r="J5" s="9" t="s">
        <v>359</v>
      </c>
      <c r="K5" s="9" t="s">
        <v>360</v>
      </c>
      <c r="L5" s="9" t="s">
        <v>361</v>
      </c>
      <c r="M5" s="9" t="s">
        <v>362</v>
      </c>
      <c r="N5" s="9" t="s">
        <v>363</v>
      </c>
      <c r="O5" s="9" t="s">
        <v>364</v>
      </c>
      <c r="P5" s="9" t="s">
        <v>402</v>
      </c>
      <c r="Q5" s="9" t="s">
        <v>365</v>
      </c>
      <c r="R5" s="10" t="s">
        <v>366</v>
      </c>
      <c r="S5" s="9" t="s">
        <v>367</v>
      </c>
      <c r="T5" s="9" t="s">
        <v>368</v>
      </c>
    </row>
    <row r="6" spans="1:20" x14ac:dyDescent="0.25">
      <c r="A6" s="11" t="s">
        <v>369</v>
      </c>
      <c r="B6" s="12" t="s">
        <v>100</v>
      </c>
      <c r="C6" s="13" t="str">
        <f t="shared" ref="C6:C25" si="0">IFERROR(INDEX(Author_Code,MATCH($B6,Author_Name,0)),"")</f>
        <v>e</v>
      </c>
      <c r="D6" s="14"/>
      <c r="E6" s="13" t="str">
        <f t="shared" ref="E6:E25" si="1">IFERROR(INDEX(InPl_Code,MATCH($D6,InPl_Name,0)),"")</f>
        <v/>
      </c>
      <c r="F6" s="12" t="s">
        <v>197</v>
      </c>
      <c r="G6" s="13" t="str">
        <f t="shared" ref="G6:G25" si="2">IFERROR(INDEX(FW_Cat_Code,MATCH($F6,FW_Cat_Name,0)),"")</f>
        <v>FW</v>
      </c>
      <c r="H6" s="12" t="s">
        <v>109</v>
      </c>
      <c r="I6" s="13" t="str">
        <f t="shared" ref="I6:I25" si="3">IFERROR(INDEX(STR_G1_Code,MATCH($H6,STR_G1_Name,0)),"")</f>
        <v>CN</v>
      </c>
      <c r="J6" s="13" t="str">
        <f t="shared" ref="J6:J25" si="4">IFERROR(LEFT(INDEX(STR_G1_TM,MATCH($H6,STR_G1_Name,0)),1),"")</f>
        <v>1</v>
      </c>
      <c r="K6" s="12" t="s">
        <v>199</v>
      </c>
      <c r="L6" s="13" t="str">
        <f t="shared" ref="L6:L25" si="5">IFERROR(INDEX(FW_G2_Code,MATCH($K6,FW_G2_Name,0)),"")</f>
        <v>BR</v>
      </c>
      <c r="M6" s="12">
        <v>1</v>
      </c>
      <c r="N6" s="15"/>
      <c r="O6" s="13" t="str">
        <f t="shared" ref="O6:O25" si="6">IF($I6="OT",$N6,IF(OR($G6="",$J6="",$M6=""),"",$G6&amp;"-"&amp;$J6&amp;IF(UPPER($M6)="XX","XX",TEXT($M6,"00"))))</f>
        <v>FW-101</v>
      </c>
      <c r="P6" s="12">
        <v>1000</v>
      </c>
      <c r="Q6" s="12">
        <v>400</v>
      </c>
      <c r="R6" s="16"/>
      <c r="S6" s="13" t="str">
        <f t="shared" ref="S6:S25" si="7">$G6&amp;IF($I6&lt;&gt;"","."&amp;$I6,"")&amp;IF($L6&lt;&gt;"","."&amp;$L6,"")</f>
        <v>FW.CN.BR</v>
      </c>
      <c r="T6" s="17" t="str">
        <f t="shared" ref="T6:T25" si="8">IF(AND($F6&lt;&gt;"",$H6&lt;&gt;"",$O6&lt;&gt;"",AND($P6&lt;&gt;"",$Q6&lt;&gt;"")),$C6&amp;"_"&amp;$O6&amp;"_"&amp;$E6&amp;$S6&amp;"_"&amp;TEXT($P6,"0")&amp;"x"&amp;TEXT($Q6,"0")&amp;IF($R6&lt;&gt;"","_"&amp;$R6,""),"")</f>
        <v>e_FW-101_FW.CN.BR_1000x400</v>
      </c>
    </row>
    <row r="7" spans="1:20" x14ac:dyDescent="0.25">
      <c r="A7" s="11" t="s">
        <v>370</v>
      </c>
      <c r="B7" s="12" t="s">
        <v>100</v>
      </c>
      <c r="C7" s="13" t="str">
        <f t="shared" si="0"/>
        <v>e</v>
      </c>
      <c r="D7" s="14"/>
      <c r="E7" s="13" t="str">
        <f t="shared" si="1"/>
        <v/>
      </c>
      <c r="F7" s="12" t="s">
        <v>197</v>
      </c>
      <c r="G7" s="13" t="str">
        <f t="shared" si="2"/>
        <v>FW</v>
      </c>
      <c r="H7" s="12" t="s">
        <v>109</v>
      </c>
      <c r="I7" s="13" t="str">
        <f t="shared" si="3"/>
        <v>CN</v>
      </c>
      <c r="J7" s="13" t="str">
        <f t="shared" si="4"/>
        <v>1</v>
      </c>
      <c r="K7" s="12" t="s">
        <v>199</v>
      </c>
      <c r="L7" s="13" t="str">
        <f t="shared" si="5"/>
        <v>BR</v>
      </c>
      <c r="M7" s="12">
        <v>2</v>
      </c>
      <c r="N7" s="15"/>
      <c r="O7" s="13" t="str">
        <f t="shared" si="6"/>
        <v>FW-102</v>
      </c>
      <c r="P7" s="12">
        <v>1200</v>
      </c>
      <c r="Q7" s="12">
        <v>500</v>
      </c>
      <c r="R7" s="16"/>
      <c r="S7" s="13" t="str">
        <f t="shared" si="7"/>
        <v>FW.CN.BR</v>
      </c>
      <c r="T7" s="17" t="str">
        <f t="shared" si="8"/>
        <v>e_FW-102_FW.CN.BR_1200x500</v>
      </c>
    </row>
    <row r="8" spans="1:20" x14ac:dyDescent="0.25">
      <c r="A8" s="11" t="s">
        <v>371</v>
      </c>
      <c r="B8" s="12" t="s">
        <v>100</v>
      </c>
      <c r="C8" s="13" t="str">
        <f t="shared" si="0"/>
        <v>e</v>
      </c>
      <c r="D8" s="14"/>
      <c r="E8" s="13" t="str">
        <f t="shared" si="1"/>
        <v/>
      </c>
      <c r="F8" s="12" t="s">
        <v>197</v>
      </c>
      <c r="G8" s="13" t="str">
        <f t="shared" si="2"/>
        <v>FW</v>
      </c>
      <c r="H8" s="12" t="s">
        <v>109</v>
      </c>
      <c r="I8" s="13" t="str">
        <f t="shared" si="3"/>
        <v>CN</v>
      </c>
      <c r="J8" s="13" t="str">
        <f t="shared" si="4"/>
        <v>1</v>
      </c>
      <c r="K8" s="12" t="s">
        <v>202</v>
      </c>
      <c r="L8" s="13" t="str">
        <f t="shared" si="5"/>
        <v>RT</v>
      </c>
      <c r="M8" s="12">
        <v>3</v>
      </c>
      <c r="N8" s="15"/>
      <c r="O8" s="13" t="str">
        <f t="shared" si="6"/>
        <v>FW-103</v>
      </c>
      <c r="P8" s="12">
        <v>2000</v>
      </c>
      <c r="Q8" s="12">
        <v>600</v>
      </c>
      <c r="R8" s="16"/>
      <c r="S8" s="13" t="str">
        <f t="shared" si="7"/>
        <v>FW.CN.RT</v>
      </c>
      <c r="T8" s="17" t="str">
        <f t="shared" si="8"/>
        <v>e_FW-103_FW.CN.RT_2000x600</v>
      </c>
    </row>
    <row r="9" spans="1:20" x14ac:dyDescent="0.25">
      <c r="A9" s="11" t="s">
        <v>372</v>
      </c>
      <c r="B9" s="12" t="s">
        <v>100</v>
      </c>
      <c r="C9" s="13" t="str">
        <f t="shared" si="0"/>
        <v>e</v>
      </c>
      <c r="D9" s="14"/>
      <c r="E9" s="13" t="str">
        <f t="shared" si="1"/>
        <v/>
      </c>
      <c r="F9" s="12" t="s">
        <v>197</v>
      </c>
      <c r="G9" s="13" t="str">
        <f t="shared" si="2"/>
        <v>FW</v>
      </c>
      <c r="H9" s="12" t="s">
        <v>139</v>
      </c>
      <c r="I9" s="13" t="str">
        <f t="shared" si="3"/>
        <v>MS</v>
      </c>
      <c r="J9" s="13" t="str">
        <f t="shared" si="4"/>
        <v>5</v>
      </c>
      <c r="K9" s="12" t="s">
        <v>199</v>
      </c>
      <c r="L9" s="13" t="str">
        <f t="shared" si="5"/>
        <v>BR</v>
      </c>
      <c r="M9" s="12">
        <v>1</v>
      </c>
      <c r="N9" s="15"/>
      <c r="O9" s="13" t="str">
        <f t="shared" si="6"/>
        <v>FW-501</v>
      </c>
      <c r="P9" s="12">
        <v>800</v>
      </c>
      <c r="Q9" s="12">
        <v>400</v>
      </c>
      <c r="R9" s="16" t="s">
        <v>403</v>
      </c>
      <c r="S9" s="13" t="str">
        <f t="shared" si="7"/>
        <v>FW.MS.BR</v>
      </c>
      <c r="T9" s="17" t="str">
        <f t="shared" si="8"/>
        <v>e_FW-501_FW.MS.BR_800x400_FondazioneEsistente</v>
      </c>
    </row>
    <row r="10" spans="1:20" x14ac:dyDescent="0.25">
      <c r="A10" s="11" t="s">
        <v>373</v>
      </c>
      <c r="B10" s="12" t="s">
        <v>100</v>
      </c>
      <c r="C10" s="13" t="str">
        <f t="shared" si="0"/>
        <v>e</v>
      </c>
      <c r="D10" s="14" t="s">
        <v>130</v>
      </c>
      <c r="E10" s="13" t="str">
        <f t="shared" si="1"/>
        <v>(I)</v>
      </c>
      <c r="F10" s="12" t="s">
        <v>197</v>
      </c>
      <c r="G10" s="13" t="str">
        <f t="shared" si="2"/>
        <v>FW</v>
      </c>
      <c r="H10" s="12" t="s">
        <v>109</v>
      </c>
      <c r="I10" s="13" t="str">
        <f t="shared" si="3"/>
        <v>CN</v>
      </c>
      <c r="J10" s="13" t="str">
        <f t="shared" si="4"/>
        <v>1</v>
      </c>
      <c r="K10" s="12" t="s">
        <v>199</v>
      </c>
      <c r="L10" s="13" t="str">
        <f t="shared" si="5"/>
        <v>BR</v>
      </c>
      <c r="M10" s="12">
        <v>1</v>
      </c>
      <c r="N10" s="15"/>
      <c r="O10" s="13" t="str">
        <f t="shared" si="6"/>
        <v>FW-101</v>
      </c>
      <c r="P10" s="12">
        <v>1000</v>
      </c>
      <c r="Q10" s="12">
        <v>400</v>
      </c>
      <c r="R10" s="16"/>
      <c r="S10" s="13" t="str">
        <f t="shared" si="7"/>
        <v>FW.CN.BR</v>
      </c>
      <c r="T10" s="17" t="str">
        <f t="shared" si="8"/>
        <v>e_FW-101_(I)FW.CN.BR_1000x400</v>
      </c>
    </row>
    <row r="11" spans="1:20" x14ac:dyDescent="0.25">
      <c r="A11" s="18">
        <v>1</v>
      </c>
      <c r="B11" s="19"/>
      <c r="C11" s="20" t="str">
        <f t="shared" si="0"/>
        <v/>
      </c>
      <c r="D11" s="21"/>
      <c r="E11" s="20" t="str">
        <f t="shared" si="1"/>
        <v/>
      </c>
      <c r="F11" s="19"/>
      <c r="G11" s="20" t="str">
        <f t="shared" si="2"/>
        <v/>
      </c>
      <c r="H11" s="19"/>
      <c r="I11" s="20" t="str">
        <f t="shared" si="3"/>
        <v/>
      </c>
      <c r="J11" s="20" t="str">
        <f t="shared" si="4"/>
        <v/>
      </c>
      <c r="K11" s="19"/>
      <c r="L11" s="20" t="str">
        <f t="shared" si="5"/>
        <v/>
      </c>
      <c r="M11" s="19"/>
      <c r="N11" s="22"/>
      <c r="O11" s="20" t="str">
        <f t="shared" si="6"/>
        <v/>
      </c>
      <c r="P11" s="19"/>
      <c r="Q11" s="19"/>
      <c r="R11" s="23"/>
      <c r="S11" s="20" t="str">
        <f t="shared" si="7"/>
        <v/>
      </c>
      <c r="T11" s="24" t="str">
        <f t="shared" si="8"/>
        <v/>
      </c>
    </row>
    <row r="12" spans="1:20" x14ac:dyDescent="0.25">
      <c r="A12" s="18">
        <v>2</v>
      </c>
      <c r="B12" s="19"/>
      <c r="C12" s="20" t="str">
        <f t="shared" si="0"/>
        <v/>
      </c>
      <c r="D12" s="21"/>
      <c r="E12" s="20" t="str">
        <f t="shared" si="1"/>
        <v/>
      </c>
      <c r="F12" s="19"/>
      <c r="G12" s="20" t="str">
        <f t="shared" si="2"/>
        <v/>
      </c>
      <c r="H12" s="19"/>
      <c r="I12" s="20" t="str">
        <f t="shared" si="3"/>
        <v/>
      </c>
      <c r="J12" s="20" t="str">
        <f t="shared" si="4"/>
        <v/>
      </c>
      <c r="K12" s="19"/>
      <c r="L12" s="20" t="str">
        <f t="shared" si="5"/>
        <v/>
      </c>
      <c r="M12" s="19"/>
      <c r="N12" s="22"/>
      <c r="O12" s="20" t="str">
        <f t="shared" si="6"/>
        <v/>
      </c>
      <c r="P12" s="19"/>
      <c r="Q12" s="19"/>
      <c r="R12" s="23"/>
      <c r="S12" s="20" t="str">
        <f t="shared" si="7"/>
        <v/>
      </c>
      <c r="T12" s="24" t="str">
        <f t="shared" si="8"/>
        <v/>
      </c>
    </row>
    <row r="13" spans="1:20" x14ac:dyDescent="0.25">
      <c r="A13" s="18">
        <v>3</v>
      </c>
      <c r="B13" s="19"/>
      <c r="C13" s="20" t="str">
        <f t="shared" si="0"/>
        <v/>
      </c>
      <c r="D13" s="21"/>
      <c r="E13" s="20" t="str">
        <f t="shared" si="1"/>
        <v/>
      </c>
      <c r="F13" s="19"/>
      <c r="G13" s="20" t="str">
        <f t="shared" si="2"/>
        <v/>
      </c>
      <c r="H13" s="19"/>
      <c r="I13" s="20" t="str">
        <f t="shared" si="3"/>
        <v/>
      </c>
      <c r="J13" s="20" t="str">
        <f t="shared" si="4"/>
        <v/>
      </c>
      <c r="K13" s="19"/>
      <c r="L13" s="20" t="str">
        <f t="shared" si="5"/>
        <v/>
      </c>
      <c r="M13" s="19"/>
      <c r="N13" s="22"/>
      <c r="O13" s="20" t="str">
        <f t="shared" si="6"/>
        <v/>
      </c>
      <c r="P13" s="19"/>
      <c r="Q13" s="19"/>
      <c r="R13" s="23"/>
      <c r="S13" s="20" t="str">
        <f t="shared" si="7"/>
        <v/>
      </c>
      <c r="T13" s="24" t="str">
        <f t="shared" si="8"/>
        <v/>
      </c>
    </row>
    <row r="14" spans="1:20" x14ac:dyDescent="0.25">
      <c r="A14" s="18">
        <v>4</v>
      </c>
      <c r="B14" s="19"/>
      <c r="C14" s="20" t="str">
        <f t="shared" si="0"/>
        <v/>
      </c>
      <c r="D14" s="21"/>
      <c r="E14" s="20" t="str">
        <f t="shared" si="1"/>
        <v/>
      </c>
      <c r="F14" s="19"/>
      <c r="G14" s="20" t="str">
        <f t="shared" si="2"/>
        <v/>
      </c>
      <c r="H14" s="19"/>
      <c r="I14" s="20" t="str">
        <f t="shared" si="3"/>
        <v/>
      </c>
      <c r="J14" s="20" t="str">
        <f t="shared" si="4"/>
        <v/>
      </c>
      <c r="K14" s="19"/>
      <c r="L14" s="20" t="str">
        <f t="shared" si="5"/>
        <v/>
      </c>
      <c r="M14" s="19"/>
      <c r="N14" s="22"/>
      <c r="O14" s="20" t="str">
        <f t="shared" si="6"/>
        <v/>
      </c>
      <c r="P14" s="19"/>
      <c r="Q14" s="19"/>
      <c r="R14" s="23"/>
      <c r="S14" s="20" t="str">
        <f t="shared" si="7"/>
        <v/>
      </c>
      <c r="T14" s="24" t="str">
        <f t="shared" si="8"/>
        <v/>
      </c>
    </row>
    <row r="15" spans="1:20" x14ac:dyDescent="0.25">
      <c r="A15" s="18">
        <v>5</v>
      </c>
      <c r="B15" s="19"/>
      <c r="C15" s="20" t="str">
        <f t="shared" si="0"/>
        <v/>
      </c>
      <c r="D15" s="21"/>
      <c r="E15" s="20" t="str">
        <f t="shared" si="1"/>
        <v/>
      </c>
      <c r="F15" s="19"/>
      <c r="G15" s="20" t="str">
        <f t="shared" si="2"/>
        <v/>
      </c>
      <c r="H15" s="19"/>
      <c r="I15" s="20" t="str">
        <f t="shared" si="3"/>
        <v/>
      </c>
      <c r="J15" s="20" t="str">
        <f t="shared" si="4"/>
        <v/>
      </c>
      <c r="K15" s="19"/>
      <c r="L15" s="20" t="str">
        <f t="shared" si="5"/>
        <v/>
      </c>
      <c r="M15" s="19"/>
      <c r="N15" s="22"/>
      <c r="O15" s="20" t="str">
        <f t="shared" si="6"/>
        <v/>
      </c>
      <c r="P15" s="19"/>
      <c r="Q15" s="19"/>
      <c r="R15" s="23"/>
      <c r="S15" s="20" t="str">
        <f t="shared" si="7"/>
        <v/>
      </c>
      <c r="T15" s="24" t="str">
        <f t="shared" si="8"/>
        <v/>
      </c>
    </row>
    <row r="16" spans="1:20" x14ac:dyDescent="0.25">
      <c r="A16" s="18">
        <v>6</v>
      </c>
      <c r="B16" s="19"/>
      <c r="C16" s="20" t="str">
        <f t="shared" si="0"/>
        <v/>
      </c>
      <c r="D16" s="21"/>
      <c r="E16" s="20" t="str">
        <f t="shared" si="1"/>
        <v/>
      </c>
      <c r="F16" s="19"/>
      <c r="G16" s="20" t="str">
        <f t="shared" si="2"/>
        <v/>
      </c>
      <c r="H16" s="19"/>
      <c r="I16" s="20" t="str">
        <f t="shared" si="3"/>
        <v/>
      </c>
      <c r="J16" s="20" t="str">
        <f t="shared" si="4"/>
        <v/>
      </c>
      <c r="K16" s="19"/>
      <c r="L16" s="20" t="str">
        <f t="shared" si="5"/>
        <v/>
      </c>
      <c r="M16" s="19"/>
      <c r="N16" s="22"/>
      <c r="O16" s="20" t="str">
        <f t="shared" si="6"/>
        <v/>
      </c>
      <c r="P16" s="19"/>
      <c r="Q16" s="19"/>
      <c r="R16" s="23"/>
      <c r="S16" s="20" t="str">
        <f t="shared" si="7"/>
        <v/>
      </c>
      <c r="T16" s="24" t="str">
        <f t="shared" si="8"/>
        <v/>
      </c>
    </row>
    <row r="17" spans="1:20" x14ac:dyDescent="0.25">
      <c r="A17" s="18">
        <v>7</v>
      </c>
      <c r="B17" s="19"/>
      <c r="C17" s="20" t="str">
        <f t="shared" si="0"/>
        <v/>
      </c>
      <c r="D17" s="21"/>
      <c r="E17" s="20" t="str">
        <f t="shared" si="1"/>
        <v/>
      </c>
      <c r="F17" s="19"/>
      <c r="G17" s="20" t="str">
        <f t="shared" si="2"/>
        <v/>
      </c>
      <c r="H17" s="19"/>
      <c r="I17" s="20" t="str">
        <f t="shared" si="3"/>
        <v/>
      </c>
      <c r="J17" s="20" t="str">
        <f t="shared" si="4"/>
        <v/>
      </c>
      <c r="K17" s="19"/>
      <c r="L17" s="20" t="str">
        <f t="shared" si="5"/>
        <v/>
      </c>
      <c r="M17" s="19"/>
      <c r="N17" s="22"/>
      <c r="O17" s="20" t="str">
        <f t="shared" si="6"/>
        <v/>
      </c>
      <c r="P17" s="19"/>
      <c r="Q17" s="19"/>
      <c r="R17" s="23"/>
      <c r="S17" s="20" t="str">
        <f t="shared" si="7"/>
        <v/>
      </c>
      <c r="T17" s="24" t="str">
        <f t="shared" si="8"/>
        <v/>
      </c>
    </row>
    <row r="18" spans="1:20" x14ac:dyDescent="0.25">
      <c r="A18" s="18">
        <v>8</v>
      </c>
      <c r="B18" s="19"/>
      <c r="C18" s="20" t="str">
        <f t="shared" si="0"/>
        <v/>
      </c>
      <c r="D18" s="21"/>
      <c r="E18" s="20" t="str">
        <f t="shared" si="1"/>
        <v/>
      </c>
      <c r="F18" s="19"/>
      <c r="G18" s="20" t="str">
        <f t="shared" si="2"/>
        <v/>
      </c>
      <c r="H18" s="19"/>
      <c r="I18" s="20" t="str">
        <f t="shared" si="3"/>
        <v/>
      </c>
      <c r="J18" s="20" t="str">
        <f t="shared" si="4"/>
        <v/>
      </c>
      <c r="K18" s="19"/>
      <c r="L18" s="20" t="str">
        <f t="shared" si="5"/>
        <v/>
      </c>
      <c r="M18" s="19"/>
      <c r="N18" s="22"/>
      <c r="O18" s="20" t="str">
        <f t="shared" si="6"/>
        <v/>
      </c>
      <c r="P18" s="19"/>
      <c r="Q18" s="19"/>
      <c r="R18" s="23"/>
      <c r="S18" s="20" t="str">
        <f t="shared" si="7"/>
        <v/>
      </c>
      <c r="T18" s="24" t="str">
        <f t="shared" si="8"/>
        <v/>
      </c>
    </row>
    <row r="19" spans="1:20" x14ac:dyDescent="0.25">
      <c r="A19" s="18">
        <v>9</v>
      </c>
      <c r="B19" s="19"/>
      <c r="C19" s="20" t="str">
        <f t="shared" si="0"/>
        <v/>
      </c>
      <c r="D19" s="21"/>
      <c r="E19" s="20" t="str">
        <f t="shared" si="1"/>
        <v/>
      </c>
      <c r="F19" s="19"/>
      <c r="G19" s="20" t="str">
        <f t="shared" si="2"/>
        <v/>
      </c>
      <c r="H19" s="19"/>
      <c r="I19" s="20" t="str">
        <f t="shared" si="3"/>
        <v/>
      </c>
      <c r="J19" s="20" t="str">
        <f t="shared" si="4"/>
        <v/>
      </c>
      <c r="K19" s="19"/>
      <c r="L19" s="20" t="str">
        <f t="shared" si="5"/>
        <v/>
      </c>
      <c r="M19" s="19"/>
      <c r="N19" s="22"/>
      <c r="O19" s="20" t="str">
        <f t="shared" si="6"/>
        <v/>
      </c>
      <c r="P19" s="19"/>
      <c r="Q19" s="19"/>
      <c r="R19" s="23"/>
      <c r="S19" s="20" t="str">
        <f t="shared" si="7"/>
        <v/>
      </c>
      <c r="T19" s="24" t="str">
        <f t="shared" si="8"/>
        <v/>
      </c>
    </row>
    <row r="20" spans="1:20" x14ac:dyDescent="0.25">
      <c r="A20" s="18">
        <v>10</v>
      </c>
      <c r="B20" s="19"/>
      <c r="C20" s="20" t="str">
        <f t="shared" si="0"/>
        <v/>
      </c>
      <c r="D20" s="21"/>
      <c r="E20" s="20" t="str">
        <f t="shared" si="1"/>
        <v/>
      </c>
      <c r="F20" s="19"/>
      <c r="G20" s="20" t="str">
        <f t="shared" si="2"/>
        <v/>
      </c>
      <c r="H20" s="19"/>
      <c r="I20" s="20" t="str">
        <f t="shared" si="3"/>
        <v/>
      </c>
      <c r="J20" s="20" t="str">
        <f t="shared" si="4"/>
        <v/>
      </c>
      <c r="K20" s="19"/>
      <c r="L20" s="20" t="str">
        <f t="shared" si="5"/>
        <v/>
      </c>
      <c r="M20" s="19"/>
      <c r="N20" s="22"/>
      <c r="O20" s="20" t="str">
        <f t="shared" si="6"/>
        <v/>
      </c>
      <c r="P20" s="19"/>
      <c r="Q20" s="19"/>
      <c r="R20" s="23"/>
      <c r="S20" s="20" t="str">
        <f t="shared" si="7"/>
        <v/>
      </c>
      <c r="T20" s="24" t="str">
        <f t="shared" si="8"/>
        <v/>
      </c>
    </row>
    <row r="21" spans="1:20" x14ac:dyDescent="0.25">
      <c r="A21" s="18">
        <v>11</v>
      </c>
      <c r="B21" s="19"/>
      <c r="C21" s="20" t="str">
        <f t="shared" si="0"/>
        <v/>
      </c>
      <c r="D21" s="21"/>
      <c r="E21" s="20" t="str">
        <f t="shared" si="1"/>
        <v/>
      </c>
      <c r="F21" s="19"/>
      <c r="G21" s="20" t="str">
        <f t="shared" si="2"/>
        <v/>
      </c>
      <c r="H21" s="19"/>
      <c r="I21" s="20" t="str">
        <f t="shared" si="3"/>
        <v/>
      </c>
      <c r="J21" s="20" t="str">
        <f t="shared" si="4"/>
        <v/>
      </c>
      <c r="K21" s="19"/>
      <c r="L21" s="20" t="str">
        <f t="shared" si="5"/>
        <v/>
      </c>
      <c r="M21" s="19"/>
      <c r="N21" s="22"/>
      <c r="O21" s="20" t="str">
        <f t="shared" si="6"/>
        <v/>
      </c>
      <c r="P21" s="19"/>
      <c r="Q21" s="19"/>
      <c r="R21" s="23"/>
      <c r="S21" s="20" t="str">
        <f t="shared" si="7"/>
        <v/>
      </c>
      <c r="T21" s="24" t="str">
        <f t="shared" si="8"/>
        <v/>
      </c>
    </row>
    <row r="22" spans="1:20" x14ac:dyDescent="0.25">
      <c r="A22" s="18">
        <v>12</v>
      </c>
      <c r="B22" s="19"/>
      <c r="C22" s="20" t="str">
        <f t="shared" si="0"/>
        <v/>
      </c>
      <c r="D22" s="21"/>
      <c r="E22" s="20" t="str">
        <f t="shared" si="1"/>
        <v/>
      </c>
      <c r="F22" s="19"/>
      <c r="G22" s="20" t="str">
        <f t="shared" si="2"/>
        <v/>
      </c>
      <c r="H22" s="19"/>
      <c r="I22" s="20" t="str">
        <f t="shared" si="3"/>
        <v/>
      </c>
      <c r="J22" s="20" t="str">
        <f t="shared" si="4"/>
        <v/>
      </c>
      <c r="K22" s="19"/>
      <c r="L22" s="20" t="str">
        <f t="shared" si="5"/>
        <v/>
      </c>
      <c r="M22" s="19"/>
      <c r="N22" s="22"/>
      <c r="O22" s="20" t="str">
        <f t="shared" si="6"/>
        <v/>
      </c>
      <c r="P22" s="19"/>
      <c r="Q22" s="19"/>
      <c r="R22" s="23"/>
      <c r="S22" s="20" t="str">
        <f t="shared" si="7"/>
        <v/>
      </c>
      <c r="T22" s="24" t="str">
        <f t="shared" si="8"/>
        <v/>
      </c>
    </row>
    <row r="23" spans="1:20" x14ac:dyDescent="0.25">
      <c r="A23" s="18">
        <v>13</v>
      </c>
      <c r="B23" s="19"/>
      <c r="C23" s="20" t="str">
        <f t="shared" si="0"/>
        <v/>
      </c>
      <c r="D23" s="21"/>
      <c r="E23" s="20" t="str">
        <f t="shared" si="1"/>
        <v/>
      </c>
      <c r="F23" s="19"/>
      <c r="G23" s="20" t="str">
        <f t="shared" si="2"/>
        <v/>
      </c>
      <c r="H23" s="19"/>
      <c r="I23" s="20" t="str">
        <f t="shared" si="3"/>
        <v/>
      </c>
      <c r="J23" s="20" t="str">
        <f t="shared" si="4"/>
        <v/>
      </c>
      <c r="K23" s="19"/>
      <c r="L23" s="20" t="str">
        <f t="shared" si="5"/>
        <v/>
      </c>
      <c r="M23" s="19"/>
      <c r="N23" s="22"/>
      <c r="O23" s="20" t="str">
        <f t="shared" si="6"/>
        <v/>
      </c>
      <c r="P23" s="19"/>
      <c r="Q23" s="19"/>
      <c r="R23" s="23"/>
      <c r="S23" s="20" t="str">
        <f t="shared" si="7"/>
        <v/>
      </c>
      <c r="T23" s="24" t="str">
        <f t="shared" si="8"/>
        <v/>
      </c>
    </row>
    <row r="24" spans="1:20" x14ac:dyDescent="0.25">
      <c r="A24" s="18">
        <v>14</v>
      </c>
      <c r="B24" s="19"/>
      <c r="C24" s="20" t="str">
        <f t="shared" si="0"/>
        <v/>
      </c>
      <c r="D24" s="21"/>
      <c r="E24" s="20" t="str">
        <f t="shared" si="1"/>
        <v/>
      </c>
      <c r="F24" s="19"/>
      <c r="G24" s="20" t="str">
        <f t="shared" si="2"/>
        <v/>
      </c>
      <c r="H24" s="19"/>
      <c r="I24" s="20" t="str">
        <f t="shared" si="3"/>
        <v/>
      </c>
      <c r="J24" s="20" t="str">
        <f t="shared" si="4"/>
        <v/>
      </c>
      <c r="K24" s="19"/>
      <c r="L24" s="20" t="str">
        <f t="shared" si="5"/>
        <v/>
      </c>
      <c r="M24" s="19"/>
      <c r="N24" s="22"/>
      <c r="O24" s="20" t="str">
        <f t="shared" si="6"/>
        <v/>
      </c>
      <c r="P24" s="19"/>
      <c r="Q24" s="19"/>
      <c r="R24" s="23"/>
      <c r="S24" s="20" t="str">
        <f t="shared" si="7"/>
        <v/>
      </c>
      <c r="T24" s="24" t="str">
        <f t="shared" si="8"/>
        <v/>
      </c>
    </row>
    <row r="25" spans="1:20" x14ac:dyDescent="0.25">
      <c r="A25" s="18">
        <v>15</v>
      </c>
      <c r="B25" s="19"/>
      <c r="C25" s="20" t="str">
        <f t="shared" si="0"/>
        <v/>
      </c>
      <c r="D25" s="21"/>
      <c r="E25" s="20" t="str">
        <f t="shared" si="1"/>
        <v/>
      </c>
      <c r="F25" s="19"/>
      <c r="G25" s="20" t="str">
        <f t="shared" si="2"/>
        <v/>
      </c>
      <c r="H25" s="19"/>
      <c r="I25" s="20" t="str">
        <f t="shared" si="3"/>
        <v/>
      </c>
      <c r="J25" s="20" t="str">
        <f t="shared" si="4"/>
        <v/>
      </c>
      <c r="K25" s="19"/>
      <c r="L25" s="20" t="str">
        <f t="shared" si="5"/>
        <v/>
      </c>
      <c r="M25" s="19"/>
      <c r="N25" s="22"/>
      <c r="O25" s="20" t="str">
        <f t="shared" si="6"/>
        <v/>
      </c>
      <c r="P25" s="19"/>
      <c r="Q25" s="19"/>
      <c r="R25" s="23"/>
      <c r="S25" s="20" t="str">
        <f t="shared" si="7"/>
        <v/>
      </c>
      <c r="T25" s="24" t="str">
        <f t="shared" si="8"/>
        <v/>
      </c>
    </row>
    <row r="28" spans="1:20" ht="21.95" customHeight="1" x14ac:dyDescent="0.25">
      <c r="A28" s="44" t="s">
        <v>404</v>
      </c>
      <c r="B28" s="45"/>
      <c r="C28" s="45"/>
      <c r="D28" s="45"/>
      <c r="E28" s="45"/>
      <c r="F28" s="45"/>
      <c r="G28" s="45"/>
      <c r="H28" s="45"/>
      <c r="I28" s="45"/>
      <c r="J28" s="45"/>
      <c r="K28" s="45"/>
      <c r="L28" s="45"/>
      <c r="M28" s="45"/>
      <c r="N28" s="45"/>
      <c r="O28" s="45"/>
      <c r="P28" s="45"/>
      <c r="Q28" s="45"/>
      <c r="R28" s="45"/>
      <c r="S28" s="45"/>
      <c r="T28" s="45"/>
    </row>
    <row r="29" spans="1:20" ht="15.95" customHeight="1" x14ac:dyDescent="0.25">
      <c r="A29" s="43" t="s">
        <v>379</v>
      </c>
      <c r="B29" s="35"/>
      <c r="C29" s="35"/>
      <c r="D29" s="35"/>
      <c r="E29" s="35"/>
      <c r="F29" s="35"/>
      <c r="G29" s="35"/>
      <c r="H29" s="35"/>
      <c r="I29" s="35"/>
      <c r="J29" s="35"/>
      <c r="K29" s="35"/>
      <c r="L29" s="35"/>
      <c r="M29" s="35"/>
      <c r="N29" s="35"/>
      <c r="O29" s="35"/>
      <c r="P29" s="35"/>
      <c r="Q29" s="35"/>
      <c r="R29" s="35"/>
      <c r="S29" s="35"/>
      <c r="T29" s="35"/>
    </row>
    <row r="31" spans="1:20" ht="18" customHeight="1" x14ac:dyDescent="0.25">
      <c r="A31" s="41" t="s">
        <v>405</v>
      </c>
      <c r="B31" s="35"/>
      <c r="C31" s="35"/>
      <c r="D31" s="35"/>
      <c r="E31" s="35"/>
      <c r="F31" s="35"/>
      <c r="G31" s="35"/>
      <c r="H31" s="35"/>
      <c r="I31" s="35"/>
      <c r="J31" s="35"/>
      <c r="K31" s="35"/>
      <c r="L31" s="35"/>
      <c r="M31" s="35"/>
      <c r="N31" s="35"/>
      <c r="O31" s="35"/>
      <c r="P31" s="35"/>
      <c r="Q31" s="35"/>
      <c r="R31" s="35"/>
      <c r="S31" s="35"/>
      <c r="T31" s="35"/>
    </row>
    <row r="32" spans="1:20" ht="21" customHeight="1" x14ac:dyDescent="0.25">
      <c r="A32" s="42" t="s">
        <v>406</v>
      </c>
      <c r="B32" s="35"/>
      <c r="C32" s="35"/>
      <c r="D32" s="35"/>
      <c r="E32" s="35"/>
      <c r="F32" s="35"/>
      <c r="G32" s="35"/>
      <c r="H32" s="35"/>
      <c r="I32" s="35"/>
      <c r="J32" s="35"/>
      <c r="K32" s="35"/>
      <c r="L32" s="35"/>
      <c r="M32" s="35"/>
      <c r="N32" s="35"/>
      <c r="O32" s="35"/>
      <c r="P32" s="35"/>
      <c r="Q32" s="35"/>
      <c r="R32" s="35"/>
      <c r="S32" s="35"/>
      <c r="T32" s="35"/>
    </row>
    <row r="33" spans="1:20" ht="6" customHeight="1" x14ac:dyDescent="0.25"/>
    <row r="34" spans="1:20" ht="18" customHeight="1" x14ac:dyDescent="0.25">
      <c r="A34" s="41" t="s">
        <v>407</v>
      </c>
      <c r="B34" s="35"/>
      <c r="C34" s="35"/>
      <c r="D34" s="35"/>
      <c r="E34" s="35"/>
      <c r="F34" s="35"/>
      <c r="G34" s="35"/>
      <c r="H34" s="35"/>
      <c r="I34" s="35"/>
      <c r="J34" s="35"/>
      <c r="K34" s="35"/>
      <c r="L34" s="35"/>
      <c r="M34" s="35"/>
      <c r="N34" s="35"/>
      <c r="O34" s="35"/>
      <c r="P34" s="35"/>
      <c r="Q34" s="35"/>
      <c r="R34" s="35"/>
      <c r="S34" s="35"/>
      <c r="T34" s="35"/>
    </row>
    <row r="35" spans="1:20" ht="21" customHeight="1" x14ac:dyDescent="0.25">
      <c r="A35" s="42" t="s">
        <v>408</v>
      </c>
      <c r="B35" s="35"/>
      <c r="C35" s="35"/>
      <c r="D35" s="35"/>
      <c r="E35" s="35"/>
      <c r="F35" s="35"/>
      <c r="G35" s="35"/>
      <c r="H35" s="35"/>
      <c r="I35" s="35"/>
      <c r="J35" s="35"/>
      <c r="K35" s="35"/>
      <c r="L35" s="35"/>
      <c r="M35" s="35"/>
      <c r="N35" s="35"/>
      <c r="O35" s="35"/>
      <c r="P35" s="35"/>
      <c r="Q35" s="35"/>
      <c r="R35" s="35"/>
      <c r="S35" s="35"/>
      <c r="T35" s="35"/>
    </row>
    <row r="36" spans="1:20" ht="6" customHeight="1" x14ac:dyDescent="0.25"/>
    <row r="37" spans="1:20" ht="18" customHeight="1" x14ac:dyDescent="0.25">
      <c r="A37" s="41" t="s">
        <v>409</v>
      </c>
      <c r="B37" s="35"/>
      <c r="C37" s="35"/>
      <c r="D37" s="35"/>
      <c r="E37" s="35"/>
      <c r="F37" s="35"/>
      <c r="G37" s="35"/>
      <c r="H37" s="35"/>
      <c r="I37" s="35"/>
      <c r="J37" s="35"/>
      <c r="K37" s="35"/>
      <c r="L37" s="35"/>
      <c r="M37" s="35"/>
      <c r="N37" s="35"/>
      <c r="O37" s="35"/>
      <c r="P37" s="35"/>
      <c r="Q37" s="35"/>
      <c r="R37" s="35"/>
      <c r="S37" s="35"/>
      <c r="T37" s="35"/>
    </row>
    <row r="38" spans="1:20" ht="21" customHeight="1" x14ac:dyDescent="0.25">
      <c r="A38" s="42" t="s">
        <v>410</v>
      </c>
      <c r="B38" s="35"/>
      <c r="C38" s="35"/>
      <c r="D38" s="35"/>
      <c r="E38" s="35"/>
      <c r="F38" s="35"/>
      <c r="G38" s="35"/>
      <c r="H38" s="35"/>
      <c r="I38" s="35"/>
      <c r="J38" s="35"/>
      <c r="K38" s="35"/>
      <c r="L38" s="35"/>
      <c r="M38" s="35"/>
      <c r="N38" s="35"/>
      <c r="O38" s="35"/>
      <c r="P38" s="35"/>
      <c r="Q38" s="35"/>
      <c r="R38" s="35"/>
      <c r="S38" s="35"/>
      <c r="T38" s="35"/>
    </row>
    <row r="39" spans="1:20" ht="6" customHeight="1" x14ac:dyDescent="0.25"/>
    <row r="40" spans="1:20" ht="18" customHeight="1" x14ac:dyDescent="0.25">
      <c r="A40" s="41" t="s">
        <v>388</v>
      </c>
      <c r="B40" s="35"/>
      <c r="C40" s="35"/>
      <c r="D40" s="35"/>
      <c r="E40" s="35"/>
      <c r="F40" s="35"/>
      <c r="G40" s="35"/>
      <c r="H40" s="35"/>
      <c r="I40" s="35"/>
      <c r="J40" s="35"/>
      <c r="K40" s="35"/>
      <c r="L40" s="35"/>
      <c r="M40" s="35"/>
      <c r="N40" s="35"/>
      <c r="O40" s="35"/>
      <c r="P40" s="35"/>
      <c r="Q40" s="35"/>
      <c r="R40" s="35"/>
      <c r="S40" s="35"/>
      <c r="T40" s="35"/>
    </row>
    <row r="41" spans="1:20" ht="51" customHeight="1" x14ac:dyDescent="0.25">
      <c r="A41" s="42" t="s">
        <v>389</v>
      </c>
      <c r="B41" s="35"/>
      <c r="C41" s="35"/>
      <c r="D41" s="35"/>
      <c r="E41" s="35"/>
      <c r="F41" s="35"/>
      <c r="G41" s="35"/>
      <c r="H41" s="35"/>
      <c r="I41" s="35"/>
      <c r="J41" s="35"/>
      <c r="K41" s="35"/>
      <c r="L41" s="35"/>
      <c r="M41" s="35"/>
      <c r="N41" s="35"/>
      <c r="O41" s="35"/>
      <c r="P41" s="35"/>
      <c r="Q41" s="35"/>
      <c r="R41" s="35"/>
      <c r="S41" s="35"/>
      <c r="T41" s="35"/>
    </row>
    <row r="42" spans="1:20" ht="6" customHeight="1" x14ac:dyDescent="0.25"/>
    <row r="45" spans="1:20" ht="21.95" customHeight="1" x14ac:dyDescent="0.25">
      <c r="A45" s="44" t="s">
        <v>390</v>
      </c>
      <c r="B45" s="45"/>
      <c r="C45" s="45"/>
      <c r="D45" s="45"/>
      <c r="E45" s="45"/>
      <c r="F45" s="45"/>
      <c r="G45" s="45"/>
      <c r="H45" s="45"/>
      <c r="I45" s="45"/>
      <c r="J45" s="45"/>
      <c r="K45" s="45"/>
      <c r="L45" s="45"/>
      <c r="M45" s="45"/>
      <c r="N45" s="45"/>
      <c r="O45" s="45"/>
      <c r="P45" s="45"/>
      <c r="Q45" s="45"/>
      <c r="R45" s="45"/>
      <c r="S45" s="45"/>
      <c r="T45" s="45"/>
    </row>
    <row r="47" spans="1:20" ht="18" customHeight="1" x14ac:dyDescent="0.25">
      <c r="A47" s="41" t="s">
        <v>91</v>
      </c>
      <c r="B47" s="35"/>
      <c r="C47" s="35"/>
      <c r="D47" s="35"/>
      <c r="E47" s="35"/>
      <c r="F47" s="35"/>
      <c r="G47" s="35"/>
      <c r="H47" s="35"/>
      <c r="I47" s="35"/>
      <c r="J47" s="35"/>
      <c r="K47" s="35"/>
      <c r="L47" s="35"/>
      <c r="M47" s="35"/>
      <c r="N47" s="35"/>
      <c r="O47" s="35"/>
      <c r="P47" s="35"/>
      <c r="Q47" s="35"/>
      <c r="R47" s="35"/>
      <c r="S47" s="35"/>
      <c r="T47" s="35"/>
    </row>
    <row r="48" spans="1:20" ht="21" customHeight="1" x14ac:dyDescent="0.25">
      <c r="A48" s="42" t="s">
        <v>391</v>
      </c>
      <c r="B48" s="35"/>
      <c r="C48" s="35"/>
      <c r="D48" s="35"/>
      <c r="E48" s="35"/>
      <c r="F48" s="35"/>
      <c r="G48" s="35"/>
      <c r="H48" s="35"/>
      <c r="I48" s="35"/>
      <c r="J48" s="35"/>
      <c r="K48" s="35"/>
      <c r="L48" s="35"/>
      <c r="M48" s="35"/>
      <c r="N48" s="35"/>
      <c r="O48" s="35"/>
      <c r="P48" s="35"/>
      <c r="Q48" s="35"/>
      <c r="R48" s="35"/>
      <c r="S48" s="35"/>
      <c r="T48" s="35"/>
    </row>
    <row r="49" spans="1:20" ht="6" customHeight="1" x14ac:dyDescent="0.25"/>
    <row r="50" spans="1:20" ht="18" customHeight="1" x14ac:dyDescent="0.25">
      <c r="A50" s="41" t="s">
        <v>130</v>
      </c>
      <c r="B50" s="35"/>
      <c r="C50" s="35"/>
      <c r="D50" s="35"/>
      <c r="E50" s="35"/>
      <c r="F50" s="35"/>
      <c r="G50" s="35"/>
      <c r="H50" s="35"/>
      <c r="I50" s="35"/>
      <c r="J50" s="35"/>
      <c r="K50" s="35"/>
      <c r="L50" s="35"/>
      <c r="M50" s="35"/>
      <c r="N50" s="35"/>
      <c r="O50" s="35"/>
      <c r="P50" s="35"/>
      <c r="Q50" s="35"/>
      <c r="R50" s="35"/>
      <c r="S50" s="35"/>
      <c r="T50" s="35"/>
    </row>
    <row r="51" spans="1:20" ht="36" customHeight="1" x14ac:dyDescent="0.25">
      <c r="A51" s="42" t="s">
        <v>392</v>
      </c>
      <c r="B51" s="35"/>
      <c r="C51" s="35"/>
      <c r="D51" s="35"/>
      <c r="E51" s="35"/>
      <c r="F51" s="35"/>
      <c r="G51" s="35"/>
      <c r="H51" s="35"/>
      <c r="I51" s="35"/>
      <c r="J51" s="35"/>
      <c r="K51" s="35"/>
      <c r="L51" s="35"/>
      <c r="M51" s="35"/>
      <c r="N51" s="35"/>
      <c r="O51" s="35"/>
      <c r="P51" s="35"/>
      <c r="Q51" s="35"/>
      <c r="R51" s="35"/>
      <c r="S51" s="35"/>
      <c r="T51" s="35"/>
    </row>
    <row r="52" spans="1:20" ht="6" customHeight="1" x14ac:dyDescent="0.25"/>
    <row r="53" spans="1:20" ht="18" customHeight="1" x14ac:dyDescent="0.25">
      <c r="A53" s="41" t="s">
        <v>355</v>
      </c>
      <c r="B53" s="35"/>
      <c r="C53" s="35"/>
      <c r="D53" s="35"/>
      <c r="E53" s="35"/>
      <c r="F53" s="35"/>
      <c r="G53" s="35"/>
      <c r="H53" s="35"/>
      <c r="I53" s="35"/>
      <c r="J53" s="35"/>
      <c r="K53" s="35"/>
      <c r="L53" s="35"/>
      <c r="M53" s="35"/>
      <c r="N53" s="35"/>
      <c r="O53" s="35"/>
      <c r="P53" s="35"/>
      <c r="Q53" s="35"/>
      <c r="R53" s="35"/>
      <c r="S53" s="35"/>
      <c r="T53" s="35"/>
    </row>
    <row r="54" spans="1:20" ht="21" customHeight="1" x14ac:dyDescent="0.25">
      <c r="A54" s="42" t="s">
        <v>393</v>
      </c>
      <c r="B54" s="35"/>
      <c r="C54" s="35"/>
      <c r="D54" s="35"/>
      <c r="E54" s="35"/>
      <c r="F54" s="35"/>
      <c r="G54" s="35"/>
      <c r="H54" s="35"/>
      <c r="I54" s="35"/>
      <c r="J54" s="35"/>
      <c r="K54" s="35"/>
      <c r="L54" s="35"/>
      <c r="M54" s="35"/>
      <c r="N54" s="35"/>
      <c r="O54" s="35"/>
      <c r="P54" s="35"/>
      <c r="Q54" s="35"/>
      <c r="R54" s="35"/>
      <c r="S54" s="35"/>
      <c r="T54" s="35"/>
    </row>
    <row r="55" spans="1:20" ht="6" customHeight="1" x14ac:dyDescent="0.25"/>
    <row r="56" spans="1:20" ht="18" customHeight="1" x14ac:dyDescent="0.25">
      <c r="A56" s="41" t="s">
        <v>357</v>
      </c>
      <c r="B56" s="35"/>
      <c r="C56" s="35"/>
      <c r="D56" s="35"/>
      <c r="E56" s="35"/>
      <c r="F56" s="35"/>
      <c r="G56" s="35"/>
      <c r="H56" s="35"/>
      <c r="I56" s="35"/>
      <c r="J56" s="35"/>
      <c r="K56" s="35"/>
      <c r="L56" s="35"/>
      <c r="M56" s="35"/>
      <c r="N56" s="35"/>
      <c r="O56" s="35"/>
      <c r="P56" s="35"/>
      <c r="Q56" s="35"/>
      <c r="R56" s="35"/>
      <c r="S56" s="35"/>
      <c r="T56" s="35"/>
    </row>
    <row r="57" spans="1:20" ht="36" customHeight="1" x14ac:dyDescent="0.25">
      <c r="A57" s="42" t="s">
        <v>394</v>
      </c>
      <c r="B57" s="35"/>
      <c r="C57" s="35"/>
      <c r="D57" s="35"/>
      <c r="E57" s="35"/>
      <c r="F57" s="35"/>
      <c r="G57" s="35"/>
      <c r="H57" s="35"/>
      <c r="I57" s="35"/>
      <c r="J57" s="35"/>
      <c r="K57" s="35"/>
      <c r="L57" s="35"/>
      <c r="M57" s="35"/>
      <c r="N57" s="35"/>
      <c r="O57" s="35"/>
      <c r="P57" s="35"/>
      <c r="Q57" s="35"/>
      <c r="R57" s="35"/>
      <c r="S57" s="35"/>
      <c r="T57" s="35"/>
    </row>
    <row r="58" spans="1:20" ht="6" customHeight="1" x14ac:dyDescent="0.25"/>
    <row r="59" spans="1:20" ht="18" customHeight="1" x14ac:dyDescent="0.25">
      <c r="A59" s="41" t="s">
        <v>360</v>
      </c>
      <c r="B59" s="35"/>
      <c r="C59" s="35"/>
      <c r="D59" s="35"/>
      <c r="E59" s="35"/>
      <c r="F59" s="35"/>
      <c r="G59" s="35"/>
      <c r="H59" s="35"/>
      <c r="I59" s="35"/>
      <c r="J59" s="35"/>
      <c r="K59" s="35"/>
      <c r="L59" s="35"/>
      <c r="M59" s="35"/>
      <c r="N59" s="35"/>
      <c r="O59" s="35"/>
      <c r="P59" s="35"/>
      <c r="Q59" s="35"/>
      <c r="R59" s="35"/>
      <c r="S59" s="35"/>
      <c r="T59" s="35"/>
    </row>
    <row r="60" spans="1:20" ht="21" customHeight="1" x14ac:dyDescent="0.25">
      <c r="A60" s="42" t="s">
        <v>411</v>
      </c>
      <c r="B60" s="35"/>
      <c r="C60" s="35"/>
      <c r="D60" s="35"/>
      <c r="E60" s="35"/>
      <c r="F60" s="35"/>
      <c r="G60" s="35"/>
      <c r="H60" s="35"/>
      <c r="I60" s="35"/>
      <c r="J60" s="35"/>
      <c r="K60" s="35"/>
      <c r="L60" s="35"/>
      <c r="M60" s="35"/>
      <c r="N60" s="35"/>
      <c r="O60" s="35"/>
      <c r="P60" s="35"/>
      <c r="Q60" s="35"/>
      <c r="R60" s="35"/>
      <c r="S60" s="35"/>
      <c r="T60" s="35"/>
    </row>
    <row r="61" spans="1:20" ht="6" customHeight="1" x14ac:dyDescent="0.25"/>
    <row r="62" spans="1:20" ht="18" customHeight="1" x14ac:dyDescent="0.25">
      <c r="A62" s="41" t="s">
        <v>362</v>
      </c>
      <c r="B62" s="35"/>
      <c r="C62" s="35"/>
      <c r="D62" s="35"/>
      <c r="E62" s="35"/>
      <c r="F62" s="35"/>
      <c r="G62" s="35"/>
      <c r="H62" s="35"/>
      <c r="I62" s="35"/>
      <c r="J62" s="35"/>
      <c r="K62" s="35"/>
      <c r="L62" s="35"/>
      <c r="M62" s="35"/>
      <c r="N62" s="35"/>
      <c r="O62" s="35"/>
      <c r="P62" s="35"/>
      <c r="Q62" s="35"/>
      <c r="R62" s="35"/>
      <c r="S62" s="35"/>
      <c r="T62" s="35"/>
    </row>
    <row r="63" spans="1:20" ht="21" customHeight="1" x14ac:dyDescent="0.25">
      <c r="A63" s="42" t="s">
        <v>396</v>
      </c>
      <c r="B63" s="35"/>
      <c r="C63" s="35"/>
      <c r="D63" s="35"/>
      <c r="E63" s="35"/>
      <c r="F63" s="35"/>
      <c r="G63" s="35"/>
      <c r="H63" s="35"/>
      <c r="I63" s="35"/>
      <c r="J63" s="35"/>
      <c r="K63" s="35"/>
      <c r="L63" s="35"/>
      <c r="M63" s="35"/>
      <c r="N63" s="35"/>
      <c r="O63" s="35"/>
      <c r="P63" s="35"/>
      <c r="Q63" s="35"/>
      <c r="R63" s="35"/>
      <c r="S63" s="35"/>
      <c r="T63" s="35"/>
    </row>
    <row r="64" spans="1:20" ht="6" customHeight="1" x14ac:dyDescent="0.25"/>
    <row r="65" spans="1:20" ht="18" customHeight="1" x14ac:dyDescent="0.25">
      <c r="A65" s="41" t="s">
        <v>363</v>
      </c>
      <c r="B65" s="35"/>
      <c r="C65" s="35"/>
      <c r="D65" s="35"/>
      <c r="E65" s="35"/>
      <c r="F65" s="35"/>
      <c r="G65" s="35"/>
      <c r="H65" s="35"/>
      <c r="I65" s="35"/>
      <c r="J65" s="35"/>
      <c r="K65" s="35"/>
      <c r="L65" s="35"/>
      <c r="M65" s="35"/>
      <c r="N65" s="35"/>
      <c r="O65" s="35"/>
      <c r="P65" s="35"/>
      <c r="Q65" s="35"/>
      <c r="R65" s="35"/>
      <c r="S65" s="35"/>
      <c r="T65" s="35"/>
    </row>
    <row r="66" spans="1:20" ht="21" customHeight="1" x14ac:dyDescent="0.25">
      <c r="A66" s="42" t="s">
        <v>397</v>
      </c>
      <c r="B66" s="35"/>
      <c r="C66" s="35"/>
      <c r="D66" s="35"/>
      <c r="E66" s="35"/>
      <c r="F66" s="35"/>
      <c r="G66" s="35"/>
      <c r="H66" s="35"/>
      <c r="I66" s="35"/>
      <c r="J66" s="35"/>
      <c r="K66" s="35"/>
      <c r="L66" s="35"/>
      <c r="M66" s="35"/>
      <c r="N66" s="35"/>
      <c r="O66" s="35"/>
      <c r="P66" s="35"/>
      <c r="Q66" s="35"/>
      <c r="R66" s="35"/>
      <c r="S66" s="35"/>
      <c r="T66" s="35"/>
    </row>
    <row r="67" spans="1:20" ht="6" customHeight="1" x14ac:dyDescent="0.25"/>
    <row r="68" spans="1:20" ht="18" customHeight="1" x14ac:dyDescent="0.25">
      <c r="A68" s="41" t="s">
        <v>402</v>
      </c>
      <c r="B68" s="35"/>
      <c r="C68" s="35"/>
      <c r="D68" s="35"/>
      <c r="E68" s="35"/>
      <c r="F68" s="35"/>
      <c r="G68" s="35"/>
      <c r="H68" s="35"/>
      <c r="I68" s="35"/>
      <c r="J68" s="35"/>
      <c r="K68" s="35"/>
      <c r="L68" s="35"/>
      <c r="M68" s="35"/>
      <c r="N68" s="35"/>
      <c r="O68" s="35"/>
      <c r="P68" s="35"/>
      <c r="Q68" s="35"/>
      <c r="R68" s="35"/>
      <c r="S68" s="35"/>
      <c r="T68" s="35"/>
    </row>
    <row r="69" spans="1:20" ht="21" customHeight="1" x14ac:dyDescent="0.25">
      <c r="A69" s="42" t="s">
        <v>412</v>
      </c>
      <c r="B69" s="35"/>
      <c r="C69" s="35"/>
      <c r="D69" s="35"/>
      <c r="E69" s="35"/>
      <c r="F69" s="35"/>
      <c r="G69" s="35"/>
      <c r="H69" s="35"/>
      <c r="I69" s="35"/>
      <c r="J69" s="35"/>
      <c r="K69" s="35"/>
      <c r="L69" s="35"/>
      <c r="M69" s="35"/>
      <c r="N69" s="35"/>
      <c r="O69" s="35"/>
      <c r="P69" s="35"/>
      <c r="Q69" s="35"/>
      <c r="R69" s="35"/>
      <c r="S69" s="35"/>
      <c r="T69" s="35"/>
    </row>
    <row r="70" spans="1:20" ht="6" customHeight="1" x14ac:dyDescent="0.25"/>
    <row r="71" spans="1:20" ht="18" customHeight="1" x14ac:dyDescent="0.25">
      <c r="A71" s="41" t="s">
        <v>365</v>
      </c>
      <c r="B71" s="35"/>
      <c r="C71" s="35"/>
      <c r="D71" s="35"/>
      <c r="E71" s="35"/>
      <c r="F71" s="35"/>
      <c r="G71" s="35"/>
      <c r="H71" s="35"/>
      <c r="I71" s="35"/>
      <c r="J71" s="35"/>
      <c r="K71" s="35"/>
      <c r="L71" s="35"/>
      <c r="M71" s="35"/>
      <c r="N71" s="35"/>
      <c r="O71" s="35"/>
      <c r="P71" s="35"/>
      <c r="Q71" s="35"/>
      <c r="R71" s="35"/>
      <c r="S71" s="35"/>
      <c r="T71" s="35"/>
    </row>
    <row r="72" spans="1:20" ht="21" customHeight="1" x14ac:dyDescent="0.25">
      <c r="A72" s="42" t="s">
        <v>413</v>
      </c>
      <c r="B72" s="35"/>
      <c r="C72" s="35"/>
      <c r="D72" s="35"/>
      <c r="E72" s="35"/>
      <c r="F72" s="35"/>
      <c r="G72" s="35"/>
      <c r="H72" s="35"/>
      <c r="I72" s="35"/>
      <c r="J72" s="35"/>
      <c r="K72" s="35"/>
      <c r="L72" s="35"/>
      <c r="M72" s="35"/>
      <c r="N72" s="35"/>
      <c r="O72" s="35"/>
      <c r="P72" s="35"/>
      <c r="Q72" s="35"/>
      <c r="R72" s="35"/>
      <c r="S72" s="35"/>
      <c r="T72" s="35"/>
    </row>
    <row r="73" spans="1:20" ht="6" customHeight="1" x14ac:dyDescent="0.25"/>
    <row r="74" spans="1:20" ht="18" customHeight="1" x14ac:dyDescent="0.25">
      <c r="A74" s="41" t="s">
        <v>366</v>
      </c>
      <c r="B74" s="35"/>
      <c r="C74" s="35"/>
      <c r="D74" s="35"/>
      <c r="E74" s="35"/>
      <c r="F74" s="35"/>
      <c r="G74" s="35"/>
      <c r="H74" s="35"/>
      <c r="I74" s="35"/>
      <c r="J74" s="35"/>
      <c r="K74" s="35"/>
      <c r="L74" s="35"/>
      <c r="M74" s="35"/>
      <c r="N74" s="35"/>
      <c r="O74" s="35"/>
      <c r="P74" s="35"/>
      <c r="Q74" s="35"/>
      <c r="R74" s="35"/>
      <c r="S74" s="35"/>
      <c r="T74" s="35"/>
    </row>
    <row r="75" spans="1:20" ht="21" customHeight="1" x14ac:dyDescent="0.25">
      <c r="A75" s="42" t="s">
        <v>399</v>
      </c>
      <c r="B75" s="35"/>
      <c r="C75" s="35"/>
      <c r="D75" s="35"/>
      <c r="E75" s="35"/>
      <c r="F75" s="35"/>
      <c r="G75" s="35"/>
      <c r="H75" s="35"/>
      <c r="I75" s="35"/>
      <c r="J75" s="35"/>
      <c r="K75" s="35"/>
      <c r="L75" s="35"/>
      <c r="M75" s="35"/>
      <c r="N75" s="35"/>
      <c r="O75" s="35"/>
      <c r="P75" s="35"/>
      <c r="Q75" s="35"/>
      <c r="R75" s="35"/>
      <c r="S75" s="35"/>
      <c r="T75" s="35"/>
    </row>
    <row r="76" spans="1:20" ht="6" customHeight="1" x14ac:dyDescent="0.25"/>
    <row r="79" spans="1:20" x14ac:dyDescent="0.25">
      <c r="A79" s="43" t="s">
        <v>400</v>
      </c>
      <c r="B79" s="35"/>
      <c r="C79" s="35"/>
      <c r="D79" s="35"/>
      <c r="E79" s="35"/>
      <c r="F79" s="35"/>
      <c r="G79" s="35"/>
      <c r="H79" s="35"/>
      <c r="I79" s="35"/>
      <c r="J79" s="35"/>
      <c r="K79" s="35"/>
      <c r="L79" s="35"/>
      <c r="M79" s="35"/>
      <c r="N79" s="35"/>
      <c r="O79" s="35"/>
      <c r="P79" s="35"/>
      <c r="Q79" s="35"/>
      <c r="R79" s="35"/>
      <c r="S79" s="35"/>
      <c r="T79" s="35"/>
    </row>
  </sheetData>
  <mergeCells count="32">
    <mergeCell ref="A29:T29"/>
    <mergeCell ref="A38:T38"/>
    <mergeCell ref="A63:T63"/>
    <mergeCell ref="A72:T72"/>
    <mergeCell ref="A28:T28"/>
    <mergeCell ref="A68:T68"/>
    <mergeCell ref="A60:T60"/>
    <mergeCell ref="A45:T45"/>
    <mergeCell ref="A79:T79"/>
    <mergeCell ref="A69:T69"/>
    <mergeCell ref="A65:T65"/>
    <mergeCell ref="A54:T54"/>
    <mergeCell ref="A66:T66"/>
    <mergeCell ref="A75:T75"/>
    <mergeCell ref="A74:T74"/>
    <mergeCell ref="A50:T50"/>
    <mergeCell ref="A56:T56"/>
    <mergeCell ref="A57:T57"/>
    <mergeCell ref="A71:T71"/>
    <mergeCell ref="A47:T47"/>
    <mergeCell ref="A62:T62"/>
    <mergeCell ref="A53:T53"/>
    <mergeCell ref="A31:T31"/>
    <mergeCell ref="A34:T34"/>
    <mergeCell ref="A40:T40"/>
    <mergeCell ref="A48:T48"/>
    <mergeCell ref="A59:T59"/>
    <mergeCell ref="A51:T51"/>
    <mergeCell ref="A41:T41"/>
    <mergeCell ref="A37:T37"/>
    <mergeCell ref="A32:T32"/>
    <mergeCell ref="A35:T35"/>
  </mergeCells>
  <dataValidations count="10">
    <dataValidation type="list" allowBlank="1" errorTitle="Valore non valido" error="Selezionare dalla lista." promptTitle="Author" prompt="Autore della codifica." sqref="B6:B25" xr:uid="{00000000-0002-0000-0300-000000000000}">
      <formula1>Author_Name</formula1>
    </dataValidation>
    <dataValidation type="list" allowBlank="1" errorTitle="Valore non valido" error="Selezionare dalla lista, oppure lasciare vuoto." promptTitle="In Place" prompt="Facoltativo. Si compila solo quando l’elemento è modellato in place dentro il progetto, non caricato da una libreria né tipo di una famiglia di sistema. Nel nome diventa (I) attaccato al codice di categoria, senza separatore. Cella vuota = caso normale." sqref="D6:D25" xr:uid="{00000000-0002-0000-0300-000001000000}">
      <formula1>InPl_Name</formula1>
    </dataValidation>
    <dataValidation type="list" allowBlank="1" errorTitle="Valore non valido" error="Selezionare dalla lista." promptTitle="Categoria" prompt="Categoria Revit dell’elemento." sqref="F6:F25" xr:uid="{00000000-0002-0000-0300-000002000000}">
      <formula1>FW_Cat_Name</formula1>
    </dataValidation>
    <dataValidation type="list" allowBlank="1" errorTitle="Valore non valido" error="Selezionare dalla lista." promptTitle="Group1 — materiale" sqref="H6:H25" xr:uid="{00000000-0002-0000-0300-000003000000}">
      <formula1>STR_G1_Name</formula1>
    </dataValidation>
    <dataValidation type="list" allowBlank="1" errorTitle="Valore non valido" error="Selezionare dalla lista." promptTitle="Group2 — portante o di sostegno" prompt="Segue il parametro Foundation Type di Revit: Bearing per la fondazione continua portante, Retaining per quella di un muro di sostegno, che ha la mensola." sqref="K6:K25" xr:uid="{00000000-0002-0000-0300-000004000000}">
      <formula1>FW_G2_Name</formula1>
    </dataValidation>
    <dataValidation type="custom" allowBlank="1" errorTitle="Non valido" error="Inserire un intero da 0 a 99, oppure XX se il tipo non è ancora definito. Con Group1 = Other si compila il Type Mark manuale." promptTitle="TM sequenza" prompt="Due cifre da 0 a 99. Distingue le varianti di stesso Group1 e stesso Group2. Tipo non ancora definito → XX. Non si compila con Group1 = Other." sqref="M6:M25" xr:uid="{00000000-0002-0000-0300-000005000000}">
      <formula1>AND($I6&lt;&gt;"OT",OR(UPPER($M6)="XX",AND(ISNUMBER($M6),$M6&gt;=0,$M6&lt;=99,$M6=INT($M6))))</formula1>
    </dataValidation>
    <dataValidation type="custom" allowBlank="1" errorTitle="Non ammesso qui" error="Si usa solo quando Group1 è Other." promptTitle="Type Mark manuale" prompt="Solo con Group1 = Other. Sostituisce tutto il Type Mark, prefisso compreso." sqref="N6:N25" xr:uid="{00000000-0002-0000-0300-000006000000}">
      <formula1>$I6="OT"</formula1>
    </dataValidation>
    <dataValidation type="decimal" operator="greaterThan" allowBlank="1" errorTitle="Non valido" error="Inserire un valore maggiore di 0." promptTitle="Width mm" prompt="Larghezza della fondazione in mm." sqref="P6:P25" xr:uid="{00000000-0002-0000-0300-000007000000}">
      <formula1>0</formula1>
    </dataValidation>
    <dataValidation type="decimal" operator="greaterThan" allowBlank="1" errorTitle="Non valido" error="Inserire un valore maggiore di 0." promptTitle="Thickness mm" prompt="Spessore della fondazione in mm." sqref="Q6:Q25" xr:uid="{00000000-0002-0000-0300-000008000000}">
      <formula1>0</formula1>
    </dataValidation>
    <dataValidation type="textLength" operator="lessThanOrEqual" allowBlank="1" errorTitle="Troppo lunga" error="Massimo 40 caratteri." promptTitle="Description" prompt="Facoltativa. Solo se aggiunge un’informazione non già nei codici. Senza spazi, iniziali maiuscole, massimo 40 caratteri, senza accenti." sqref="R6:R25" xr:uid="{00000000-0002-0000-0300-000009000000}">
      <formula1>40</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F6B4F"/>
  </sheetPr>
  <dimension ref="A1:T90"/>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21" customWidth="1"/>
    <col min="7" max="7" width="4" customWidth="1"/>
    <col min="8" max="8" width="20" customWidth="1"/>
    <col min="9" max="9" width="4" customWidth="1"/>
    <col min="10" max="10" width="17" customWidth="1"/>
    <col min="11" max="11" width="4" customWidth="1"/>
    <col min="12" max="12" width="12" customWidth="1"/>
    <col min="13" max="13" width="5" customWidth="1"/>
    <col min="14" max="14" width="9" customWidth="1"/>
    <col min="15" max="15" width="4" customWidth="1"/>
    <col min="16" max="16" width="15" customWidth="1"/>
    <col min="17" max="17" width="22" customWidth="1"/>
    <col min="18" max="18" width="12" customWidth="1"/>
    <col min="19" max="19" width="38" customWidth="1"/>
    <col min="20" max="20" width="26" customWidth="1"/>
  </cols>
  <sheetData>
    <row r="1" spans="1:20" ht="19.5" x14ac:dyDescent="0.3">
      <c r="A1" s="6" t="s">
        <v>204</v>
      </c>
    </row>
    <row r="2" spans="1:20" x14ac:dyDescent="0.25">
      <c r="A2" s="7" t="s">
        <v>350</v>
      </c>
    </row>
    <row r="3" spans="1:20" x14ac:dyDescent="0.25">
      <c r="A3" s="8" t="s">
        <v>414</v>
      </c>
    </row>
    <row r="4" spans="1:20" ht="17.100000000000001" customHeight="1" x14ac:dyDescent="0.25">
      <c r="A4" s="25" t="s">
        <v>415</v>
      </c>
      <c r="B4" s="26"/>
      <c r="C4" s="26"/>
      <c r="D4" s="26"/>
      <c r="E4" s="26"/>
      <c r="F4" s="26"/>
      <c r="G4" s="26"/>
      <c r="H4" s="26"/>
      <c r="I4" s="26"/>
      <c r="J4" s="26"/>
      <c r="K4" s="26"/>
      <c r="L4" s="26"/>
      <c r="M4" s="26"/>
      <c r="N4" s="26"/>
      <c r="O4" s="26"/>
      <c r="P4" s="26"/>
      <c r="Q4" s="26"/>
      <c r="R4" s="26"/>
      <c r="S4" s="26"/>
      <c r="T4" s="26"/>
    </row>
    <row r="5" spans="1:20" ht="30" customHeight="1" x14ac:dyDescent="0.25">
      <c r="A5" s="9" t="s">
        <v>353</v>
      </c>
      <c r="B5" s="9" t="s">
        <v>91</v>
      </c>
      <c r="C5" s="9" t="s">
        <v>354</v>
      </c>
      <c r="D5" s="10" t="s">
        <v>130</v>
      </c>
      <c r="E5" s="9" t="s">
        <v>129</v>
      </c>
      <c r="F5" s="9" t="s">
        <v>355</v>
      </c>
      <c r="G5" s="9" t="s">
        <v>356</v>
      </c>
      <c r="H5" s="9" t="s">
        <v>357</v>
      </c>
      <c r="I5" s="9" t="s">
        <v>358</v>
      </c>
      <c r="J5" s="9" t="s">
        <v>360</v>
      </c>
      <c r="K5" s="9" t="s">
        <v>361</v>
      </c>
      <c r="L5" s="10" t="s">
        <v>416</v>
      </c>
      <c r="M5" s="9" t="s">
        <v>417</v>
      </c>
      <c r="N5" s="10" t="s">
        <v>136</v>
      </c>
      <c r="O5" s="9" t="s">
        <v>418</v>
      </c>
      <c r="P5" s="10" t="s">
        <v>419</v>
      </c>
      <c r="Q5" s="10" t="s">
        <v>366</v>
      </c>
      <c r="R5" s="9" t="s">
        <v>367</v>
      </c>
      <c r="S5" s="9" t="s">
        <v>368</v>
      </c>
      <c r="T5" s="9" t="s">
        <v>420</v>
      </c>
    </row>
    <row r="6" spans="1:20" x14ac:dyDescent="0.25">
      <c r="A6" s="11" t="s">
        <v>369</v>
      </c>
      <c r="B6" s="12" t="s">
        <v>100</v>
      </c>
      <c r="C6" s="13" t="str">
        <f t="shared" ref="C6:C27" si="0">IFERROR(INDEX(Author_Code,MATCH($B6,Author_Name,0)),"")</f>
        <v>e</v>
      </c>
      <c r="D6" s="14"/>
      <c r="E6" s="13" t="str">
        <f t="shared" ref="E6:E27" si="1">IFERROR(INDEX(InPl_Code,MATCH($D6,InPl_Name,0)),"")</f>
        <v/>
      </c>
      <c r="F6" s="12" t="s">
        <v>211</v>
      </c>
      <c r="G6" s="13" t="str">
        <f t="shared" ref="G6:G27" si="2">IFERROR(INDEX(FI_Cat_Code,MATCH($F6,FI_Cat_Name,0)),"")</f>
        <v>FI</v>
      </c>
      <c r="H6" s="12" t="s">
        <v>109</v>
      </c>
      <c r="I6" s="13" t="str">
        <f t="shared" ref="I6:I27" si="3">IFERROR(INDEX(STR_G1_Code,MATCH($H6,STR_G1_Name,0)),"")</f>
        <v>CN</v>
      </c>
      <c r="J6" s="12" t="s">
        <v>213</v>
      </c>
      <c r="K6" s="13" t="str">
        <f t="shared" ref="K6:K27" si="4">IFERROR(INDEX(FI_G2_Code,MATCH($J6,FI_G2_Name,0)),"")</f>
        <v>PD</v>
      </c>
      <c r="L6" s="14"/>
      <c r="M6" s="13" t="str">
        <f t="shared" ref="M6:M27" si="5">IFERROR(INDEX(Role_Code,MATCH($L6,Role_Name,0)),"")</f>
        <v/>
      </c>
      <c r="N6" s="14"/>
      <c r="O6" s="13" t="str">
        <f t="shared" ref="O6:O27" si="6">IFERROR(INDEX(Cst_Code,MATCH($N6,Cst_Name,0)),"")</f>
        <v/>
      </c>
      <c r="P6" s="16"/>
      <c r="Q6" s="16"/>
      <c r="R6" s="13" t="str">
        <f t="shared" ref="R6:R27" si="7">$G6&amp;IF($I6&lt;&gt;"","."&amp;$I6,"")&amp;IF($K6&lt;&gt;"","."&amp;$K6,"")</f>
        <v>FI.CN.PD</v>
      </c>
      <c r="S6" s="17" t="str">
        <f t="shared" ref="S6:S27" si="8">IF(AND($F6&lt;&gt;"",$H6&lt;&gt;"",$J6&lt;&gt;""),$C6&amp;"_"&amp;$E6&amp;$R6&amp;IF($M6&lt;&gt;"","_"&amp;$M6,"")&amp;IF($O6&lt;&gt;"","_"&amp;$O6,"")&amp;IF($P6&lt;&gt;"","_"&amp;$P6,"")&amp;IF($Q6&lt;&gt;"","_"&amp;$Q6,""),"")</f>
        <v>e_FI.CN.PD</v>
      </c>
      <c r="T6" s="27" t="str">
        <f t="shared" ref="T6:T27" si="9">IFERROR(IF(OR($G6="",$H6=""),"",$G6&amp;"-"&amp;LEFT(INDEX(STR_G1_TM,MATCH($H6,STR_G1_Name,0)),1)&amp;"xx_{misure}"),"")</f>
        <v>FI-1xx_{misure}</v>
      </c>
    </row>
    <row r="7" spans="1:20" x14ac:dyDescent="0.25">
      <c r="A7" s="11" t="s">
        <v>370</v>
      </c>
      <c r="B7" s="12" t="s">
        <v>100</v>
      </c>
      <c r="C7" s="13" t="str">
        <f t="shared" si="0"/>
        <v>e</v>
      </c>
      <c r="D7" s="14"/>
      <c r="E7" s="13" t="str">
        <f t="shared" si="1"/>
        <v/>
      </c>
      <c r="F7" s="12" t="s">
        <v>211</v>
      </c>
      <c r="G7" s="13" t="str">
        <f t="shared" si="2"/>
        <v>FI</v>
      </c>
      <c r="H7" s="12" t="s">
        <v>109</v>
      </c>
      <c r="I7" s="13" t="str">
        <f t="shared" si="3"/>
        <v>CN</v>
      </c>
      <c r="J7" s="12" t="s">
        <v>216</v>
      </c>
      <c r="K7" s="13" t="str">
        <f t="shared" si="4"/>
        <v>CB</v>
      </c>
      <c r="L7" s="14"/>
      <c r="M7" s="13" t="str">
        <f t="shared" si="5"/>
        <v/>
      </c>
      <c r="N7" s="14"/>
      <c r="O7" s="13" t="str">
        <f t="shared" si="6"/>
        <v/>
      </c>
      <c r="P7" s="16"/>
      <c r="Q7" s="16"/>
      <c r="R7" s="13" t="str">
        <f t="shared" si="7"/>
        <v>FI.CN.CB</v>
      </c>
      <c r="S7" s="17" t="str">
        <f t="shared" si="8"/>
        <v>e_FI.CN.CB</v>
      </c>
      <c r="T7" s="27" t="str">
        <f t="shared" si="9"/>
        <v>FI-1xx_{misure}</v>
      </c>
    </row>
    <row r="8" spans="1:20" x14ac:dyDescent="0.25">
      <c r="A8" s="11" t="s">
        <v>371</v>
      </c>
      <c r="B8" s="12" t="s">
        <v>100</v>
      </c>
      <c r="C8" s="13" t="str">
        <f t="shared" si="0"/>
        <v>e</v>
      </c>
      <c r="D8" s="14"/>
      <c r="E8" s="13" t="str">
        <f t="shared" si="1"/>
        <v/>
      </c>
      <c r="F8" s="12" t="s">
        <v>211</v>
      </c>
      <c r="G8" s="13" t="str">
        <f t="shared" si="2"/>
        <v>FI</v>
      </c>
      <c r="H8" s="12" t="s">
        <v>109</v>
      </c>
      <c r="I8" s="13" t="str">
        <f t="shared" si="3"/>
        <v>CN</v>
      </c>
      <c r="J8" s="12" t="s">
        <v>219</v>
      </c>
      <c r="K8" s="13" t="str">
        <f t="shared" si="4"/>
        <v>PL</v>
      </c>
      <c r="L8" s="14"/>
      <c r="M8" s="13" t="str">
        <f t="shared" si="5"/>
        <v/>
      </c>
      <c r="N8" s="14"/>
      <c r="O8" s="13" t="str">
        <f t="shared" si="6"/>
        <v/>
      </c>
      <c r="P8" s="16"/>
      <c r="Q8" s="16"/>
      <c r="R8" s="13" t="str">
        <f t="shared" si="7"/>
        <v>FI.CN.PL</v>
      </c>
      <c r="S8" s="17" t="str">
        <f t="shared" si="8"/>
        <v>e_FI.CN.PL</v>
      </c>
      <c r="T8" s="27" t="str">
        <f t="shared" si="9"/>
        <v>FI-1xx_{misure}</v>
      </c>
    </row>
    <row r="9" spans="1:20" x14ac:dyDescent="0.25">
      <c r="A9" s="11" t="s">
        <v>372</v>
      </c>
      <c r="B9" s="12" t="s">
        <v>100</v>
      </c>
      <c r="C9" s="13" t="str">
        <f t="shared" si="0"/>
        <v>e</v>
      </c>
      <c r="D9" s="14"/>
      <c r="E9" s="13" t="str">
        <f t="shared" si="1"/>
        <v/>
      </c>
      <c r="F9" s="12" t="s">
        <v>211</v>
      </c>
      <c r="G9" s="13" t="str">
        <f t="shared" si="2"/>
        <v>FI</v>
      </c>
      <c r="H9" s="12" t="s">
        <v>109</v>
      </c>
      <c r="I9" s="13" t="str">
        <f t="shared" si="3"/>
        <v>CN</v>
      </c>
      <c r="J9" s="12" t="s">
        <v>225</v>
      </c>
      <c r="K9" s="13" t="str">
        <f t="shared" si="4"/>
        <v>PK</v>
      </c>
      <c r="L9" s="14"/>
      <c r="M9" s="13" t="str">
        <f t="shared" si="5"/>
        <v/>
      </c>
      <c r="N9" s="14"/>
      <c r="O9" s="13" t="str">
        <f t="shared" si="6"/>
        <v/>
      </c>
      <c r="P9" s="16"/>
      <c r="Q9" s="16"/>
      <c r="R9" s="13" t="str">
        <f t="shared" si="7"/>
        <v>FI.CN.PK</v>
      </c>
      <c r="S9" s="17" t="str">
        <f t="shared" si="8"/>
        <v>e_FI.CN.PK</v>
      </c>
      <c r="T9" s="27" t="str">
        <f t="shared" si="9"/>
        <v>FI-1xx_{misure}</v>
      </c>
    </row>
    <row r="10" spans="1:20" x14ac:dyDescent="0.25">
      <c r="A10" s="11" t="s">
        <v>373</v>
      </c>
      <c r="B10" s="12" t="s">
        <v>100</v>
      </c>
      <c r="C10" s="13" t="str">
        <f t="shared" si="0"/>
        <v>e</v>
      </c>
      <c r="D10" s="14"/>
      <c r="E10" s="13" t="str">
        <f t="shared" si="1"/>
        <v/>
      </c>
      <c r="F10" s="12" t="s">
        <v>211</v>
      </c>
      <c r="G10" s="13" t="str">
        <f t="shared" si="2"/>
        <v>FI</v>
      </c>
      <c r="H10" s="12" t="s">
        <v>123</v>
      </c>
      <c r="I10" s="13" t="str">
        <f t="shared" si="3"/>
        <v>ST</v>
      </c>
      <c r="J10" s="12" t="s">
        <v>222</v>
      </c>
      <c r="K10" s="13" t="str">
        <f t="shared" si="4"/>
        <v>MP</v>
      </c>
      <c r="L10" s="14"/>
      <c r="M10" s="13" t="str">
        <f t="shared" si="5"/>
        <v/>
      </c>
      <c r="N10" s="14" t="s">
        <v>136</v>
      </c>
      <c r="O10" s="13" t="str">
        <f t="shared" si="6"/>
        <v>CT</v>
      </c>
      <c r="P10" s="16"/>
      <c r="Q10" s="16"/>
      <c r="R10" s="13" t="str">
        <f t="shared" si="7"/>
        <v>FI.ST.MP</v>
      </c>
      <c r="S10" s="17" t="str">
        <f t="shared" si="8"/>
        <v>e_FI.ST.MP_CT</v>
      </c>
      <c r="T10" s="27" t="str">
        <f t="shared" si="9"/>
        <v>FI-3xx_{misure}</v>
      </c>
    </row>
    <row r="11" spans="1:20" x14ac:dyDescent="0.25">
      <c r="A11" s="11" t="s">
        <v>375</v>
      </c>
      <c r="B11" s="12" t="s">
        <v>100</v>
      </c>
      <c r="C11" s="13" t="str">
        <f t="shared" si="0"/>
        <v>e</v>
      </c>
      <c r="D11" s="14"/>
      <c r="E11" s="13" t="str">
        <f t="shared" si="1"/>
        <v/>
      </c>
      <c r="F11" s="12" t="s">
        <v>211</v>
      </c>
      <c r="G11" s="13" t="str">
        <f t="shared" si="2"/>
        <v>FI</v>
      </c>
      <c r="H11" s="12" t="s">
        <v>117</v>
      </c>
      <c r="I11" s="13" t="str">
        <f t="shared" si="3"/>
        <v>PC</v>
      </c>
      <c r="J11" s="12" t="s">
        <v>213</v>
      </c>
      <c r="K11" s="13" t="str">
        <f t="shared" si="4"/>
        <v>PD</v>
      </c>
      <c r="L11" s="14"/>
      <c r="M11" s="13" t="str">
        <f t="shared" si="5"/>
        <v/>
      </c>
      <c r="N11" s="14"/>
      <c r="O11" s="13" t="str">
        <f t="shared" si="6"/>
        <v/>
      </c>
      <c r="P11" s="16" t="s">
        <v>421</v>
      </c>
      <c r="Q11" s="16"/>
      <c r="R11" s="13" t="str">
        <f t="shared" si="7"/>
        <v>FI.PC.PD</v>
      </c>
      <c r="S11" s="17" t="str">
        <f t="shared" si="8"/>
        <v>e_FI.PC.PD_Manini</v>
      </c>
      <c r="T11" s="27" t="str">
        <f t="shared" si="9"/>
        <v>FI-2xx_{misure}</v>
      </c>
    </row>
    <row r="12" spans="1:20" x14ac:dyDescent="0.25">
      <c r="A12" s="11" t="s">
        <v>377</v>
      </c>
      <c r="B12" s="12" t="s">
        <v>100</v>
      </c>
      <c r="C12" s="13" t="str">
        <f t="shared" si="0"/>
        <v>e</v>
      </c>
      <c r="D12" s="14" t="s">
        <v>130</v>
      </c>
      <c r="E12" s="13" t="str">
        <f t="shared" si="1"/>
        <v>(I)</v>
      </c>
      <c r="F12" s="12" t="s">
        <v>211</v>
      </c>
      <c r="G12" s="13" t="str">
        <f t="shared" si="2"/>
        <v>FI</v>
      </c>
      <c r="H12" s="12" t="s">
        <v>109</v>
      </c>
      <c r="I12" s="13" t="str">
        <f t="shared" si="3"/>
        <v>CN</v>
      </c>
      <c r="J12" s="12" t="s">
        <v>213</v>
      </c>
      <c r="K12" s="13" t="str">
        <f t="shared" si="4"/>
        <v>PD</v>
      </c>
      <c r="L12" s="14"/>
      <c r="M12" s="13" t="str">
        <f t="shared" si="5"/>
        <v/>
      </c>
      <c r="N12" s="14"/>
      <c r="O12" s="13" t="str">
        <f t="shared" si="6"/>
        <v/>
      </c>
      <c r="P12" s="16"/>
      <c r="Q12" s="16"/>
      <c r="R12" s="13" t="str">
        <f t="shared" si="7"/>
        <v>FI.CN.PD</v>
      </c>
      <c r="S12" s="17" t="str">
        <f t="shared" si="8"/>
        <v>e_(I)FI.CN.PD</v>
      </c>
      <c r="T12" s="27" t="str">
        <f t="shared" si="9"/>
        <v>FI-1xx_{misure}</v>
      </c>
    </row>
    <row r="13" spans="1:20" x14ac:dyDescent="0.25">
      <c r="A13" s="18">
        <v>1</v>
      </c>
      <c r="B13" s="19"/>
      <c r="C13" s="20" t="str">
        <f t="shared" si="0"/>
        <v/>
      </c>
      <c r="D13" s="21"/>
      <c r="E13" s="20" t="str">
        <f t="shared" si="1"/>
        <v/>
      </c>
      <c r="F13" s="19"/>
      <c r="G13" s="20" t="str">
        <f t="shared" si="2"/>
        <v/>
      </c>
      <c r="H13" s="19"/>
      <c r="I13" s="20" t="str">
        <f t="shared" si="3"/>
        <v/>
      </c>
      <c r="J13" s="19"/>
      <c r="K13" s="20" t="str">
        <f t="shared" si="4"/>
        <v/>
      </c>
      <c r="L13" s="21"/>
      <c r="M13" s="20" t="str">
        <f t="shared" si="5"/>
        <v/>
      </c>
      <c r="N13" s="21"/>
      <c r="O13" s="20" t="str">
        <f t="shared" si="6"/>
        <v/>
      </c>
      <c r="P13" s="23"/>
      <c r="Q13" s="23"/>
      <c r="R13" s="20" t="str">
        <f t="shared" si="7"/>
        <v/>
      </c>
      <c r="S13" s="24" t="str">
        <f t="shared" si="8"/>
        <v/>
      </c>
      <c r="T13" s="28" t="str">
        <f t="shared" si="9"/>
        <v/>
      </c>
    </row>
    <row r="14" spans="1:20" x14ac:dyDescent="0.25">
      <c r="A14" s="18">
        <v>2</v>
      </c>
      <c r="B14" s="19"/>
      <c r="C14" s="20" t="str">
        <f t="shared" si="0"/>
        <v/>
      </c>
      <c r="D14" s="21"/>
      <c r="E14" s="20" t="str">
        <f t="shared" si="1"/>
        <v/>
      </c>
      <c r="F14" s="19"/>
      <c r="G14" s="20" t="str">
        <f t="shared" si="2"/>
        <v/>
      </c>
      <c r="H14" s="19"/>
      <c r="I14" s="20" t="str">
        <f t="shared" si="3"/>
        <v/>
      </c>
      <c r="J14" s="19"/>
      <c r="K14" s="20" t="str">
        <f t="shared" si="4"/>
        <v/>
      </c>
      <c r="L14" s="21"/>
      <c r="M14" s="20" t="str">
        <f t="shared" si="5"/>
        <v/>
      </c>
      <c r="N14" s="21"/>
      <c r="O14" s="20" t="str">
        <f t="shared" si="6"/>
        <v/>
      </c>
      <c r="P14" s="23"/>
      <c r="Q14" s="23"/>
      <c r="R14" s="20" t="str">
        <f t="shared" si="7"/>
        <v/>
      </c>
      <c r="S14" s="24" t="str">
        <f t="shared" si="8"/>
        <v/>
      </c>
      <c r="T14" s="28" t="str">
        <f t="shared" si="9"/>
        <v/>
      </c>
    </row>
    <row r="15" spans="1:20" x14ac:dyDescent="0.25">
      <c r="A15" s="18">
        <v>3</v>
      </c>
      <c r="B15" s="19"/>
      <c r="C15" s="20" t="str">
        <f t="shared" si="0"/>
        <v/>
      </c>
      <c r="D15" s="21"/>
      <c r="E15" s="20" t="str">
        <f t="shared" si="1"/>
        <v/>
      </c>
      <c r="F15" s="19"/>
      <c r="G15" s="20" t="str">
        <f t="shared" si="2"/>
        <v/>
      </c>
      <c r="H15" s="19"/>
      <c r="I15" s="20" t="str">
        <f t="shared" si="3"/>
        <v/>
      </c>
      <c r="J15" s="19"/>
      <c r="K15" s="20" t="str">
        <f t="shared" si="4"/>
        <v/>
      </c>
      <c r="L15" s="21"/>
      <c r="M15" s="20" t="str">
        <f t="shared" si="5"/>
        <v/>
      </c>
      <c r="N15" s="21"/>
      <c r="O15" s="20" t="str">
        <f t="shared" si="6"/>
        <v/>
      </c>
      <c r="P15" s="23"/>
      <c r="Q15" s="23"/>
      <c r="R15" s="20" t="str">
        <f t="shared" si="7"/>
        <v/>
      </c>
      <c r="S15" s="24" t="str">
        <f t="shared" si="8"/>
        <v/>
      </c>
      <c r="T15" s="28" t="str">
        <f t="shared" si="9"/>
        <v/>
      </c>
    </row>
    <row r="16" spans="1:20" x14ac:dyDescent="0.25">
      <c r="A16" s="18">
        <v>4</v>
      </c>
      <c r="B16" s="19"/>
      <c r="C16" s="20" t="str">
        <f t="shared" si="0"/>
        <v/>
      </c>
      <c r="D16" s="21"/>
      <c r="E16" s="20" t="str">
        <f t="shared" si="1"/>
        <v/>
      </c>
      <c r="F16" s="19"/>
      <c r="G16" s="20" t="str">
        <f t="shared" si="2"/>
        <v/>
      </c>
      <c r="H16" s="19"/>
      <c r="I16" s="20" t="str">
        <f t="shared" si="3"/>
        <v/>
      </c>
      <c r="J16" s="19"/>
      <c r="K16" s="20" t="str">
        <f t="shared" si="4"/>
        <v/>
      </c>
      <c r="L16" s="21"/>
      <c r="M16" s="20" t="str">
        <f t="shared" si="5"/>
        <v/>
      </c>
      <c r="N16" s="21"/>
      <c r="O16" s="20" t="str">
        <f t="shared" si="6"/>
        <v/>
      </c>
      <c r="P16" s="23"/>
      <c r="Q16" s="23"/>
      <c r="R16" s="20" t="str">
        <f t="shared" si="7"/>
        <v/>
      </c>
      <c r="S16" s="24" t="str">
        <f t="shared" si="8"/>
        <v/>
      </c>
      <c r="T16" s="28" t="str">
        <f t="shared" si="9"/>
        <v/>
      </c>
    </row>
    <row r="17" spans="1:20" x14ac:dyDescent="0.25">
      <c r="A17" s="18">
        <v>5</v>
      </c>
      <c r="B17" s="19"/>
      <c r="C17" s="20" t="str">
        <f t="shared" si="0"/>
        <v/>
      </c>
      <c r="D17" s="21"/>
      <c r="E17" s="20" t="str">
        <f t="shared" si="1"/>
        <v/>
      </c>
      <c r="F17" s="19"/>
      <c r="G17" s="20" t="str">
        <f t="shared" si="2"/>
        <v/>
      </c>
      <c r="H17" s="19"/>
      <c r="I17" s="20" t="str">
        <f t="shared" si="3"/>
        <v/>
      </c>
      <c r="J17" s="19"/>
      <c r="K17" s="20" t="str">
        <f t="shared" si="4"/>
        <v/>
      </c>
      <c r="L17" s="21"/>
      <c r="M17" s="20" t="str">
        <f t="shared" si="5"/>
        <v/>
      </c>
      <c r="N17" s="21"/>
      <c r="O17" s="20" t="str">
        <f t="shared" si="6"/>
        <v/>
      </c>
      <c r="P17" s="23"/>
      <c r="Q17" s="23"/>
      <c r="R17" s="20" t="str">
        <f t="shared" si="7"/>
        <v/>
      </c>
      <c r="S17" s="24" t="str">
        <f t="shared" si="8"/>
        <v/>
      </c>
      <c r="T17" s="28" t="str">
        <f t="shared" si="9"/>
        <v/>
      </c>
    </row>
    <row r="18" spans="1:20" x14ac:dyDescent="0.25">
      <c r="A18" s="18">
        <v>6</v>
      </c>
      <c r="B18" s="19"/>
      <c r="C18" s="20" t="str">
        <f t="shared" si="0"/>
        <v/>
      </c>
      <c r="D18" s="21"/>
      <c r="E18" s="20" t="str">
        <f t="shared" si="1"/>
        <v/>
      </c>
      <c r="F18" s="19"/>
      <c r="G18" s="20" t="str">
        <f t="shared" si="2"/>
        <v/>
      </c>
      <c r="H18" s="19"/>
      <c r="I18" s="20" t="str">
        <f t="shared" si="3"/>
        <v/>
      </c>
      <c r="J18" s="19"/>
      <c r="K18" s="20" t="str">
        <f t="shared" si="4"/>
        <v/>
      </c>
      <c r="L18" s="21"/>
      <c r="M18" s="20" t="str">
        <f t="shared" si="5"/>
        <v/>
      </c>
      <c r="N18" s="21"/>
      <c r="O18" s="20" t="str">
        <f t="shared" si="6"/>
        <v/>
      </c>
      <c r="P18" s="23"/>
      <c r="Q18" s="23"/>
      <c r="R18" s="20" t="str">
        <f t="shared" si="7"/>
        <v/>
      </c>
      <c r="S18" s="24" t="str">
        <f t="shared" si="8"/>
        <v/>
      </c>
      <c r="T18" s="28" t="str">
        <f t="shared" si="9"/>
        <v/>
      </c>
    </row>
    <row r="19" spans="1:20" x14ac:dyDescent="0.25">
      <c r="A19" s="18">
        <v>7</v>
      </c>
      <c r="B19" s="19"/>
      <c r="C19" s="20" t="str">
        <f t="shared" si="0"/>
        <v/>
      </c>
      <c r="D19" s="21"/>
      <c r="E19" s="20" t="str">
        <f t="shared" si="1"/>
        <v/>
      </c>
      <c r="F19" s="19"/>
      <c r="G19" s="20" t="str">
        <f t="shared" si="2"/>
        <v/>
      </c>
      <c r="H19" s="19"/>
      <c r="I19" s="20" t="str">
        <f t="shared" si="3"/>
        <v/>
      </c>
      <c r="J19" s="19"/>
      <c r="K19" s="20" t="str">
        <f t="shared" si="4"/>
        <v/>
      </c>
      <c r="L19" s="21"/>
      <c r="M19" s="20" t="str">
        <f t="shared" si="5"/>
        <v/>
      </c>
      <c r="N19" s="21"/>
      <c r="O19" s="20" t="str">
        <f t="shared" si="6"/>
        <v/>
      </c>
      <c r="P19" s="23"/>
      <c r="Q19" s="23"/>
      <c r="R19" s="20" t="str">
        <f t="shared" si="7"/>
        <v/>
      </c>
      <c r="S19" s="24" t="str">
        <f t="shared" si="8"/>
        <v/>
      </c>
      <c r="T19" s="28" t="str">
        <f t="shared" si="9"/>
        <v/>
      </c>
    </row>
    <row r="20" spans="1:20" x14ac:dyDescent="0.25">
      <c r="A20" s="18">
        <v>8</v>
      </c>
      <c r="B20" s="19"/>
      <c r="C20" s="20" t="str">
        <f t="shared" si="0"/>
        <v/>
      </c>
      <c r="D20" s="21"/>
      <c r="E20" s="20" t="str">
        <f t="shared" si="1"/>
        <v/>
      </c>
      <c r="F20" s="19"/>
      <c r="G20" s="20" t="str">
        <f t="shared" si="2"/>
        <v/>
      </c>
      <c r="H20" s="19"/>
      <c r="I20" s="20" t="str">
        <f t="shared" si="3"/>
        <v/>
      </c>
      <c r="J20" s="19"/>
      <c r="K20" s="20" t="str">
        <f t="shared" si="4"/>
        <v/>
      </c>
      <c r="L20" s="21"/>
      <c r="M20" s="20" t="str">
        <f t="shared" si="5"/>
        <v/>
      </c>
      <c r="N20" s="21"/>
      <c r="O20" s="20" t="str">
        <f t="shared" si="6"/>
        <v/>
      </c>
      <c r="P20" s="23"/>
      <c r="Q20" s="23"/>
      <c r="R20" s="20" t="str">
        <f t="shared" si="7"/>
        <v/>
      </c>
      <c r="S20" s="24" t="str">
        <f t="shared" si="8"/>
        <v/>
      </c>
      <c r="T20" s="28" t="str">
        <f t="shared" si="9"/>
        <v/>
      </c>
    </row>
    <row r="21" spans="1:20" x14ac:dyDescent="0.25">
      <c r="A21" s="18">
        <v>9</v>
      </c>
      <c r="B21" s="19"/>
      <c r="C21" s="20" t="str">
        <f t="shared" si="0"/>
        <v/>
      </c>
      <c r="D21" s="21"/>
      <c r="E21" s="20" t="str">
        <f t="shared" si="1"/>
        <v/>
      </c>
      <c r="F21" s="19"/>
      <c r="G21" s="20" t="str">
        <f t="shared" si="2"/>
        <v/>
      </c>
      <c r="H21" s="19"/>
      <c r="I21" s="20" t="str">
        <f t="shared" si="3"/>
        <v/>
      </c>
      <c r="J21" s="19"/>
      <c r="K21" s="20" t="str">
        <f t="shared" si="4"/>
        <v/>
      </c>
      <c r="L21" s="21"/>
      <c r="M21" s="20" t="str">
        <f t="shared" si="5"/>
        <v/>
      </c>
      <c r="N21" s="21"/>
      <c r="O21" s="20" t="str">
        <f t="shared" si="6"/>
        <v/>
      </c>
      <c r="P21" s="23"/>
      <c r="Q21" s="23"/>
      <c r="R21" s="20" t="str">
        <f t="shared" si="7"/>
        <v/>
      </c>
      <c r="S21" s="24" t="str">
        <f t="shared" si="8"/>
        <v/>
      </c>
      <c r="T21" s="28" t="str">
        <f t="shared" si="9"/>
        <v/>
      </c>
    </row>
    <row r="22" spans="1:20" x14ac:dyDescent="0.25">
      <c r="A22" s="18">
        <v>10</v>
      </c>
      <c r="B22" s="19"/>
      <c r="C22" s="20" t="str">
        <f t="shared" si="0"/>
        <v/>
      </c>
      <c r="D22" s="21"/>
      <c r="E22" s="20" t="str">
        <f t="shared" si="1"/>
        <v/>
      </c>
      <c r="F22" s="19"/>
      <c r="G22" s="20" t="str">
        <f t="shared" si="2"/>
        <v/>
      </c>
      <c r="H22" s="19"/>
      <c r="I22" s="20" t="str">
        <f t="shared" si="3"/>
        <v/>
      </c>
      <c r="J22" s="19"/>
      <c r="K22" s="20" t="str">
        <f t="shared" si="4"/>
        <v/>
      </c>
      <c r="L22" s="21"/>
      <c r="M22" s="20" t="str">
        <f t="shared" si="5"/>
        <v/>
      </c>
      <c r="N22" s="21"/>
      <c r="O22" s="20" t="str">
        <f t="shared" si="6"/>
        <v/>
      </c>
      <c r="P22" s="23"/>
      <c r="Q22" s="23"/>
      <c r="R22" s="20" t="str">
        <f t="shared" si="7"/>
        <v/>
      </c>
      <c r="S22" s="24" t="str">
        <f t="shared" si="8"/>
        <v/>
      </c>
      <c r="T22" s="28" t="str">
        <f t="shared" si="9"/>
        <v/>
      </c>
    </row>
    <row r="23" spans="1:20" x14ac:dyDescent="0.25">
      <c r="A23" s="18">
        <v>11</v>
      </c>
      <c r="B23" s="19"/>
      <c r="C23" s="20" t="str">
        <f t="shared" si="0"/>
        <v/>
      </c>
      <c r="D23" s="21"/>
      <c r="E23" s="20" t="str">
        <f t="shared" si="1"/>
        <v/>
      </c>
      <c r="F23" s="19"/>
      <c r="G23" s="20" t="str">
        <f t="shared" si="2"/>
        <v/>
      </c>
      <c r="H23" s="19"/>
      <c r="I23" s="20" t="str">
        <f t="shared" si="3"/>
        <v/>
      </c>
      <c r="J23" s="19"/>
      <c r="K23" s="20" t="str">
        <f t="shared" si="4"/>
        <v/>
      </c>
      <c r="L23" s="21"/>
      <c r="M23" s="20" t="str">
        <f t="shared" si="5"/>
        <v/>
      </c>
      <c r="N23" s="21"/>
      <c r="O23" s="20" t="str">
        <f t="shared" si="6"/>
        <v/>
      </c>
      <c r="P23" s="23"/>
      <c r="Q23" s="23"/>
      <c r="R23" s="20" t="str">
        <f t="shared" si="7"/>
        <v/>
      </c>
      <c r="S23" s="24" t="str">
        <f t="shared" si="8"/>
        <v/>
      </c>
      <c r="T23" s="28" t="str">
        <f t="shared" si="9"/>
        <v/>
      </c>
    </row>
    <row r="24" spans="1:20" x14ac:dyDescent="0.25">
      <c r="A24" s="18">
        <v>12</v>
      </c>
      <c r="B24" s="19"/>
      <c r="C24" s="20" t="str">
        <f t="shared" si="0"/>
        <v/>
      </c>
      <c r="D24" s="21"/>
      <c r="E24" s="20" t="str">
        <f t="shared" si="1"/>
        <v/>
      </c>
      <c r="F24" s="19"/>
      <c r="G24" s="20" t="str">
        <f t="shared" si="2"/>
        <v/>
      </c>
      <c r="H24" s="19"/>
      <c r="I24" s="20" t="str">
        <f t="shared" si="3"/>
        <v/>
      </c>
      <c r="J24" s="19"/>
      <c r="K24" s="20" t="str">
        <f t="shared" si="4"/>
        <v/>
      </c>
      <c r="L24" s="21"/>
      <c r="M24" s="20" t="str">
        <f t="shared" si="5"/>
        <v/>
      </c>
      <c r="N24" s="21"/>
      <c r="O24" s="20" t="str">
        <f t="shared" si="6"/>
        <v/>
      </c>
      <c r="P24" s="23"/>
      <c r="Q24" s="23"/>
      <c r="R24" s="20" t="str">
        <f t="shared" si="7"/>
        <v/>
      </c>
      <c r="S24" s="24" t="str">
        <f t="shared" si="8"/>
        <v/>
      </c>
      <c r="T24" s="28" t="str">
        <f t="shared" si="9"/>
        <v/>
      </c>
    </row>
    <row r="25" spans="1:20" x14ac:dyDescent="0.25">
      <c r="A25" s="18">
        <v>13</v>
      </c>
      <c r="B25" s="19"/>
      <c r="C25" s="20" t="str">
        <f t="shared" si="0"/>
        <v/>
      </c>
      <c r="D25" s="21"/>
      <c r="E25" s="20" t="str">
        <f t="shared" si="1"/>
        <v/>
      </c>
      <c r="F25" s="19"/>
      <c r="G25" s="20" t="str">
        <f t="shared" si="2"/>
        <v/>
      </c>
      <c r="H25" s="19"/>
      <c r="I25" s="20" t="str">
        <f t="shared" si="3"/>
        <v/>
      </c>
      <c r="J25" s="19"/>
      <c r="K25" s="20" t="str">
        <f t="shared" si="4"/>
        <v/>
      </c>
      <c r="L25" s="21"/>
      <c r="M25" s="20" t="str">
        <f t="shared" si="5"/>
        <v/>
      </c>
      <c r="N25" s="21"/>
      <c r="O25" s="20" t="str">
        <f t="shared" si="6"/>
        <v/>
      </c>
      <c r="P25" s="23"/>
      <c r="Q25" s="23"/>
      <c r="R25" s="20" t="str">
        <f t="shared" si="7"/>
        <v/>
      </c>
      <c r="S25" s="24" t="str">
        <f t="shared" si="8"/>
        <v/>
      </c>
      <c r="T25" s="28" t="str">
        <f t="shared" si="9"/>
        <v/>
      </c>
    </row>
    <row r="26" spans="1:20" x14ac:dyDescent="0.25">
      <c r="A26" s="18">
        <v>14</v>
      </c>
      <c r="B26" s="19"/>
      <c r="C26" s="20" t="str">
        <f t="shared" si="0"/>
        <v/>
      </c>
      <c r="D26" s="21"/>
      <c r="E26" s="20" t="str">
        <f t="shared" si="1"/>
        <v/>
      </c>
      <c r="F26" s="19"/>
      <c r="G26" s="20" t="str">
        <f t="shared" si="2"/>
        <v/>
      </c>
      <c r="H26" s="19"/>
      <c r="I26" s="20" t="str">
        <f t="shared" si="3"/>
        <v/>
      </c>
      <c r="J26" s="19"/>
      <c r="K26" s="20" t="str">
        <f t="shared" si="4"/>
        <v/>
      </c>
      <c r="L26" s="21"/>
      <c r="M26" s="20" t="str">
        <f t="shared" si="5"/>
        <v/>
      </c>
      <c r="N26" s="21"/>
      <c r="O26" s="20" t="str">
        <f t="shared" si="6"/>
        <v/>
      </c>
      <c r="P26" s="23"/>
      <c r="Q26" s="23"/>
      <c r="R26" s="20" t="str">
        <f t="shared" si="7"/>
        <v/>
      </c>
      <c r="S26" s="24" t="str">
        <f t="shared" si="8"/>
        <v/>
      </c>
      <c r="T26" s="28" t="str">
        <f t="shared" si="9"/>
        <v/>
      </c>
    </row>
    <row r="27" spans="1:20" x14ac:dyDescent="0.25">
      <c r="A27" s="18">
        <v>15</v>
      </c>
      <c r="B27" s="19"/>
      <c r="C27" s="20" t="str">
        <f t="shared" si="0"/>
        <v/>
      </c>
      <c r="D27" s="21"/>
      <c r="E27" s="20" t="str">
        <f t="shared" si="1"/>
        <v/>
      </c>
      <c r="F27" s="19"/>
      <c r="G27" s="20" t="str">
        <f t="shared" si="2"/>
        <v/>
      </c>
      <c r="H27" s="19"/>
      <c r="I27" s="20" t="str">
        <f t="shared" si="3"/>
        <v/>
      </c>
      <c r="J27" s="19"/>
      <c r="K27" s="20" t="str">
        <f t="shared" si="4"/>
        <v/>
      </c>
      <c r="L27" s="21"/>
      <c r="M27" s="20" t="str">
        <f t="shared" si="5"/>
        <v/>
      </c>
      <c r="N27" s="21"/>
      <c r="O27" s="20" t="str">
        <f t="shared" si="6"/>
        <v/>
      </c>
      <c r="P27" s="23"/>
      <c r="Q27" s="23"/>
      <c r="R27" s="20" t="str">
        <f t="shared" si="7"/>
        <v/>
      </c>
      <c r="S27" s="24" t="str">
        <f t="shared" si="8"/>
        <v/>
      </c>
      <c r="T27" s="28" t="str">
        <f t="shared" si="9"/>
        <v/>
      </c>
    </row>
    <row r="30" spans="1:20" ht="21.95" customHeight="1" x14ac:dyDescent="0.25">
      <c r="A30" s="44" t="s">
        <v>422</v>
      </c>
      <c r="B30" s="45"/>
      <c r="C30" s="45"/>
      <c r="D30" s="45"/>
      <c r="E30" s="45"/>
      <c r="F30" s="45"/>
      <c r="G30" s="45"/>
      <c r="H30" s="45"/>
      <c r="I30" s="45"/>
      <c r="J30" s="45"/>
      <c r="K30" s="45"/>
      <c r="L30" s="45"/>
      <c r="M30" s="45"/>
      <c r="N30" s="45"/>
      <c r="O30" s="45"/>
      <c r="P30" s="45"/>
      <c r="Q30" s="45"/>
      <c r="R30" s="45"/>
      <c r="S30" s="45"/>
      <c r="T30" s="45"/>
    </row>
    <row r="32" spans="1:20" ht="24" customHeight="1" x14ac:dyDescent="0.25">
      <c r="A32" s="46" t="s">
        <v>423</v>
      </c>
      <c r="B32" s="35"/>
      <c r="C32" s="35"/>
      <c r="D32" s="35"/>
      <c r="E32" s="35"/>
      <c r="F32" s="35"/>
      <c r="G32" s="35"/>
      <c r="H32" s="35"/>
      <c r="I32" s="35"/>
      <c r="J32" s="35"/>
      <c r="K32" s="35"/>
      <c r="L32" s="35"/>
      <c r="M32" s="35"/>
      <c r="N32" s="35"/>
      <c r="O32" s="35"/>
      <c r="P32" s="35"/>
      <c r="Q32" s="35"/>
      <c r="R32" s="35"/>
      <c r="S32" s="35"/>
      <c r="T32" s="35"/>
    </row>
    <row r="33" spans="1:20" ht="36" customHeight="1" x14ac:dyDescent="0.25">
      <c r="A33" s="42" t="s">
        <v>424</v>
      </c>
      <c r="B33" s="35"/>
      <c r="C33" s="35"/>
      <c r="D33" s="35"/>
      <c r="E33" s="35"/>
      <c r="F33" s="35"/>
      <c r="G33" s="35"/>
      <c r="H33" s="35"/>
      <c r="I33" s="35"/>
      <c r="J33" s="35"/>
      <c r="K33" s="35"/>
      <c r="L33" s="35"/>
      <c r="M33" s="35"/>
      <c r="N33" s="35"/>
      <c r="O33" s="35"/>
      <c r="P33" s="35"/>
      <c r="Q33" s="35"/>
      <c r="R33" s="35"/>
      <c r="S33" s="35"/>
      <c r="T33" s="35"/>
    </row>
    <row r="35" spans="1:20" ht="18" customHeight="1" x14ac:dyDescent="0.25">
      <c r="A35" s="41" t="s">
        <v>425</v>
      </c>
      <c r="B35" s="35"/>
      <c r="C35" s="35"/>
      <c r="D35" s="35"/>
      <c r="E35" s="35"/>
      <c r="F35" s="35"/>
      <c r="G35" s="35"/>
      <c r="H35" s="35"/>
      <c r="I35" s="35"/>
      <c r="J35" s="35"/>
      <c r="K35" s="35"/>
      <c r="L35" s="35"/>
      <c r="M35" s="35"/>
      <c r="N35" s="35"/>
      <c r="O35" s="35"/>
      <c r="P35" s="35"/>
      <c r="Q35" s="35"/>
      <c r="R35" s="35"/>
      <c r="S35" s="35"/>
      <c r="T35" s="35"/>
    </row>
    <row r="36" spans="1:20" ht="21" customHeight="1" x14ac:dyDescent="0.25">
      <c r="A36" s="42" t="s">
        <v>426</v>
      </c>
      <c r="B36" s="35"/>
      <c r="C36" s="35"/>
      <c r="D36" s="35"/>
      <c r="E36" s="35"/>
      <c r="F36" s="35"/>
      <c r="G36" s="35"/>
      <c r="H36" s="35"/>
      <c r="I36" s="35"/>
      <c r="J36" s="35"/>
      <c r="K36" s="35"/>
      <c r="L36" s="35"/>
      <c r="M36" s="35"/>
      <c r="N36" s="35"/>
      <c r="O36" s="35"/>
      <c r="P36" s="35"/>
      <c r="Q36" s="35"/>
      <c r="R36" s="35"/>
      <c r="S36" s="35"/>
      <c r="T36" s="35"/>
    </row>
    <row r="38" spans="1:20" ht="18" customHeight="1" x14ac:dyDescent="0.25">
      <c r="A38" s="41" t="s">
        <v>427</v>
      </c>
      <c r="B38" s="35"/>
      <c r="C38" s="35"/>
      <c r="D38" s="35"/>
      <c r="E38" s="35"/>
      <c r="F38" s="35"/>
      <c r="G38" s="35"/>
      <c r="H38" s="35"/>
      <c r="I38" s="35"/>
      <c r="J38" s="35"/>
      <c r="K38" s="35"/>
      <c r="L38" s="35"/>
      <c r="M38" s="35"/>
      <c r="N38" s="35"/>
      <c r="O38" s="35"/>
      <c r="P38" s="35"/>
      <c r="Q38" s="35"/>
      <c r="R38" s="35"/>
      <c r="S38" s="35"/>
      <c r="T38" s="35"/>
    </row>
    <row r="39" spans="1:20" ht="36" customHeight="1" x14ac:dyDescent="0.25">
      <c r="A39" s="42" t="s">
        <v>428</v>
      </c>
      <c r="B39" s="35"/>
      <c r="C39" s="35"/>
      <c r="D39" s="35"/>
      <c r="E39" s="35"/>
      <c r="F39" s="35"/>
      <c r="G39" s="35"/>
      <c r="H39" s="35"/>
      <c r="I39" s="35"/>
      <c r="J39" s="35"/>
      <c r="K39" s="35"/>
      <c r="L39" s="35"/>
      <c r="M39" s="35"/>
      <c r="N39" s="35"/>
      <c r="O39" s="35"/>
      <c r="P39" s="35"/>
      <c r="Q39" s="35"/>
      <c r="R39" s="35"/>
      <c r="S39" s="35"/>
      <c r="T39" s="35"/>
    </row>
    <row r="42" spans="1:20" ht="21.95" customHeight="1" x14ac:dyDescent="0.25">
      <c r="A42" s="44" t="s">
        <v>429</v>
      </c>
      <c r="B42" s="45"/>
      <c r="C42" s="45"/>
      <c r="D42" s="45"/>
      <c r="E42" s="45"/>
      <c r="F42" s="45"/>
      <c r="G42" s="45"/>
      <c r="H42" s="45"/>
      <c r="I42" s="45"/>
      <c r="J42" s="45"/>
      <c r="K42" s="45"/>
      <c r="L42" s="45"/>
      <c r="M42" s="45"/>
      <c r="N42" s="45"/>
      <c r="O42" s="45"/>
      <c r="P42" s="45"/>
      <c r="Q42" s="45"/>
      <c r="R42" s="45"/>
      <c r="S42" s="45"/>
      <c r="T42" s="45"/>
    </row>
    <row r="43" spans="1:20" ht="15.95" customHeight="1" x14ac:dyDescent="0.25">
      <c r="A43" s="43" t="s">
        <v>430</v>
      </c>
      <c r="B43" s="35"/>
      <c r="C43" s="35"/>
      <c r="D43" s="35"/>
      <c r="E43" s="35"/>
      <c r="F43" s="35"/>
      <c r="G43" s="35"/>
      <c r="H43" s="35"/>
      <c r="I43" s="35"/>
      <c r="J43" s="35"/>
      <c r="K43" s="35"/>
      <c r="L43" s="35"/>
      <c r="M43" s="35"/>
      <c r="N43" s="35"/>
      <c r="O43" s="35"/>
      <c r="P43" s="35"/>
      <c r="Q43" s="35"/>
      <c r="R43" s="35"/>
      <c r="S43" s="35"/>
      <c r="T43" s="35"/>
    </row>
    <row r="45" spans="1:20" ht="18" customHeight="1" x14ac:dyDescent="0.25">
      <c r="A45" s="41" t="s">
        <v>431</v>
      </c>
      <c r="B45" s="35"/>
      <c r="C45" s="35"/>
      <c r="D45" s="35"/>
      <c r="E45" s="35"/>
      <c r="F45" s="35"/>
      <c r="G45" s="35"/>
      <c r="H45" s="35"/>
      <c r="I45" s="35"/>
      <c r="J45" s="35"/>
      <c r="K45" s="35"/>
      <c r="L45" s="35"/>
      <c r="M45" s="35"/>
      <c r="N45" s="35"/>
      <c r="O45" s="35"/>
      <c r="P45" s="35"/>
      <c r="Q45" s="35"/>
      <c r="R45" s="35"/>
      <c r="S45" s="35"/>
      <c r="T45" s="35"/>
    </row>
    <row r="46" spans="1:20" ht="21" customHeight="1" x14ac:dyDescent="0.25">
      <c r="A46" s="42" t="s">
        <v>432</v>
      </c>
      <c r="B46" s="35"/>
      <c r="C46" s="35"/>
      <c r="D46" s="35"/>
      <c r="E46" s="35"/>
      <c r="F46" s="35"/>
      <c r="G46" s="35"/>
      <c r="H46" s="35"/>
      <c r="I46" s="35"/>
      <c r="J46" s="35"/>
      <c r="K46" s="35"/>
      <c r="L46" s="35"/>
      <c r="M46" s="35"/>
      <c r="N46" s="35"/>
      <c r="O46" s="35"/>
      <c r="P46" s="35"/>
      <c r="Q46" s="35"/>
      <c r="R46" s="35"/>
      <c r="S46" s="35"/>
      <c r="T46" s="35"/>
    </row>
    <row r="47" spans="1:20" ht="6" customHeight="1" x14ac:dyDescent="0.25"/>
    <row r="48" spans="1:20" ht="18" customHeight="1" x14ac:dyDescent="0.25">
      <c r="A48" s="41" t="s">
        <v>433</v>
      </c>
      <c r="B48" s="35"/>
      <c r="C48" s="35"/>
      <c r="D48" s="35"/>
      <c r="E48" s="35"/>
      <c r="F48" s="35"/>
      <c r="G48" s="35"/>
      <c r="H48" s="35"/>
      <c r="I48" s="35"/>
      <c r="J48" s="35"/>
      <c r="K48" s="35"/>
      <c r="L48" s="35"/>
      <c r="M48" s="35"/>
      <c r="N48" s="35"/>
      <c r="O48" s="35"/>
      <c r="P48" s="35"/>
      <c r="Q48" s="35"/>
      <c r="R48" s="35"/>
      <c r="S48" s="35"/>
      <c r="T48" s="35"/>
    </row>
    <row r="49" spans="1:20" ht="21" customHeight="1" x14ac:dyDescent="0.25">
      <c r="A49" s="42" t="s">
        <v>434</v>
      </c>
      <c r="B49" s="35"/>
      <c r="C49" s="35"/>
      <c r="D49" s="35"/>
      <c r="E49" s="35"/>
      <c r="F49" s="35"/>
      <c r="G49" s="35"/>
      <c r="H49" s="35"/>
      <c r="I49" s="35"/>
      <c r="J49" s="35"/>
      <c r="K49" s="35"/>
      <c r="L49" s="35"/>
      <c r="M49" s="35"/>
      <c r="N49" s="35"/>
      <c r="O49" s="35"/>
      <c r="P49" s="35"/>
      <c r="Q49" s="35"/>
      <c r="R49" s="35"/>
      <c r="S49" s="35"/>
      <c r="T49" s="35"/>
    </row>
    <row r="50" spans="1:20" ht="6" customHeight="1" x14ac:dyDescent="0.25"/>
    <row r="51" spans="1:20" ht="18" customHeight="1" x14ac:dyDescent="0.25">
      <c r="A51" s="41" t="s">
        <v>435</v>
      </c>
      <c r="B51" s="35"/>
      <c r="C51" s="35"/>
      <c r="D51" s="35"/>
      <c r="E51" s="35"/>
      <c r="F51" s="35"/>
      <c r="G51" s="35"/>
      <c r="H51" s="35"/>
      <c r="I51" s="35"/>
      <c r="J51" s="35"/>
      <c r="K51" s="35"/>
      <c r="L51" s="35"/>
      <c r="M51" s="35"/>
      <c r="N51" s="35"/>
      <c r="O51" s="35"/>
      <c r="P51" s="35"/>
      <c r="Q51" s="35"/>
      <c r="R51" s="35"/>
      <c r="S51" s="35"/>
      <c r="T51" s="35"/>
    </row>
    <row r="52" spans="1:20" ht="21" customHeight="1" x14ac:dyDescent="0.25">
      <c r="A52" s="42" t="s">
        <v>436</v>
      </c>
      <c r="B52" s="35"/>
      <c r="C52" s="35"/>
      <c r="D52" s="35"/>
      <c r="E52" s="35"/>
      <c r="F52" s="35"/>
      <c r="G52" s="35"/>
      <c r="H52" s="35"/>
      <c r="I52" s="35"/>
      <c r="J52" s="35"/>
      <c r="K52" s="35"/>
      <c r="L52" s="35"/>
      <c r="M52" s="35"/>
      <c r="N52" s="35"/>
      <c r="O52" s="35"/>
      <c r="P52" s="35"/>
      <c r="Q52" s="35"/>
      <c r="R52" s="35"/>
      <c r="S52" s="35"/>
      <c r="T52" s="35"/>
    </row>
    <row r="53" spans="1:20" ht="6" customHeight="1" x14ac:dyDescent="0.25"/>
    <row r="54" spans="1:20" ht="18" customHeight="1" x14ac:dyDescent="0.25">
      <c r="A54" s="41" t="s">
        <v>388</v>
      </c>
      <c r="B54" s="35"/>
      <c r="C54" s="35"/>
      <c r="D54" s="35"/>
      <c r="E54" s="35"/>
      <c r="F54" s="35"/>
      <c r="G54" s="35"/>
      <c r="H54" s="35"/>
      <c r="I54" s="35"/>
      <c r="J54" s="35"/>
      <c r="K54" s="35"/>
      <c r="L54" s="35"/>
      <c r="M54" s="35"/>
      <c r="N54" s="35"/>
      <c r="O54" s="35"/>
      <c r="P54" s="35"/>
      <c r="Q54" s="35"/>
      <c r="R54" s="35"/>
      <c r="S54" s="35"/>
      <c r="T54" s="35"/>
    </row>
    <row r="55" spans="1:20" ht="51" customHeight="1" x14ac:dyDescent="0.25">
      <c r="A55" s="42" t="s">
        <v>389</v>
      </c>
      <c r="B55" s="35"/>
      <c r="C55" s="35"/>
      <c r="D55" s="35"/>
      <c r="E55" s="35"/>
      <c r="F55" s="35"/>
      <c r="G55" s="35"/>
      <c r="H55" s="35"/>
      <c r="I55" s="35"/>
      <c r="J55" s="35"/>
      <c r="K55" s="35"/>
      <c r="L55" s="35"/>
      <c r="M55" s="35"/>
      <c r="N55" s="35"/>
      <c r="O55" s="35"/>
      <c r="P55" s="35"/>
      <c r="Q55" s="35"/>
      <c r="R55" s="35"/>
      <c r="S55" s="35"/>
      <c r="T55" s="35"/>
    </row>
    <row r="56" spans="1:20" ht="6" customHeight="1" x14ac:dyDescent="0.25"/>
    <row r="59" spans="1:20" ht="21.95" customHeight="1" x14ac:dyDescent="0.25">
      <c r="A59" s="44" t="s">
        <v>390</v>
      </c>
      <c r="B59" s="45"/>
      <c r="C59" s="45"/>
      <c r="D59" s="45"/>
      <c r="E59" s="45"/>
      <c r="F59" s="45"/>
      <c r="G59" s="45"/>
      <c r="H59" s="45"/>
      <c r="I59" s="45"/>
      <c r="J59" s="45"/>
      <c r="K59" s="45"/>
      <c r="L59" s="45"/>
      <c r="M59" s="45"/>
      <c r="N59" s="45"/>
      <c r="O59" s="45"/>
      <c r="P59" s="45"/>
      <c r="Q59" s="45"/>
      <c r="R59" s="45"/>
      <c r="S59" s="45"/>
      <c r="T59" s="45"/>
    </row>
    <row r="61" spans="1:20" ht="18" customHeight="1" x14ac:dyDescent="0.25">
      <c r="A61" s="41" t="s">
        <v>91</v>
      </c>
      <c r="B61" s="35"/>
      <c r="C61" s="35"/>
      <c r="D61" s="35"/>
      <c r="E61" s="35"/>
      <c r="F61" s="35"/>
      <c r="G61" s="35"/>
      <c r="H61" s="35"/>
      <c r="I61" s="35"/>
      <c r="J61" s="35"/>
      <c r="K61" s="35"/>
      <c r="L61" s="35"/>
      <c r="M61" s="35"/>
      <c r="N61" s="35"/>
      <c r="O61" s="35"/>
      <c r="P61" s="35"/>
      <c r="Q61" s="35"/>
      <c r="R61" s="35"/>
      <c r="S61" s="35"/>
      <c r="T61" s="35"/>
    </row>
    <row r="62" spans="1:20" ht="21" customHeight="1" x14ac:dyDescent="0.25">
      <c r="A62" s="42" t="s">
        <v>391</v>
      </c>
      <c r="B62" s="35"/>
      <c r="C62" s="35"/>
      <c r="D62" s="35"/>
      <c r="E62" s="35"/>
      <c r="F62" s="35"/>
      <c r="G62" s="35"/>
      <c r="H62" s="35"/>
      <c r="I62" s="35"/>
      <c r="J62" s="35"/>
      <c r="K62" s="35"/>
      <c r="L62" s="35"/>
      <c r="M62" s="35"/>
      <c r="N62" s="35"/>
      <c r="O62" s="35"/>
      <c r="P62" s="35"/>
      <c r="Q62" s="35"/>
      <c r="R62" s="35"/>
      <c r="S62" s="35"/>
      <c r="T62" s="35"/>
    </row>
    <row r="63" spans="1:20" ht="6" customHeight="1" x14ac:dyDescent="0.25"/>
    <row r="64" spans="1:20" ht="18" customHeight="1" x14ac:dyDescent="0.25">
      <c r="A64" s="41" t="s">
        <v>130</v>
      </c>
      <c r="B64" s="35"/>
      <c r="C64" s="35"/>
      <c r="D64" s="35"/>
      <c r="E64" s="35"/>
      <c r="F64" s="35"/>
      <c r="G64" s="35"/>
      <c r="H64" s="35"/>
      <c r="I64" s="35"/>
      <c r="J64" s="35"/>
      <c r="K64" s="35"/>
      <c r="L64" s="35"/>
      <c r="M64" s="35"/>
      <c r="N64" s="35"/>
      <c r="O64" s="35"/>
      <c r="P64" s="35"/>
      <c r="Q64" s="35"/>
      <c r="R64" s="35"/>
      <c r="S64" s="35"/>
      <c r="T64" s="35"/>
    </row>
    <row r="65" spans="1:20" ht="36" customHeight="1" x14ac:dyDescent="0.25">
      <c r="A65" s="42" t="s">
        <v>392</v>
      </c>
      <c r="B65" s="35"/>
      <c r="C65" s="35"/>
      <c r="D65" s="35"/>
      <c r="E65" s="35"/>
      <c r="F65" s="35"/>
      <c r="G65" s="35"/>
      <c r="H65" s="35"/>
      <c r="I65" s="35"/>
      <c r="J65" s="35"/>
      <c r="K65" s="35"/>
      <c r="L65" s="35"/>
      <c r="M65" s="35"/>
      <c r="N65" s="35"/>
      <c r="O65" s="35"/>
      <c r="P65" s="35"/>
      <c r="Q65" s="35"/>
      <c r="R65" s="35"/>
      <c r="S65" s="35"/>
      <c r="T65" s="35"/>
    </row>
    <row r="66" spans="1:20" ht="6" customHeight="1" x14ac:dyDescent="0.25"/>
    <row r="67" spans="1:20" ht="18" customHeight="1" x14ac:dyDescent="0.25">
      <c r="A67" s="41" t="s">
        <v>355</v>
      </c>
      <c r="B67" s="35"/>
      <c r="C67" s="35"/>
      <c r="D67" s="35"/>
      <c r="E67" s="35"/>
      <c r="F67" s="35"/>
      <c r="G67" s="35"/>
      <c r="H67" s="35"/>
      <c r="I67" s="35"/>
      <c r="J67" s="35"/>
      <c r="K67" s="35"/>
      <c r="L67" s="35"/>
      <c r="M67" s="35"/>
      <c r="N67" s="35"/>
      <c r="O67" s="35"/>
      <c r="P67" s="35"/>
      <c r="Q67" s="35"/>
      <c r="R67" s="35"/>
      <c r="S67" s="35"/>
      <c r="T67" s="35"/>
    </row>
    <row r="68" spans="1:20" ht="21" customHeight="1" x14ac:dyDescent="0.25">
      <c r="A68" s="42" t="s">
        <v>393</v>
      </c>
      <c r="B68" s="35"/>
      <c r="C68" s="35"/>
      <c r="D68" s="35"/>
      <c r="E68" s="35"/>
      <c r="F68" s="35"/>
      <c r="G68" s="35"/>
      <c r="H68" s="35"/>
      <c r="I68" s="35"/>
      <c r="J68" s="35"/>
      <c r="K68" s="35"/>
      <c r="L68" s="35"/>
      <c r="M68" s="35"/>
      <c r="N68" s="35"/>
      <c r="O68" s="35"/>
      <c r="P68" s="35"/>
      <c r="Q68" s="35"/>
      <c r="R68" s="35"/>
      <c r="S68" s="35"/>
      <c r="T68" s="35"/>
    </row>
    <row r="69" spans="1:20" ht="6" customHeight="1" x14ac:dyDescent="0.25"/>
    <row r="70" spans="1:20" ht="18" customHeight="1" x14ac:dyDescent="0.25">
      <c r="A70" s="41" t="s">
        <v>357</v>
      </c>
      <c r="B70" s="35"/>
      <c r="C70" s="35"/>
      <c r="D70" s="35"/>
      <c r="E70" s="35"/>
      <c r="F70" s="35"/>
      <c r="G70" s="35"/>
      <c r="H70" s="35"/>
      <c r="I70" s="35"/>
      <c r="J70" s="35"/>
      <c r="K70" s="35"/>
      <c r="L70" s="35"/>
      <c r="M70" s="35"/>
      <c r="N70" s="35"/>
      <c r="O70" s="35"/>
      <c r="P70" s="35"/>
      <c r="Q70" s="35"/>
      <c r="R70" s="35"/>
      <c r="S70" s="35"/>
      <c r="T70" s="35"/>
    </row>
    <row r="71" spans="1:20" ht="36" customHeight="1" x14ac:dyDescent="0.25">
      <c r="A71" s="42" t="s">
        <v>394</v>
      </c>
      <c r="B71" s="35"/>
      <c r="C71" s="35"/>
      <c r="D71" s="35"/>
      <c r="E71" s="35"/>
      <c r="F71" s="35"/>
      <c r="G71" s="35"/>
      <c r="H71" s="35"/>
      <c r="I71" s="35"/>
      <c r="J71" s="35"/>
      <c r="K71" s="35"/>
      <c r="L71" s="35"/>
      <c r="M71" s="35"/>
      <c r="N71" s="35"/>
      <c r="O71" s="35"/>
      <c r="P71" s="35"/>
      <c r="Q71" s="35"/>
      <c r="R71" s="35"/>
      <c r="S71" s="35"/>
      <c r="T71" s="35"/>
    </row>
    <row r="72" spans="1:20" ht="6" customHeight="1" x14ac:dyDescent="0.25"/>
    <row r="73" spans="1:20" ht="18" customHeight="1" x14ac:dyDescent="0.25">
      <c r="A73" s="41" t="s">
        <v>360</v>
      </c>
      <c r="B73" s="35"/>
      <c r="C73" s="35"/>
      <c r="D73" s="35"/>
      <c r="E73" s="35"/>
      <c r="F73" s="35"/>
      <c r="G73" s="35"/>
      <c r="H73" s="35"/>
      <c r="I73" s="35"/>
      <c r="J73" s="35"/>
      <c r="K73" s="35"/>
      <c r="L73" s="35"/>
      <c r="M73" s="35"/>
      <c r="N73" s="35"/>
      <c r="O73" s="35"/>
      <c r="P73" s="35"/>
      <c r="Q73" s="35"/>
      <c r="R73" s="35"/>
      <c r="S73" s="35"/>
      <c r="T73" s="35"/>
    </row>
    <row r="74" spans="1:20" ht="21" customHeight="1" x14ac:dyDescent="0.25">
      <c r="A74" s="42" t="s">
        <v>437</v>
      </c>
      <c r="B74" s="35"/>
      <c r="C74" s="35"/>
      <c r="D74" s="35"/>
      <c r="E74" s="35"/>
      <c r="F74" s="35"/>
      <c r="G74" s="35"/>
      <c r="H74" s="35"/>
      <c r="I74" s="35"/>
      <c r="J74" s="35"/>
      <c r="K74" s="35"/>
      <c r="L74" s="35"/>
      <c r="M74" s="35"/>
      <c r="N74" s="35"/>
      <c r="O74" s="35"/>
      <c r="P74" s="35"/>
      <c r="Q74" s="35"/>
      <c r="R74" s="35"/>
      <c r="S74" s="35"/>
      <c r="T74" s="35"/>
    </row>
    <row r="75" spans="1:20" ht="6" customHeight="1" x14ac:dyDescent="0.25"/>
    <row r="76" spans="1:20" ht="18" customHeight="1" x14ac:dyDescent="0.25">
      <c r="A76" s="41" t="s">
        <v>416</v>
      </c>
      <c r="B76" s="35"/>
      <c r="C76" s="35"/>
      <c r="D76" s="35"/>
      <c r="E76" s="35"/>
      <c r="F76" s="35"/>
      <c r="G76" s="35"/>
      <c r="H76" s="35"/>
      <c r="I76" s="35"/>
      <c r="J76" s="35"/>
      <c r="K76" s="35"/>
      <c r="L76" s="35"/>
      <c r="M76" s="35"/>
      <c r="N76" s="35"/>
      <c r="O76" s="35"/>
      <c r="P76" s="35"/>
      <c r="Q76" s="35"/>
      <c r="R76" s="35"/>
      <c r="S76" s="35"/>
      <c r="T76" s="35"/>
    </row>
    <row r="77" spans="1:20" ht="36" customHeight="1" x14ac:dyDescent="0.25">
      <c r="A77" s="42" t="s">
        <v>438</v>
      </c>
      <c r="B77" s="35"/>
      <c r="C77" s="35"/>
      <c r="D77" s="35"/>
      <c r="E77" s="35"/>
      <c r="F77" s="35"/>
      <c r="G77" s="35"/>
      <c r="H77" s="35"/>
      <c r="I77" s="35"/>
      <c r="J77" s="35"/>
      <c r="K77" s="35"/>
      <c r="L77" s="35"/>
      <c r="M77" s="35"/>
      <c r="N77" s="35"/>
      <c r="O77" s="35"/>
      <c r="P77" s="35"/>
      <c r="Q77" s="35"/>
      <c r="R77" s="35"/>
      <c r="S77" s="35"/>
      <c r="T77" s="35"/>
    </row>
    <row r="78" spans="1:20" ht="6" customHeight="1" x14ac:dyDescent="0.25"/>
    <row r="79" spans="1:20" ht="18" customHeight="1" x14ac:dyDescent="0.25">
      <c r="A79" s="41" t="s">
        <v>136</v>
      </c>
      <c r="B79" s="35"/>
      <c r="C79" s="35"/>
      <c r="D79" s="35"/>
      <c r="E79" s="35"/>
      <c r="F79" s="35"/>
      <c r="G79" s="35"/>
      <c r="H79" s="35"/>
      <c r="I79" s="35"/>
      <c r="J79" s="35"/>
      <c r="K79" s="35"/>
      <c r="L79" s="35"/>
      <c r="M79" s="35"/>
      <c r="N79" s="35"/>
      <c r="O79" s="35"/>
      <c r="P79" s="35"/>
      <c r="Q79" s="35"/>
      <c r="R79" s="35"/>
      <c r="S79" s="35"/>
      <c r="T79" s="35"/>
    </row>
    <row r="80" spans="1:20" ht="21" customHeight="1" x14ac:dyDescent="0.25">
      <c r="A80" s="42" t="s">
        <v>439</v>
      </c>
      <c r="B80" s="35"/>
      <c r="C80" s="35"/>
      <c r="D80" s="35"/>
      <c r="E80" s="35"/>
      <c r="F80" s="35"/>
      <c r="G80" s="35"/>
      <c r="H80" s="35"/>
      <c r="I80" s="35"/>
      <c r="J80" s="35"/>
      <c r="K80" s="35"/>
      <c r="L80" s="35"/>
      <c r="M80" s="35"/>
      <c r="N80" s="35"/>
      <c r="O80" s="35"/>
      <c r="P80" s="35"/>
      <c r="Q80" s="35"/>
      <c r="R80" s="35"/>
      <c r="S80" s="35"/>
      <c r="T80" s="35"/>
    </row>
    <row r="81" spans="1:20" ht="6" customHeight="1" x14ac:dyDescent="0.25"/>
    <row r="82" spans="1:20" ht="18" customHeight="1" x14ac:dyDescent="0.25">
      <c r="A82" s="41" t="s">
        <v>419</v>
      </c>
      <c r="B82" s="35"/>
      <c r="C82" s="35"/>
      <c r="D82" s="35"/>
      <c r="E82" s="35"/>
      <c r="F82" s="35"/>
      <c r="G82" s="35"/>
      <c r="H82" s="35"/>
      <c r="I82" s="35"/>
      <c r="J82" s="35"/>
      <c r="K82" s="35"/>
      <c r="L82" s="35"/>
      <c r="M82" s="35"/>
      <c r="N82" s="35"/>
      <c r="O82" s="35"/>
      <c r="P82" s="35"/>
      <c r="Q82" s="35"/>
      <c r="R82" s="35"/>
      <c r="S82" s="35"/>
      <c r="T82" s="35"/>
    </row>
    <row r="83" spans="1:20" ht="21" customHeight="1" x14ac:dyDescent="0.25">
      <c r="A83" s="42" t="s">
        <v>440</v>
      </c>
      <c r="B83" s="35"/>
      <c r="C83" s="35"/>
      <c r="D83" s="35"/>
      <c r="E83" s="35"/>
      <c r="F83" s="35"/>
      <c r="G83" s="35"/>
      <c r="H83" s="35"/>
      <c r="I83" s="35"/>
      <c r="J83" s="35"/>
      <c r="K83" s="35"/>
      <c r="L83" s="35"/>
      <c r="M83" s="35"/>
      <c r="N83" s="35"/>
      <c r="O83" s="35"/>
      <c r="P83" s="35"/>
      <c r="Q83" s="35"/>
      <c r="R83" s="35"/>
      <c r="S83" s="35"/>
      <c r="T83" s="35"/>
    </row>
    <row r="84" spans="1:20" ht="6" customHeight="1" x14ac:dyDescent="0.25"/>
    <row r="85" spans="1:20" ht="18" customHeight="1" x14ac:dyDescent="0.25">
      <c r="A85" s="41" t="s">
        <v>366</v>
      </c>
      <c r="B85" s="35"/>
      <c r="C85" s="35"/>
      <c r="D85" s="35"/>
      <c r="E85" s="35"/>
      <c r="F85" s="35"/>
      <c r="G85" s="35"/>
      <c r="H85" s="35"/>
      <c r="I85" s="35"/>
      <c r="J85" s="35"/>
      <c r="K85" s="35"/>
      <c r="L85" s="35"/>
      <c r="M85" s="35"/>
      <c r="N85" s="35"/>
      <c r="O85" s="35"/>
      <c r="P85" s="35"/>
      <c r="Q85" s="35"/>
      <c r="R85" s="35"/>
      <c r="S85" s="35"/>
      <c r="T85" s="35"/>
    </row>
    <row r="86" spans="1:20" ht="21" customHeight="1" x14ac:dyDescent="0.25">
      <c r="A86" s="42" t="s">
        <v>399</v>
      </c>
      <c r="B86" s="35"/>
      <c r="C86" s="35"/>
      <c r="D86" s="35"/>
      <c r="E86" s="35"/>
      <c r="F86" s="35"/>
      <c r="G86" s="35"/>
      <c r="H86" s="35"/>
      <c r="I86" s="35"/>
      <c r="J86" s="35"/>
      <c r="K86" s="35"/>
      <c r="L86" s="35"/>
      <c r="M86" s="35"/>
      <c r="N86" s="35"/>
      <c r="O86" s="35"/>
      <c r="P86" s="35"/>
      <c r="Q86" s="35"/>
      <c r="R86" s="35"/>
      <c r="S86" s="35"/>
      <c r="T86" s="35"/>
    </row>
    <row r="87" spans="1:20" ht="6" customHeight="1" x14ac:dyDescent="0.25"/>
    <row r="90" spans="1:20" x14ac:dyDescent="0.25">
      <c r="A90" s="43" t="s">
        <v>400</v>
      </c>
      <c r="B90" s="35"/>
      <c r="C90" s="35"/>
      <c r="D90" s="35"/>
      <c r="E90" s="35"/>
      <c r="F90" s="35"/>
      <c r="G90" s="35"/>
      <c r="H90" s="35"/>
      <c r="I90" s="35"/>
      <c r="J90" s="35"/>
      <c r="K90" s="35"/>
      <c r="L90" s="35"/>
      <c r="M90" s="35"/>
      <c r="N90" s="35"/>
      <c r="O90" s="35"/>
      <c r="P90" s="35"/>
      <c r="Q90" s="35"/>
      <c r="R90" s="35"/>
      <c r="S90" s="35"/>
      <c r="T90" s="35"/>
    </row>
  </sheetData>
  <mergeCells count="37">
    <mergeCell ref="A90:T90"/>
    <mergeCell ref="A80:T80"/>
    <mergeCell ref="A46:T46"/>
    <mergeCell ref="A74:T74"/>
    <mergeCell ref="A55:T55"/>
    <mergeCell ref="A86:T86"/>
    <mergeCell ref="A71:T71"/>
    <mergeCell ref="A85:T85"/>
    <mergeCell ref="A76:T76"/>
    <mergeCell ref="A62:T62"/>
    <mergeCell ref="A52:T52"/>
    <mergeCell ref="A68:T68"/>
    <mergeCell ref="A83:T83"/>
    <mergeCell ref="A73:T73"/>
    <mergeCell ref="A49:T49"/>
    <mergeCell ref="A51:T51"/>
    <mergeCell ref="A82:T82"/>
    <mergeCell ref="A79:T79"/>
    <mergeCell ref="A61:T61"/>
    <mergeCell ref="A70:T70"/>
    <mergeCell ref="A65:T65"/>
    <mergeCell ref="A54:T54"/>
    <mergeCell ref="A67:T67"/>
    <mergeCell ref="A48:T48"/>
    <mergeCell ref="A30:T30"/>
    <mergeCell ref="A77:T77"/>
    <mergeCell ref="A39:T39"/>
    <mergeCell ref="A64:T64"/>
    <mergeCell ref="A59:T59"/>
    <mergeCell ref="A36:T36"/>
    <mergeCell ref="A45:T45"/>
    <mergeCell ref="A33:T33"/>
    <mergeCell ref="A42:T42"/>
    <mergeCell ref="A32:T32"/>
    <mergeCell ref="A35:T35"/>
    <mergeCell ref="A43:T43"/>
    <mergeCell ref="A38:T38"/>
  </mergeCells>
  <dataValidations count="9">
    <dataValidation type="list" allowBlank="1" errorTitle="Valore non valido" error="Selezionare dalla lista." promptTitle="Author" prompt="Autore della codifica." sqref="B6:B27" xr:uid="{00000000-0002-0000-0400-000000000000}">
      <formula1>Author_Name</formula1>
    </dataValidation>
    <dataValidation type="list" allowBlank="1" errorTitle="Valore non valido" error="Selezionare dalla lista, oppure lasciare vuoto." promptTitle="In Place" prompt="Facoltativo. Si compila solo quando l’elemento è modellato in place dentro il progetto, non caricato da una libreria né tipo di una famiglia di sistema. Nel nome diventa (I) attaccato al codice di categoria, senza separatore. Cella vuota = caso normale." sqref="D6:D27" xr:uid="{00000000-0002-0000-0400-000001000000}">
      <formula1>InPl_Name</formula1>
    </dataValidation>
    <dataValidation type="list" allowBlank="1" errorTitle="Valore non valido" error="Selezionare dalla lista." promptTitle="Categoria" prompt="Categoria Revit dell’elemento." sqref="F6:F27" xr:uid="{00000000-0002-0000-0400-000002000000}">
      <formula1>FI_Cat_Name</formula1>
    </dataValidation>
    <dataValidation type="list" allowBlank="1" errorTitle="Valore non valido" error="Selezionare dalla lista." promptTitle="Group1 — materiale" sqref="H6:H27" xr:uid="{00000000-0002-0000-0400-000003000000}">
      <formula1>STR_G1_Name</formula1>
    </dataValidation>
    <dataValidation type="list" allowBlank="1" errorTitle="Valore non valido" error="Selezionare dalla lista." promptTitle="Group2 — tipo di fondazione" prompt="Che tipo di fondazione isolata è: plinto, plinto combinato, palo, micropalo, plinto su pali, pozzo. La trave di fondazione che collega i plinti non sta qui: è una trave, e si nomina in 05_FR." sqref="J6:J27" xr:uid="{00000000-0002-0000-0400-000004000000}">
      <formula1>FI_G2_Name</formula1>
    </dataValidation>
    <dataValidation type="list" allowBlank="1" errorTitle="Valore non valido" error="Selezionare dalla lista." promptTitle="Family role" prompt="Facoltativo. CM Component = componente minore, destinato a essere annidato dentro un’altra famiglia: sui nodi è il caso normale. SY Symbolic = famiglia che contiene un simbolo, non la geometria reale. Vuoto = famiglia completa e autonoma." sqref="L6:L27" xr:uid="{00000000-0002-0000-0400-000005000000}">
      <formula1>Role_Name</formula1>
    </dataValidation>
    <dataValidation type="list" allowBlank="1" errorTitle="Valore non valido" error="Selezionare dalla lista." promptTitle="Custom" prompt="Facoltativo. Sezione o elemento disegnato su misura, non corrispondente a un profilo di normativa o a un prodotto di mercato. Vuoto → si assume un profilo commerciale. Non compatibile con Manufacturer." sqref="N6:N27" xr:uid="{00000000-0002-0000-0400-000006000000}">
      <formula1>Cst_Name</formula1>
    </dataValidation>
    <dataValidation type="custom" allowBlank="1" errorTitle="Non valido" error="Massimo 24 caratteri, senza spazi, e non compatibile con Custom." promptTitle="Manufacturer" prompt="Facoltativo. Azienda produttrice. Campo libero: senza spazi, iniziali maiuscole. Non compatibile con Custom." sqref="P6:P27" xr:uid="{00000000-0002-0000-0400-000007000000}">
      <formula1>AND(LEN($P6)&lt;=24,ISERROR(FIND(" ",$P6)),OR($P6="",$O6=""))</formula1>
    </dataValidation>
    <dataValidation type="textLength" operator="lessThanOrEqual" allowBlank="1" errorTitle="Troppo lunga" error="Massimo 40 caratteri." promptTitle="Description" prompt="Facoltativa. Solo se aggiunge un’informazione non già nei codici. Senza spazi, iniziali maiuscole, massimo 40 caratteri, senza accenti." sqref="Q6:Q27" xr:uid="{00000000-0002-0000-0400-000008000000}">
      <formula1>40</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F6B4F"/>
  </sheetPr>
  <dimension ref="A1:T95"/>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21" customWidth="1"/>
    <col min="7" max="7" width="4" customWidth="1"/>
    <col min="8" max="8" width="20" customWidth="1"/>
    <col min="9" max="9" width="4" customWidth="1"/>
    <col min="10" max="10" width="17" customWidth="1"/>
    <col min="11" max="11" width="4" customWidth="1"/>
    <col min="12" max="12" width="12" customWidth="1"/>
    <col min="13" max="13" width="5" customWidth="1"/>
    <col min="14" max="14" width="9" customWidth="1"/>
    <col min="15" max="15" width="4" customWidth="1"/>
    <col min="16" max="16" width="15" customWidth="1"/>
    <col min="17" max="17" width="22" customWidth="1"/>
    <col min="18" max="18" width="12" customWidth="1"/>
    <col min="19" max="19" width="38" customWidth="1"/>
    <col min="20" max="20" width="26" customWidth="1"/>
  </cols>
  <sheetData>
    <row r="1" spans="1:20" ht="19.5" x14ac:dyDescent="0.3">
      <c r="A1" s="6" t="s">
        <v>231</v>
      </c>
    </row>
    <row r="2" spans="1:20" x14ac:dyDescent="0.25">
      <c r="A2" s="7" t="s">
        <v>350</v>
      </c>
    </row>
    <row r="3" spans="1:20" x14ac:dyDescent="0.25">
      <c r="A3" s="8" t="s">
        <v>414</v>
      </c>
    </row>
    <row r="4" spans="1:20" ht="17.100000000000001" customHeight="1" x14ac:dyDescent="0.25">
      <c r="A4" s="25" t="s">
        <v>441</v>
      </c>
      <c r="B4" s="26"/>
      <c r="C4" s="26"/>
      <c r="D4" s="26"/>
      <c r="E4" s="26"/>
      <c r="F4" s="26"/>
      <c r="G4" s="26"/>
      <c r="H4" s="26"/>
      <c r="I4" s="26"/>
      <c r="J4" s="26"/>
      <c r="K4" s="26"/>
      <c r="L4" s="26"/>
      <c r="M4" s="26"/>
      <c r="N4" s="26"/>
      <c r="O4" s="26"/>
      <c r="P4" s="26"/>
      <c r="Q4" s="26"/>
      <c r="R4" s="26"/>
      <c r="S4" s="26"/>
      <c r="T4" s="26"/>
    </row>
    <row r="5" spans="1:20" ht="30" customHeight="1" x14ac:dyDescent="0.25">
      <c r="A5" s="9" t="s">
        <v>353</v>
      </c>
      <c r="B5" s="9" t="s">
        <v>91</v>
      </c>
      <c r="C5" s="9" t="s">
        <v>354</v>
      </c>
      <c r="D5" s="10" t="s">
        <v>130</v>
      </c>
      <c r="E5" s="9" t="s">
        <v>129</v>
      </c>
      <c r="F5" s="9" t="s">
        <v>355</v>
      </c>
      <c r="G5" s="9" t="s">
        <v>356</v>
      </c>
      <c r="H5" s="9" t="s">
        <v>357</v>
      </c>
      <c r="I5" s="9" t="s">
        <v>358</v>
      </c>
      <c r="J5" s="9" t="s">
        <v>360</v>
      </c>
      <c r="K5" s="9" t="s">
        <v>361</v>
      </c>
      <c r="L5" s="10" t="s">
        <v>416</v>
      </c>
      <c r="M5" s="9" t="s">
        <v>417</v>
      </c>
      <c r="N5" s="10" t="s">
        <v>136</v>
      </c>
      <c r="O5" s="9" t="s">
        <v>418</v>
      </c>
      <c r="P5" s="10" t="s">
        <v>419</v>
      </c>
      <c r="Q5" s="10" t="s">
        <v>366</v>
      </c>
      <c r="R5" s="9" t="s">
        <v>367</v>
      </c>
      <c r="S5" s="9" t="s">
        <v>368</v>
      </c>
      <c r="T5" s="9" t="s">
        <v>420</v>
      </c>
    </row>
    <row r="6" spans="1:20" x14ac:dyDescent="0.25">
      <c r="A6" s="11" t="s">
        <v>369</v>
      </c>
      <c r="B6" s="12" t="s">
        <v>100</v>
      </c>
      <c r="C6" s="13" t="str">
        <f t="shared" ref="C6:C29" si="0">IFERROR(INDEX(Author_Code,MATCH($B6,Author_Name,0)),"")</f>
        <v>e</v>
      </c>
      <c r="D6" s="14"/>
      <c r="E6" s="13" t="str">
        <f t="shared" ref="E6:E29" si="1">IFERROR(INDEX(InPl_Code,MATCH($D6,InPl_Name,0)),"")</f>
        <v/>
      </c>
      <c r="F6" s="12" t="s">
        <v>238</v>
      </c>
      <c r="G6" s="13" t="str">
        <f t="shared" ref="G6:G29" si="2">IFERROR(INDEX(SC_Cat_Code,MATCH($F6,SC_Cat_Name,0)),"")</f>
        <v>SC</v>
      </c>
      <c r="H6" s="12" t="s">
        <v>123</v>
      </c>
      <c r="I6" s="13" t="str">
        <f t="shared" ref="I6:I29" si="3">IFERROR(INDEX(STR_G1_Code,MATCH($H6,STR_G1_Name,0)),"")</f>
        <v>ST</v>
      </c>
      <c r="J6" s="12" t="s">
        <v>246</v>
      </c>
      <c r="K6" s="13" t="str">
        <f t="shared" ref="K6:K29" si="4">IFERROR(INDEX(SC_G2_Code,MATCH($J6,SC_G2_Name,0)),"")</f>
        <v>IS</v>
      </c>
      <c r="L6" s="14"/>
      <c r="M6" s="13" t="str">
        <f t="shared" ref="M6:M29" si="5">IFERROR(INDEX(Role_Code,MATCH($L6,Role_Name,0)),"")</f>
        <v/>
      </c>
      <c r="N6" s="14"/>
      <c r="O6" s="13" t="str">
        <f t="shared" ref="O6:O29" si="6">IFERROR(INDEX(Cst_Code,MATCH($N6,Cst_Name,0)),"")</f>
        <v/>
      </c>
      <c r="P6" s="16"/>
      <c r="Q6" s="16"/>
      <c r="R6" s="13" t="str">
        <f t="shared" ref="R6:R29" si="7">$G6&amp;IF($I6&lt;&gt;"","."&amp;$I6,"")&amp;IF($K6&lt;&gt;"","."&amp;$K6,"")</f>
        <v>SC.ST.IS</v>
      </c>
      <c r="S6" s="17" t="str">
        <f t="shared" ref="S6:S29" si="8">IF(AND($F6&lt;&gt;"",$H6&lt;&gt;"",$J6&lt;&gt;""),$C6&amp;"_"&amp;$E6&amp;$R6&amp;IF($M6&lt;&gt;"","_"&amp;$M6,"")&amp;IF($O6&lt;&gt;"","_"&amp;$O6,"")&amp;IF($P6&lt;&gt;"","_"&amp;$P6,"")&amp;IF($Q6&lt;&gt;"","_"&amp;$Q6,""),"")</f>
        <v>e_SC.ST.IS</v>
      </c>
      <c r="T6" s="27" t="str">
        <f t="shared" ref="T6:T29" si="9">IFERROR(IF(OR($G6="",$H6=""),"",$G6&amp;"-"&amp;LEFT(INDEX(STR_G1_TM,MATCH($H6,STR_G1_Name,0)),1)&amp;"xx_{designazione o misure}"),"")</f>
        <v>SC-3xx_{designazione o misure}</v>
      </c>
    </row>
    <row r="7" spans="1:20" x14ac:dyDescent="0.25">
      <c r="A7" s="11" t="s">
        <v>370</v>
      </c>
      <c r="B7" s="12" t="s">
        <v>100</v>
      </c>
      <c r="C7" s="13" t="str">
        <f t="shared" si="0"/>
        <v>e</v>
      </c>
      <c r="D7" s="14"/>
      <c r="E7" s="13" t="str">
        <f t="shared" si="1"/>
        <v/>
      </c>
      <c r="F7" s="12" t="s">
        <v>238</v>
      </c>
      <c r="G7" s="13" t="str">
        <f t="shared" si="2"/>
        <v>SC</v>
      </c>
      <c r="H7" s="12" t="s">
        <v>123</v>
      </c>
      <c r="I7" s="13" t="str">
        <f t="shared" si="3"/>
        <v>ST</v>
      </c>
      <c r="J7" s="12" t="s">
        <v>249</v>
      </c>
      <c r="K7" s="13" t="str">
        <f t="shared" si="4"/>
        <v>HS</v>
      </c>
      <c r="L7" s="14"/>
      <c r="M7" s="13" t="str">
        <f t="shared" si="5"/>
        <v/>
      </c>
      <c r="N7" s="14"/>
      <c r="O7" s="13" t="str">
        <f t="shared" si="6"/>
        <v/>
      </c>
      <c r="P7" s="16"/>
      <c r="Q7" s="16"/>
      <c r="R7" s="13" t="str">
        <f t="shared" si="7"/>
        <v>SC.ST.HS</v>
      </c>
      <c r="S7" s="17" t="str">
        <f t="shared" si="8"/>
        <v>e_SC.ST.HS</v>
      </c>
      <c r="T7" s="27" t="str">
        <f t="shared" si="9"/>
        <v>SC-3xx_{designazione o misure}</v>
      </c>
    </row>
    <row r="8" spans="1:20" x14ac:dyDescent="0.25">
      <c r="A8" s="11" t="s">
        <v>371</v>
      </c>
      <c r="B8" s="12" t="s">
        <v>100</v>
      </c>
      <c r="C8" s="13" t="str">
        <f t="shared" si="0"/>
        <v>e</v>
      </c>
      <c r="D8" s="14"/>
      <c r="E8" s="13" t="str">
        <f t="shared" si="1"/>
        <v/>
      </c>
      <c r="F8" s="12" t="s">
        <v>238</v>
      </c>
      <c r="G8" s="13" t="str">
        <f t="shared" si="2"/>
        <v>SC</v>
      </c>
      <c r="H8" s="12" t="s">
        <v>109</v>
      </c>
      <c r="I8" s="13" t="str">
        <f t="shared" si="3"/>
        <v>CN</v>
      </c>
      <c r="J8" s="12" t="s">
        <v>240</v>
      </c>
      <c r="K8" s="13" t="str">
        <f t="shared" si="4"/>
        <v>RC</v>
      </c>
      <c r="L8" s="14"/>
      <c r="M8" s="13" t="str">
        <f t="shared" si="5"/>
        <v/>
      </c>
      <c r="N8" s="14"/>
      <c r="O8" s="13" t="str">
        <f t="shared" si="6"/>
        <v/>
      </c>
      <c r="P8" s="16"/>
      <c r="Q8" s="16"/>
      <c r="R8" s="13" t="str">
        <f t="shared" si="7"/>
        <v>SC.CN.RC</v>
      </c>
      <c r="S8" s="17" t="str">
        <f t="shared" si="8"/>
        <v>e_SC.CN.RC</v>
      </c>
      <c r="T8" s="27" t="str">
        <f t="shared" si="9"/>
        <v>SC-1xx_{designazione o misure}</v>
      </c>
    </row>
    <row r="9" spans="1:20" x14ac:dyDescent="0.25">
      <c r="A9" s="11" t="s">
        <v>372</v>
      </c>
      <c r="B9" s="12" t="s">
        <v>100</v>
      </c>
      <c r="C9" s="13" t="str">
        <f t="shared" si="0"/>
        <v>e</v>
      </c>
      <c r="D9" s="14"/>
      <c r="E9" s="13" t="str">
        <f t="shared" si="1"/>
        <v/>
      </c>
      <c r="F9" s="12" t="s">
        <v>238</v>
      </c>
      <c r="G9" s="13" t="str">
        <f t="shared" si="2"/>
        <v>SC</v>
      </c>
      <c r="H9" s="12" t="s">
        <v>109</v>
      </c>
      <c r="I9" s="13" t="str">
        <f t="shared" si="3"/>
        <v>CN</v>
      </c>
      <c r="J9" s="12" t="s">
        <v>243</v>
      </c>
      <c r="K9" s="13" t="str">
        <f t="shared" si="4"/>
        <v>CR</v>
      </c>
      <c r="L9" s="14"/>
      <c r="M9" s="13" t="str">
        <f t="shared" si="5"/>
        <v/>
      </c>
      <c r="N9" s="14"/>
      <c r="O9" s="13" t="str">
        <f t="shared" si="6"/>
        <v/>
      </c>
      <c r="P9" s="16"/>
      <c r="Q9" s="16"/>
      <c r="R9" s="13" t="str">
        <f t="shared" si="7"/>
        <v>SC.CN.CR</v>
      </c>
      <c r="S9" s="17" t="str">
        <f t="shared" si="8"/>
        <v>e_SC.CN.CR</v>
      </c>
      <c r="T9" s="27" t="str">
        <f t="shared" si="9"/>
        <v>SC-1xx_{designazione o misure}</v>
      </c>
    </row>
    <row r="10" spans="1:20" x14ac:dyDescent="0.25">
      <c r="A10" s="11" t="s">
        <v>373</v>
      </c>
      <c r="B10" s="12" t="s">
        <v>100</v>
      </c>
      <c r="C10" s="13" t="str">
        <f t="shared" si="0"/>
        <v>e</v>
      </c>
      <c r="D10" s="14"/>
      <c r="E10" s="13" t="str">
        <f t="shared" si="1"/>
        <v/>
      </c>
      <c r="F10" s="12" t="s">
        <v>238</v>
      </c>
      <c r="G10" s="13" t="str">
        <f t="shared" si="2"/>
        <v>SC</v>
      </c>
      <c r="H10" s="12" t="s">
        <v>117</v>
      </c>
      <c r="I10" s="13" t="str">
        <f t="shared" si="3"/>
        <v>PC</v>
      </c>
      <c r="J10" s="12" t="s">
        <v>240</v>
      </c>
      <c r="K10" s="13" t="str">
        <f t="shared" si="4"/>
        <v>RC</v>
      </c>
      <c r="L10" s="14"/>
      <c r="M10" s="13" t="str">
        <f t="shared" si="5"/>
        <v/>
      </c>
      <c r="N10" s="14"/>
      <c r="O10" s="13" t="str">
        <f t="shared" si="6"/>
        <v/>
      </c>
      <c r="P10" s="16" t="s">
        <v>421</v>
      </c>
      <c r="Q10" s="16"/>
      <c r="R10" s="13" t="str">
        <f t="shared" si="7"/>
        <v>SC.PC.RC</v>
      </c>
      <c r="S10" s="17" t="str">
        <f t="shared" si="8"/>
        <v>e_SC.PC.RC_Manini</v>
      </c>
      <c r="T10" s="27" t="str">
        <f t="shared" si="9"/>
        <v>SC-2xx_{designazione o misure}</v>
      </c>
    </row>
    <row r="11" spans="1:20" x14ac:dyDescent="0.25">
      <c r="A11" s="11" t="s">
        <v>375</v>
      </c>
      <c r="B11" s="12" t="s">
        <v>100</v>
      </c>
      <c r="C11" s="13" t="str">
        <f t="shared" si="0"/>
        <v>e</v>
      </c>
      <c r="D11" s="14"/>
      <c r="E11" s="13" t="str">
        <f t="shared" si="1"/>
        <v/>
      </c>
      <c r="F11" s="12" t="s">
        <v>238</v>
      </c>
      <c r="G11" s="13" t="str">
        <f t="shared" si="2"/>
        <v>SC</v>
      </c>
      <c r="H11" s="12" t="s">
        <v>132</v>
      </c>
      <c r="I11" s="13" t="str">
        <f t="shared" si="3"/>
        <v>TM</v>
      </c>
      <c r="J11" s="12" t="s">
        <v>240</v>
      </c>
      <c r="K11" s="13" t="str">
        <f t="shared" si="4"/>
        <v>RC</v>
      </c>
      <c r="L11" s="14"/>
      <c r="M11" s="13" t="str">
        <f t="shared" si="5"/>
        <v/>
      </c>
      <c r="N11" s="14"/>
      <c r="O11" s="13" t="str">
        <f t="shared" si="6"/>
        <v/>
      </c>
      <c r="P11" s="16"/>
      <c r="Q11" s="16"/>
      <c r="R11" s="13" t="str">
        <f t="shared" si="7"/>
        <v>SC.TM.RC</v>
      </c>
      <c r="S11" s="17" t="str">
        <f t="shared" si="8"/>
        <v>e_SC.TM.RC</v>
      </c>
      <c r="T11" s="27" t="str">
        <f t="shared" si="9"/>
        <v>SC-4xx_{designazione o misure}</v>
      </c>
    </row>
    <row r="12" spans="1:20" x14ac:dyDescent="0.25">
      <c r="A12" s="11" t="s">
        <v>377</v>
      </c>
      <c r="B12" s="12" t="s">
        <v>100</v>
      </c>
      <c r="C12" s="13" t="str">
        <f t="shared" si="0"/>
        <v>e</v>
      </c>
      <c r="D12" s="14"/>
      <c r="E12" s="13" t="str">
        <f t="shared" si="1"/>
        <v/>
      </c>
      <c r="F12" s="12" t="s">
        <v>238</v>
      </c>
      <c r="G12" s="13" t="str">
        <f t="shared" si="2"/>
        <v>SC</v>
      </c>
      <c r="H12" s="12" t="s">
        <v>123</v>
      </c>
      <c r="I12" s="13" t="str">
        <f t="shared" si="3"/>
        <v>ST</v>
      </c>
      <c r="J12" s="12" t="s">
        <v>258</v>
      </c>
      <c r="K12" s="13" t="str">
        <f t="shared" si="4"/>
        <v>BU</v>
      </c>
      <c r="L12" s="14"/>
      <c r="M12" s="13" t="str">
        <f t="shared" si="5"/>
        <v/>
      </c>
      <c r="N12" s="14" t="s">
        <v>136</v>
      </c>
      <c r="O12" s="13" t="str">
        <f t="shared" si="6"/>
        <v>CT</v>
      </c>
      <c r="P12" s="16"/>
      <c r="Q12" s="16"/>
      <c r="R12" s="13" t="str">
        <f t="shared" si="7"/>
        <v>SC.ST.BU</v>
      </c>
      <c r="S12" s="17" t="str">
        <f t="shared" si="8"/>
        <v>e_SC.ST.BU_CT</v>
      </c>
      <c r="T12" s="27" t="str">
        <f t="shared" si="9"/>
        <v>SC-3xx_{designazione o misure}</v>
      </c>
    </row>
    <row r="13" spans="1:20" x14ac:dyDescent="0.25">
      <c r="A13" s="11" t="s">
        <v>442</v>
      </c>
      <c r="B13" s="12" t="s">
        <v>100</v>
      </c>
      <c r="C13" s="13" t="str">
        <f t="shared" si="0"/>
        <v>e</v>
      </c>
      <c r="D13" s="14"/>
      <c r="E13" s="13" t="str">
        <f t="shared" si="1"/>
        <v/>
      </c>
      <c r="F13" s="12" t="s">
        <v>238</v>
      </c>
      <c r="G13" s="13" t="str">
        <f t="shared" si="2"/>
        <v>SC</v>
      </c>
      <c r="H13" s="12" t="s">
        <v>150</v>
      </c>
      <c r="I13" s="13" t="str">
        <f t="shared" si="3"/>
        <v>AL</v>
      </c>
      <c r="J13" s="12" t="s">
        <v>249</v>
      </c>
      <c r="K13" s="13" t="str">
        <f t="shared" si="4"/>
        <v>HS</v>
      </c>
      <c r="L13" s="14"/>
      <c r="M13" s="13" t="str">
        <f t="shared" si="5"/>
        <v/>
      </c>
      <c r="N13" s="14"/>
      <c r="O13" s="13" t="str">
        <f t="shared" si="6"/>
        <v/>
      </c>
      <c r="P13" s="16"/>
      <c r="Q13" s="16"/>
      <c r="R13" s="13" t="str">
        <f t="shared" si="7"/>
        <v>SC.AL.HS</v>
      </c>
      <c r="S13" s="17" t="str">
        <f t="shared" si="8"/>
        <v>e_SC.AL.HS</v>
      </c>
      <c r="T13" s="27" t="str">
        <f t="shared" si="9"/>
        <v>SC-7xx_{designazione o misure}</v>
      </c>
    </row>
    <row r="14" spans="1:20" x14ac:dyDescent="0.25">
      <c r="A14" s="11" t="s">
        <v>443</v>
      </c>
      <c r="B14" s="12" t="s">
        <v>100</v>
      </c>
      <c r="C14" s="13" t="str">
        <f t="shared" si="0"/>
        <v>e</v>
      </c>
      <c r="D14" s="14" t="s">
        <v>130</v>
      </c>
      <c r="E14" s="13" t="str">
        <f t="shared" si="1"/>
        <v>(I)</v>
      </c>
      <c r="F14" s="12" t="s">
        <v>238</v>
      </c>
      <c r="G14" s="13" t="str">
        <f t="shared" si="2"/>
        <v>SC</v>
      </c>
      <c r="H14" s="12" t="s">
        <v>123</v>
      </c>
      <c r="I14" s="13" t="str">
        <f t="shared" si="3"/>
        <v>ST</v>
      </c>
      <c r="J14" s="12" t="s">
        <v>246</v>
      </c>
      <c r="K14" s="13" t="str">
        <f t="shared" si="4"/>
        <v>IS</v>
      </c>
      <c r="L14" s="14"/>
      <c r="M14" s="13" t="str">
        <f t="shared" si="5"/>
        <v/>
      </c>
      <c r="N14" s="14"/>
      <c r="O14" s="13" t="str">
        <f t="shared" si="6"/>
        <v/>
      </c>
      <c r="P14" s="16"/>
      <c r="Q14" s="16"/>
      <c r="R14" s="13" t="str">
        <f t="shared" si="7"/>
        <v>SC.ST.IS</v>
      </c>
      <c r="S14" s="17" t="str">
        <f t="shared" si="8"/>
        <v>e_(I)SC.ST.IS</v>
      </c>
      <c r="T14" s="27" t="str">
        <f t="shared" si="9"/>
        <v>SC-3xx_{designazione o misure}</v>
      </c>
    </row>
    <row r="15" spans="1:20" x14ac:dyDescent="0.25">
      <c r="A15" s="18">
        <v>1</v>
      </c>
      <c r="B15" s="19"/>
      <c r="C15" s="20" t="str">
        <f t="shared" si="0"/>
        <v/>
      </c>
      <c r="D15" s="21"/>
      <c r="E15" s="20" t="str">
        <f t="shared" si="1"/>
        <v/>
      </c>
      <c r="F15" s="19"/>
      <c r="G15" s="20" t="str">
        <f t="shared" si="2"/>
        <v/>
      </c>
      <c r="H15" s="19"/>
      <c r="I15" s="20" t="str">
        <f t="shared" si="3"/>
        <v/>
      </c>
      <c r="J15" s="19"/>
      <c r="K15" s="20" t="str">
        <f t="shared" si="4"/>
        <v/>
      </c>
      <c r="L15" s="21"/>
      <c r="M15" s="20" t="str">
        <f t="shared" si="5"/>
        <v/>
      </c>
      <c r="N15" s="21"/>
      <c r="O15" s="20" t="str">
        <f t="shared" si="6"/>
        <v/>
      </c>
      <c r="P15" s="23"/>
      <c r="Q15" s="23"/>
      <c r="R15" s="20" t="str">
        <f t="shared" si="7"/>
        <v/>
      </c>
      <c r="S15" s="24" t="str">
        <f t="shared" si="8"/>
        <v/>
      </c>
      <c r="T15" s="28" t="str">
        <f t="shared" si="9"/>
        <v/>
      </c>
    </row>
    <row r="16" spans="1:20" x14ac:dyDescent="0.25">
      <c r="A16" s="18">
        <v>2</v>
      </c>
      <c r="B16" s="19"/>
      <c r="C16" s="20" t="str">
        <f t="shared" si="0"/>
        <v/>
      </c>
      <c r="D16" s="21"/>
      <c r="E16" s="20" t="str">
        <f t="shared" si="1"/>
        <v/>
      </c>
      <c r="F16" s="19"/>
      <c r="G16" s="20" t="str">
        <f t="shared" si="2"/>
        <v/>
      </c>
      <c r="H16" s="19"/>
      <c r="I16" s="20" t="str">
        <f t="shared" si="3"/>
        <v/>
      </c>
      <c r="J16" s="19"/>
      <c r="K16" s="20" t="str">
        <f t="shared" si="4"/>
        <v/>
      </c>
      <c r="L16" s="21"/>
      <c r="M16" s="20" t="str">
        <f t="shared" si="5"/>
        <v/>
      </c>
      <c r="N16" s="21"/>
      <c r="O16" s="20" t="str">
        <f t="shared" si="6"/>
        <v/>
      </c>
      <c r="P16" s="23"/>
      <c r="Q16" s="23"/>
      <c r="R16" s="20" t="str">
        <f t="shared" si="7"/>
        <v/>
      </c>
      <c r="S16" s="24" t="str">
        <f t="shared" si="8"/>
        <v/>
      </c>
      <c r="T16" s="28" t="str">
        <f t="shared" si="9"/>
        <v/>
      </c>
    </row>
    <row r="17" spans="1:20" x14ac:dyDescent="0.25">
      <c r="A17" s="18">
        <v>3</v>
      </c>
      <c r="B17" s="19"/>
      <c r="C17" s="20" t="str">
        <f t="shared" si="0"/>
        <v/>
      </c>
      <c r="D17" s="21"/>
      <c r="E17" s="20" t="str">
        <f t="shared" si="1"/>
        <v/>
      </c>
      <c r="F17" s="19"/>
      <c r="G17" s="20" t="str">
        <f t="shared" si="2"/>
        <v/>
      </c>
      <c r="H17" s="19"/>
      <c r="I17" s="20" t="str">
        <f t="shared" si="3"/>
        <v/>
      </c>
      <c r="J17" s="19"/>
      <c r="K17" s="20" t="str">
        <f t="shared" si="4"/>
        <v/>
      </c>
      <c r="L17" s="21"/>
      <c r="M17" s="20" t="str">
        <f t="shared" si="5"/>
        <v/>
      </c>
      <c r="N17" s="21"/>
      <c r="O17" s="20" t="str">
        <f t="shared" si="6"/>
        <v/>
      </c>
      <c r="P17" s="23"/>
      <c r="Q17" s="23"/>
      <c r="R17" s="20" t="str">
        <f t="shared" si="7"/>
        <v/>
      </c>
      <c r="S17" s="24" t="str">
        <f t="shared" si="8"/>
        <v/>
      </c>
      <c r="T17" s="28" t="str">
        <f t="shared" si="9"/>
        <v/>
      </c>
    </row>
    <row r="18" spans="1:20" x14ac:dyDescent="0.25">
      <c r="A18" s="18">
        <v>4</v>
      </c>
      <c r="B18" s="19"/>
      <c r="C18" s="20" t="str">
        <f t="shared" si="0"/>
        <v/>
      </c>
      <c r="D18" s="21"/>
      <c r="E18" s="20" t="str">
        <f t="shared" si="1"/>
        <v/>
      </c>
      <c r="F18" s="19"/>
      <c r="G18" s="20" t="str">
        <f t="shared" si="2"/>
        <v/>
      </c>
      <c r="H18" s="19"/>
      <c r="I18" s="20" t="str">
        <f t="shared" si="3"/>
        <v/>
      </c>
      <c r="J18" s="19"/>
      <c r="K18" s="20" t="str">
        <f t="shared" si="4"/>
        <v/>
      </c>
      <c r="L18" s="21"/>
      <c r="M18" s="20" t="str">
        <f t="shared" si="5"/>
        <v/>
      </c>
      <c r="N18" s="21"/>
      <c r="O18" s="20" t="str">
        <f t="shared" si="6"/>
        <v/>
      </c>
      <c r="P18" s="23"/>
      <c r="Q18" s="23"/>
      <c r="R18" s="20" t="str">
        <f t="shared" si="7"/>
        <v/>
      </c>
      <c r="S18" s="24" t="str">
        <f t="shared" si="8"/>
        <v/>
      </c>
      <c r="T18" s="28" t="str">
        <f t="shared" si="9"/>
        <v/>
      </c>
    </row>
    <row r="19" spans="1:20" x14ac:dyDescent="0.25">
      <c r="A19" s="18">
        <v>5</v>
      </c>
      <c r="B19" s="19"/>
      <c r="C19" s="20" t="str">
        <f t="shared" si="0"/>
        <v/>
      </c>
      <c r="D19" s="21"/>
      <c r="E19" s="20" t="str">
        <f t="shared" si="1"/>
        <v/>
      </c>
      <c r="F19" s="19"/>
      <c r="G19" s="20" t="str">
        <f t="shared" si="2"/>
        <v/>
      </c>
      <c r="H19" s="19"/>
      <c r="I19" s="20" t="str">
        <f t="shared" si="3"/>
        <v/>
      </c>
      <c r="J19" s="19"/>
      <c r="K19" s="20" t="str">
        <f t="shared" si="4"/>
        <v/>
      </c>
      <c r="L19" s="21"/>
      <c r="M19" s="20" t="str">
        <f t="shared" si="5"/>
        <v/>
      </c>
      <c r="N19" s="21"/>
      <c r="O19" s="20" t="str">
        <f t="shared" si="6"/>
        <v/>
      </c>
      <c r="P19" s="23"/>
      <c r="Q19" s="23"/>
      <c r="R19" s="20" t="str">
        <f t="shared" si="7"/>
        <v/>
      </c>
      <c r="S19" s="24" t="str">
        <f t="shared" si="8"/>
        <v/>
      </c>
      <c r="T19" s="28" t="str">
        <f t="shared" si="9"/>
        <v/>
      </c>
    </row>
    <row r="20" spans="1:20" x14ac:dyDescent="0.25">
      <c r="A20" s="18">
        <v>6</v>
      </c>
      <c r="B20" s="19"/>
      <c r="C20" s="20" t="str">
        <f t="shared" si="0"/>
        <v/>
      </c>
      <c r="D20" s="21"/>
      <c r="E20" s="20" t="str">
        <f t="shared" si="1"/>
        <v/>
      </c>
      <c r="F20" s="19"/>
      <c r="G20" s="20" t="str">
        <f t="shared" si="2"/>
        <v/>
      </c>
      <c r="H20" s="19"/>
      <c r="I20" s="20" t="str">
        <f t="shared" si="3"/>
        <v/>
      </c>
      <c r="J20" s="19"/>
      <c r="K20" s="20" t="str">
        <f t="shared" si="4"/>
        <v/>
      </c>
      <c r="L20" s="21"/>
      <c r="M20" s="20" t="str">
        <f t="shared" si="5"/>
        <v/>
      </c>
      <c r="N20" s="21"/>
      <c r="O20" s="20" t="str">
        <f t="shared" si="6"/>
        <v/>
      </c>
      <c r="P20" s="23"/>
      <c r="Q20" s="23"/>
      <c r="R20" s="20" t="str">
        <f t="shared" si="7"/>
        <v/>
      </c>
      <c r="S20" s="24" t="str">
        <f t="shared" si="8"/>
        <v/>
      </c>
      <c r="T20" s="28" t="str">
        <f t="shared" si="9"/>
        <v/>
      </c>
    </row>
    <row r="21" spans="1:20" x14ac:dyDescent="0.25">
      <c r="A21" s="18">
        <v>7</v>
      </c>
      <c r="B21" s="19"/>
      <c r="C21" s="20" t="str">
        <f t="shared" si="0"/>
        <v/>
      </c>
      <c r="D21" s="21"/>
      <c r="E21" s="20" t="str">
        <f t="shared" si="1"/>
        <v/>
      </c>
      <c r="F21" s="19"/>
      <c r="G21" s="20" t="str">
        <f t="shared" si="2"/>
        <v/>
      </c>
      <c r="H21" s="19"/>
      <c r="I21" s="20" t="str">
        <f t="shared" si="3"/>
        <v/>
      </c>
      <c r="J21" s="19"/>
      <c r="K21" s="20" t="str">
        <f t="shared" si="4"/>
        <v/>
      </c>
      <c r="L21" s="21"/>
      <c r="M21" s="20" t="str">
        <f t="shared" si="5"/>
        <v/>
      </c>
      <c r="N21" s="21"/>
      <c r="O21" s="20" t="str">
        <f t="shared" si="6"/>
        <v/>
      </c>
      <c r="P21" s="23"/>
      <c r="Q21" s="23"/>
      <c r="R21" s="20" t="str">
        <f t="shared" si="7"/>
        <v/>
      </c>
      <c r="S21" s="24" t="str">
        <f t="shared" si="8"/>
        <v/>
      </c>
      <c r="T21" s="28" t="str">
        <f t="shared" si="9"/>
        <v/>
      </c>
    </row>
    <row r="22" spans="1:20" x14ac:dyDescent="0.25">
      <c r="A22" s="18">
        <v>8</v>
      </c>
      <c r="B22" s="19"/>
      <c r="C22" s="20" t="str">
        <f t="shared" si="0"/>
        <v/>
      </c>
      <c r="D22" s="21"/>
      <c r="E22" s="20" t="str">
        <f t="shared" si="1"/>
        <v/>
      </c>
      <c r="F22" s="19"/>
      <c r="G22" s="20" t="str">
        <f t="shared" si="2"/>
        <v/>
      </c>
      <c r="H22" s="19"/>
      <c r="I22" s="20" t="str">
        <f t="shared" si="3"/>
        <v/>
      </c>
      <c r="J22" s="19"/>
      <c r="K22" s="20" t="str">
        <f t="shared" si="4"/>
        <v/>
      </c>
      <c r="L22" s="21"/>
      <c r="M22" s="20" t="str">
        <f t="shared" si="5"/>
        <v/>
      </c>
      <c r="N22" s="21"/>
      <c r="O22" s="20" t="str">
        <f t="shared" si="6"/>
        <v/>
      </c>
      <c r="P22" s="23"/>
      <c r="Q22" s="23"/>
      <c r="R22" s="20" t="str">
        <f t="shared" si="7"/>
        <v/>
      </c>
      <c r="S22" s="24" t="str">
        <f t="shared" si="8"/>
        <v/>
      </c>
      <c r="T22" s="28" t="str">
        <f t="shared" si="9"/>
        <v/>
      </c>
    </row>
    <row r="23" spans="1:20" x14ac:dyDescent="0.25">
      <c r="A23" s="18">
        <v>9</v>
      </c>
      <c r="B23" s="19"/>
      <c r="C23" s="20" t="str">
        <f t="shared" si="0"/>
        <v/>
      </c>
      <c r="D23" s="21"/>
      <c r="E23" s="20" t="str">
        <f t="shared" si="1"/>
        <v/>
      </c>
      <c r="F23" s="19"/>
      <c r="G23" s="20" t="str">
        <f t="shared" si="2"/>
        <v/>
      </c>
      <c r="H23" s="19"/>
      <c r="I23" s="20" t="str">
        <f t="shared" si="3"/>
        <v/>
      </c>
      <c r="J23" s="19"/>
      <c r="K23" s="20" t="str">
        <f t="shared" si="4"/>
        <v/>
      </c>
      <c r="L23" s="21"/>
      <c r="M23" s="20" t="str">
        <f t="shared" si="5"/>
        <v/>
      </c>
      <c r="N23" s="21"/>
      <c r="O23" s="20" t="str">
        <f t="shared" si="6"/>
        <v/>
      </c>
      <c r="P23" s="23"/>
      <c r="Q23" s="23"/>
      <c r="R23" s="20" t="str">
        <f t="shared" si="7"/>
        <v/>
      </c>
      <c r="S23" s="24" t="str">
        <f t="shared" si="8"/>
        <v/>
      </c>
      <c r="T23" s="28" t="str">
        <f t="shared" si="9"/>
        <v/>
      </c>
    </row>
    <row r="24" spans="1:20" x14ac:dyDescent="0.25">
      <c r="A24" s="18">
        <v>10</v>
      </c>
      <c r="B24" s="19"/>
      <c r="C24" s="20" t="str">
        <f t="shared" si="0"/>
        <v/>
      </c>
      <c r="D24" s="21"/>
      <c r="E24" s="20" t="str">
        <f t="shared" si="1"/>
        <v/>
      </c>
      <c r="F24" s="19"/>
      <c r="G24" s="20" t="str">
        <f t="shared" si="2"/>
        <v/>
      </c>
      <c r="H24" s="19"/>
      <c r="I24" s="20" t="str">
        <f t="shared" si="3"/>
        <v/>
      </c>
      <c r="J24" s="19"/>
      <c r="K24" s="20" t="str">
        <f t="shared" si="4"/>
        <v/>
      </c>
      <c r="L24" s="21"/>
      <c r="M24" s="20" t="str">
        <f t="shared" si="5"/>
        <v/>
      </c>
      <c r="N24" s="21"/>
      <c r="O24" s="20" t="str">
        <f t="shared" si="6"/>
        <v/>
      </c>
      <c r="P24" s="23"/>
      <c r="Q24" s="23"/>
      <c r="R24" s="20" t="str">
        <f t="shared" si="7"/>
        <v/>
      </c>
      <c r="S24" s="24" t="str">
        <f t="shared" si="8"/>
        <v/>
      </c>
      <c r="T24" s="28" t="str">
        <f t="shared" si="9"/>
        <v/>
      </c>
    </row>
    <row r="25" spans="1:20" x14ac:dyDescent="0.25">
      <c r="A25" s="18">
        <v>11</v>
      </c>
      <c r="B25" s="19"/>
      <c r="C25" s="20" t="str">
        <f t="shared" si="0"/>
        <v/>
      </c>
      <c r="D25" s="21"/>
      <c r="E25" s="20" t="str">
        <f t="shared" si="1"/>
        <v/>
      </c>
      <c r="F25" s="19"/>
      <c r="G25" s="20" t="str">
        <f t="shared" si="2"/>
        <v/>
      </c>
      <c r="H25" s="19"/>
      <c r="I25" s="20" t="str">
        <f t="shared" si="3"/>
        <v/>
      </c>
      <c r="J25" s="19"/>
      <c r="K25" s="20" t="str">
        <f t="shared" si="4"/>
        <v/>
      </c>
      <c r="L25" s="21"/>
      <c r="M25" s="20" t="str">
        <f t="shared" si="5"/>
        <v/>
      </c>
      <c r="N25" s="21"/>
      <c r="O25" s="20" t="str">
        <f t="shared" si="6"/>
        <v/>
      </c>
      <c r="P25" s="23"/>
      <c r="Q25" s="23"/>
      <c r="R25" s="20" t="str">
        <f t="shared" si="7"/>
        <v/>
      </c>
      <c r="S25" s="24" t="str">
        <f t="shared" si="8"/>
        <v/>
      </c>
      <c r="T25" s="28" t="str">
        <f t="shared" si="9"/>
        <v/>
      </c>
    </row>
    <row r="26" spans="1:20" x14ac:dyDescent="0.25">
      <c r="A26" s="18">
        <v>12</v>
      </c>
      <c r="B26" s="19"/>
      <c r="C26" s="20" t="str">
        <f t="shared" si="0"/>
        <v/>
      </c>
      <c r="D26" s="21"/>
      <c r="E26" s="20" t="str">
        <f t="shared" si="1"/>
        <v/>
      </c>
      <c r="F26" s="19"/>
      <c r="G26" s="20" t="str">
        <f t="shared" si="2"/>
        <v/>
      </c>
      <c r="H26" s="19"/>
      <c r="I26" s="20" t="str">
        <f t="shared" si="3"/>
        <v/>
      </c>
      <c r="J26" s="19"/>
      <c r="K26" s="20" t="str">
        <f t="shared" si="4"/>
        <v/>
      </c>
      <c r="L26" s="21"/>
      <c r="M26" s="20" t="str">
        <f t="shared" si="5"/>
        <v/>
      </c>
      <c r="N26" s="21"/>
      <c r="O26" s="20" t="str">
        <f t="shared" si="6"/>
        <v/>
      </c>
      <c r="P26" s="23"/>
      <c r="Q26" s="23"/>
      <c r="R26" s="20" t="str">
        <f t="shared" si="7"/>
        <v/>
      </c>
      <c r="S26" s="24" t="str">
        <f t="shared" si="8"/>
        <v/>
      </c>
      <c r="T26" s="28" t="str">
        <f t="shared" si="9"/>
        <v/>
      </c>
    </row>
    <row r="27" spans="1:20" x14ac:dyDescent="0.25">
      <c r="A27" s="18">
        <v>13</v>
      </c>
      <c r="B27" s="19"/>
      <c r="C27" s="20" t="str">
        <f t="shared" si="0"/>
        <v/>
      </c>
      <c r="D27" s="21"/>
      <c r="E27" s="20" t="str">
        <f t="shared" si="1"/>
        <v/>
      </c>
      <c r="F27" s="19"/>
      <c r="G27" s="20" t="str">
        <f t="shared" si="2"/>
        <v/>
      </c>
      <c r="H27" s="19"/>
      <c r="I27" s="20" t="str">
        <f t="shared" si="3"/>
        <v/>
      </c>
      <c r="J27" s="19"/>
      <c r="K27" s="20" t="str">
        <f t="shared" si="4"/>
        <v/>
      </c>
      <c r="L27" s="21"/>
      <c r="M27" s="20" t="str">
        <f t="shared" si="5"/>
        <v/>
      </c>
      <c r="N27" s="21"/>
      <c r="O27" s="20" t="str">
        <f t="shared" si="6"/>
        <v/>
      </c>
      <c r="P27" s="23"/>
      <c r="Q27" s="23"/>
      <c r="R27" s="20" t="str">
        <f t="shared" si="7"/>
        <v/>
      </c>
      <c r="S27" s="24" t="str">
        <f t="shared" si="8"/>
        <v/>
      </c>
      <c r="T27" s="28" t="str">
        <f t="shared" si="9"/>
        <v/>
      </c>
    </row>
    <row r="28" spans="1:20" x14ac:dyDescent="0.25">
      <c r="A28" s="18">
        <v>14</v>
      </c>
      <c r="B28" s="19"/>
      <c r="C28" s="20" t="str">
        <f t="shared" si="0"/>
        <v/>
      </c>
      <c r="D28" s="21"/>
      <c r="E28" s="20" t="str">
        <f t="shared" si="1"/>
        <v/>
      </c>
      <c r="F28" s="19"/>
      <c r="G28" s="20" t="str">
        <f t="shared" si="2"/>
        <v/>
      </c>
      <c r="H28" s="19"/>
      <c r="I28" s="20" t="str">
        <f t="shared" si="3"/>
        <v/>
      </c>
      <c r="J28" s="19"/>
      <c r="K28" s="20" t="str">
        <f t="shared" si="4"/>
        <v/>
      </c>
      <c r="L28" s="21"/>
      <c r="M28" s="20" t="str">
        <f t="shared" si="5"/>
        <v/>
      </c>
      <c r="N28" s="21"/>
      <c r="O28" s="20" t="str">
        <f t="shared" si="6"/>
        <v/>
      </c>
      <c r="P28" s="23"/>
      <c r="Q28" s="23"/>
      <c r="R28" s="20" t="str">
        <f t="shared" si="7"/>
        <v/>
      </c>
      <c r="S28" s="24" t="str">
        <f t="shared" si="8"/>
        <v/>
      </c>
      <c r="T28" s="28" t="str">
        <f t="shared" si="9"/>
        <v/>
      </c>
    </row>
    <row r="29" spans="1:20" x14ac:dyDescent="0.25">
      <c r="A29" s="18">
        <v>15</v>
      </c>
      <c r="B29" s="19"/>
      <c r="C29" s="20" t="str">
        <f t="shared" si="0"/>
        <v/>
      </c>
      <c r="D29" s="21"/>
      <c r="E29" s="20" t="str">
        <f t="shared" si="1"/>
        <v/>
      </c>
      <c r="F29" s="19"/>
      <c r="G29" s="20" t="str">
        <f t="shared" si="2"/>
        <v/>
      </c>
      <c r="H29" s="19"/>
      <c r="I29" s="20" t="str">
        <f t="shared" si="3"/>
        <v/>
      </c>
      <c r="J29" s="19"/>
      <c r="K29" s="20" t="str">
        <f t="shared" si="4"/>
        <v/>
      </c>
      <c r="L29" s="21"/>
      <c r="M29" s="20" t="str">
        <f t="shared" si="5"/>
        <v/>
      </c>
      <c r="N29" s="21"/>
      <c r="O29" s="20" t="str">
        <f t="shared" si="6"/>
        <v/>
      </c>
      <c r="P29" s="23"/>
      <c r="Q29" s="23"/>
      <c r="R29" s="20" t="str">
        <f t="shared" si="7"/>
        <v/>
      </c>
      <c r="S29" s="24" t="str">
        <f t="shared" si="8"/>
        <v/>
      </c>
      <c r="T29" s="28" t="str">
        <f t="shared" si="9"/>
        <v/>
      </c>
    </row>
    <row r="32" spans="1:20" ht="21.95" customHeight="1" x14ac:dyDescent="0.25">
      <c r="A32" s="44" t="s">
        <v>422</v>
      </c>
      <c r="B32" s="45"/>
      <c r="C32" s="45"/>
      <c r="D32" s="45"/>
      <c r="E32" s="45"/>
      <c r="F32" s="45"/>
      <c r="G32" s="45"/>
      <c r="H32" s="45"/>
      <c r="I32" s="45"/>
      <c r="J32" s="45"/>
      <c r="K32" s="45"/>
      <c r="L32" s="45"/>
      <c r="M32" s="45"/>
      <c r="N32" s="45"/>
      <c r="O32" s="45"/>
      <c r="P32" s="45"/>
      <c r="Q32" s="45"/>
      <c r="R32" s="45"/>
      <c r="S32" s="45"/>
      <c r="T32" s="45"/>
    </row>
    <row r="34" spans="1:20" ht="24" customHeight="1" x14ac:dyDescent="0.25">
      <c r="A34" s="46" t="s">
        <v>444</v>
      </c>
      <c r="B34" s="35"/>
      <c r="C34" s="35"/>
      <c r="D34" s="35"/>
      <c r="E34" s="35"/>
      <c r="F34" s="35"/>
      <c r="G34" s="35"/>
      <c r="H34" s="35"/>
      <c r="I34" s="35"/>
      <c r="J34" s="35"/>
      <c r="K34" s="35"/>
      <c r="L34" s="35"/>
      <c r="M34" s="35"/>
      <c r="N34" s="35"/>
      <c r="O34" s="35"/>
      <c r="P34" s="35"/>
      <c r="Q34" s="35"/>
      <c r="R34" s="35"/>
      <c r="S34" s="35"/>
      <c r="T34" s="35"/>
    </row>
    <row r="35" spans="1:20" ht="36" customHeight="1" x14ac:dyDescent="0.25">
      <c r="A35" s="42" t="s">
        <v>424</v>
      </c>
      <c r="B35" s="35"/>
      <c r="C35" s="35"/>
      <c r="D35" s="35"/>
      <c r="E35" s="35"/>
      <c r="F35" s="35"/>
      <c r="G35" s="35"/>
      <c r="H35" s="35"/>
      <c r="I35" s="35"/>
      <c r="J35" s="35"/>
      <c r="K35" s="35"/>
      <c r="L35" s="35"/>
      <c r="M35" s="35"/>
      <c r="N35" s="35"/>
      <c r="O35" s="35"/>
      <c r="P35" s="35"/>
      <c r="Q35" s="35"/>
      <c r="R35" s="35"/>
      <c r="S35" s="35"/>
      <c r="T35" s="35"/>
    </row>
    <row r="37" spans="1:20" ht="18" customHeight="1" x14ac:dyDescent="0.25">
      <c r="A37" s="41" t="s">
        <v>425</v>
      </c>
      <c r="B37" s="35"/>
      <c r="C37" s="35"/>
      <c r="D37" s="35"/>
      <c r="E37" s="35"/>
      <c r="F37" s="35"/>
      <c r="G37" s="35"/>
      <c r="H37" s="35"/>
      <c r="I37" s="35"/>
      <c r="J37" s="35"/>
      <c r="K37" s="35"/>
      <c r="L37" s="35"/>
      <c r="M37" s="35"/>
      <c r="N37" s="35"/>
      <c r="O37" s="35"/>
      <c r="P37" s="35"/>
      <c r="Q37" s="35"/>
      <c r="R37" s="35"/>
      <c r="S37" s="35"/>
      <c r="T37" s="35"/>
    </row>
    <row r="38" spans="1:20" ht="21" customHeight="1" x14ac:dyDescent="0.25">
      <c r="A38" s="42" t="s">
        <v>426</v>
      </c>
      <c r="B38" s="35"/>
      <c r="C38" s="35"/>
      <c r="D38" s="35"/>
      <c r="E38" s="35"/>
      <c r="F38" s="35"/>
      <c r="G38" s="35"/>
      <c r="H38" s="35"/>
      <c r="I38" s="35"/>
      <c r="J38" s="35"/>
      <c r="K38" s="35"/>
      <c r="L38" s="35"/>
      <c r="M38" s="35"/>
      <c r="N38" s="35"/>
      <c r="O38" s="35"/>
      <c r="P38" s="35"/>
      <c r="Q38" s="35"/>
      <c r="R38" s="35"/>
      <c r="S38" s="35"/>
      <c r="T38" s="35"/>
    </row>
    <row r="40" spans="1:20" ht="18" customHeight="1" x14ac:dyDescent="0.25">
      <c r="A40" s="41" t="s">
        <v>427</v>
      </c>
      <c r="B40" s="35"/>
      <c r="C40" s="35"/>
      <c r="D40" s="35"/>
      <c r="E40" s="35"/>
      <c r="F40" s="35"/>
      <c r="G40" s="35"/>
      <c r="H40" s="35"/>
      <c r="I40" s="35"/>
      <c r="J40" s="35"/>
      <c r="K40" s="35"/>
      <c r="L40" s="35"/>
      <c r="M40" s="35"/>
      <c r="N40" s="35"/>
      <c r="O40" s="35"/>
      <c r="P40" s="35"/>
      <c r="Q40" s="35"/>
      <c r="R40" s="35"/>
      <c r="S40" s="35"/>
      <c r="T40" s="35"/>
    </row>
    <row r="41" spans="1:20" ht="36" customHeight="1" x14ac:dyDescent="0.25">
      <c r="A41" s="42" t="s">
        <v>428</v>
      </c>
      <c r="B41" s="35"/>
      <c r="C41" s="35"/>
      <c r="D41" s="35"/>
      <c r="E41" s="35"/>
      <c r="F41" s="35"/>
      <c r="G41" s="35"/>
      <c r="H41" s="35"/>
      <c r="I41" s="35"/>
      <c r="J41" s="35"/>
      <c r="K41" s="35"/>
      <c r="L41" s="35"/>
      <c r="M41" s="35"/>
      <c r="N41" s="35"/>
      <c r="O41" s="35"/>
      <c r="P41" s="35"/>
      <c r="Q41" s="35"/>
      <c r="R41" s="35"/>
      <c r="S41" s="35"/>
      <c r="T41" s="35"/>
    </row>
    <row r="44" spans="1:20" ht="21.95" customHeight="1" x14ac:dyDescent="0.25">
      <c r="A44" s="44" t="s">
        <v>445</v>
      </c>
      <c r="B44" s="45"/>
      <c r="C44" s="45"/>
      <c r="D44" s="45"/>
      <c r="E44" s="45"/>
      <c r="F44" s="45"/>
      <c r="G44" s="45"/>
      <c r="H44" s="45"/>
      <c r="I44" s="45"/>
      <c r="J44" s="45"/>
      <c r="K44" s="45"/>
      <c r="L44" s="45"/>
      <c r="M44" s="45"/>
      <c r="N44" s="45"/>
      <c r="O44" s="45"/>
      <c r="P44" s="45"/>
      <c r="Q44" s="45"/>
      <c r="R44" s="45"/>
      <c r="S44" s="45"/>
      <c r="T44" s="45"/>
    </row>
    <row r="45" spans="1:20" ht="15.95" customHeight="1" x14ac:dyDescent="0.25">
      <c r="A45" s="43" t="s">
        <v>430</v>
      </c>
      <c r="B45" s="35"/>
      <c r="C45" s="35"/>
      <c r="D45" s="35"/>
      <c r="E45" s="35"/>
      <c r="F45" s="35"/>
      <c r="G45" s="35"/>
      <c r="H45" s="35"/>
      <c r="I45" s="35"/>
      <c r="J45" s="35"/>
      <c r="K45" s="35"/>
      <c r="L45" s="35"/>
      <c r="M45" s="35"/>
      <c r="N45" s="35"/>
      <c r="O45" s="35"/>
      <c r="P45" s="35"/>
      <c r="Q45" s="35"/>
      <c r="R45" s="35"/>
      <c r="S45" s="35"/>
      <c r="T45" s="35"/>
    </row>
    <row r="47" spans="1:20" ht="18" customHeight="1" x14ac:dyDescent="0.25">
      <c r="A47" s="41" t="s">
        <v>446</v>
      </c>
      <c r="B47" s="35"/>
      <c r="C47" s="35"/>
      <c r="D47" s="35"/>
      <c r="E47" s="35"/>
      <c r="F47" s="35"/>
      <c r="G47" s="35"/>
      <c r="H47" s="35"/>
      <c r="I47" s="35"/>
      <c r="J47" s="35"/>
      <c r="K47" s="35"/>
      <c r="L47" s="35"/>
      <c r="M47" s="35"/>
      <c r="N47" s="35"/>
      <c r="O47" s="35"/>
      <c r="P47" s="35"/>
      <c r="Q47" s="35"/>
      <c r="R47" s="35"/>
      <c r="S47" s="35"/>
      <c r="T47" s="35"/>
    </row>
    <row r="48" spans="1:20" ht="21" customHeight="1" x14ac:dyDescent="0.25">
      <c r="A48" s="42" t="s">
        <v>447</v>
      </c>
      <c r="B48" s="35"/>
      <c r="C48" s="35"/>
      <c r="D48" s="35"/>
      <c r="E48" s="35"/>
      <c r="F48" s="35"/>
      <c r="G48" s="35"/>
      <c r="H48" s="35"/>
      <c r="I48" s="35"/>
      <c r="J48" s="35"/>
      <c r="K48" s="35"/>
      <c r="L48" s="35"/>
      <c r="M48" s="35"/>
      <c r="N48" s="35"/>
      <c r="O48" s="35"/>
      <c r="P48" s="35"/>
      <c r="Q48" s="35"/>
      <c r="R48" s="35"/>
      <c r="S48" s="35"/>
      <c r="T48" s="35"/>
    </row>
    <row r="49" spans="1:20" ht="6" customHeight="1" x14ac:dyDescent="0.25"/>
    <row r="50" spans="1:20" ht="18" customHeight="1" x14ac:dyDescent="0.25">
      <c r="A50" s="41" t="s">
        <v>448</v>
      </c>
      <c r="B50" s="35"/>
      <c r="C50" s="35"/>
      <c r="D50" s="35"/>
      <c r="E50" s="35"/>
      <c r="F50" s="35"/>
      <c r="G50" s="35"/>
      <c r="H50" s="35"/>
      <c r="I50" s="35"/>
      <c r="J50" s="35"/>
      <c r="K50" s="35"/>
      <c r="L50" s="35"/>
      <c r="M50" s="35"/>
      <c r="N50" s="35"/>
      <c r="O50" s="35"/>
      <c r="P50" s="35"/>
      <c r="Q50" s="35"/>
      <c r="R50" s="35"/>
      <c r="S50" s="35"/>
      <c r="T50" s="35"/>
    </row>
    <row r="51" spans="1:20" ht="21" customHeight="1" x14ac:dyDescent="0.25">
      <c r="A51" s="42" t="s">
        <v>449</v>
      </c>
      <c r="B51" s="35"/>
      <c r="C51" s="35"/>
      <c r="D51" s="35"/>
      <c r="E51" s="35"/>
      <c r="F51" s="35"/>
      <c r="G51" s="35"/>
      <c r="H51" s="35"/>
      <c r="I51" s="35"/>
      <c r="J51" s="35"/>
      <c r="K51" s="35"/>
      <c r="L51" s="35"/>
      <c r="M51" s="35"/>
      <c r="N51" s="35"/>
      <c r="O51" s="35"/>
      <c r="P51" s="35"/>
      <c r="Q51" s="35"/>
      <c r="R51" s="35"/>
      <c r="S51" s="35"/>
      <c r="T51" s="35"/>
    </row>
    <row r="52" spans="1:20" ht="6" customHeight="1" x14ac:dyDescent="0.25"/>
    <row r="53" spans="1:20" ht="18" customHeight="1" x14ac:dyDescent="0.25">
      <c r="A53" s="41" t="s">
        <v>450</v>
      </c>
      <c r="B53" s="35"/>
      <c r="C53" s="35"/>
      <c r="D53" s="35"/>
      <c r="E53" s="35"/>
      <c r="F53" s="35"/>
      <c r="G53" s="35"/>
      <c r="H53" s="35"/>
      <c r="I53" s="35"/>
      <c r="J53" s="35"/>
      <c r="K53" s="35"/>
      <c r="L53" s="35"/>
      <c r="M53" s="35"/>
      <c r="N53" s="35"/>
      <c r="O53" s="35"/>
      <c r="P53" s="35"/>
      <c r="Q53" s="35"/>
      <c r="R53" s="35"/>
      <c r="S53" s="35"/>
      <c r="T53" s="35"/>
    </row>
    <row r="54" spans="1:20" ht="21" customHeight="1" x14ac:dyDescent="0.25">
      <c r="A54" s="42" t="s">
        <v>451</v>
      </c>
      <c r="B54" s="35"/>
      <c r="C54" s="35"/>
      <c r="D54" s="35"/>
      <c r="E54" s="35"/>
      <c r="F54" s="35"/>
      <c r="G54" s="35"/>
      <c r="H54" s="35"/>
      <c r="I54" s="35"/>
      <c r="J54" s="35"/>
      <c r="K54" s="35"/>
      <c r="L54" s="35"/>
      <c r="M54" s="35"/>
      <c r="N54" s="35"/>
      <c r="O54" s="35"/>
      <c r="P54" s="35"/>
      <c r="Q54" s="35"/>
      <c r="R54" s="35"/>
      <c r="S54" s="35"/>
      <c r="T54" s="35"/>
    </row>
    <row r="55" spans="1:20" ht="6" customHeight="1" x14ac:dyDescent="0.25"/>
    <row r="56" spans="1:20" ht="18" customHeight="1" x14ac:dyDescent="0.25">
      <c r="A56" s="41" t="s">
        <v>452</v>
      </c>
      <c r="B56" s="35"/>
      <c r="C56" s="35"/>
      <c r="D56" s="35"/>
      <c r="E56" s="35"/>
      <c r="F56" s="35"/>
      <c r="G56" s="35"/>
      <c r="H56" s="35"/>
      <c r="I56" s="35"/>
      <c r="J56" s="35"/>
      <c r="K56" s="35"/>
      <c r="L56" s="35"/>
      <c r="M56" s="35"/>
      <c r="N56" s="35"/>
      <c r="O56" s="35"/>
      <c r="P56" s="35"/>
      <c r="Q56" s="35"/>
      <c r="R56" s="35"/>
      <c r="S56" s="35"/>
      <c r="T56" s="35"/>
    </row>
    <row r="57" spans="1:20" ht="21" customHeight="1" x14ac:dyDescent="0.25">
      <c r="A57" s="42" t="s">
        <v>453</v>
      </c>
      <c r="B57" s="35"/>
      <c r="C57" s="35"/>
      <c r="D57" s="35"/>
      <c r="E57" s="35"/>
      <c r="F57" s="35"/>
      <c r="G57" s="35"/>
      <c r="H57" s="35"/>
      <c r="I57" s="35"/>
      <c r="J57" s="35"/>
      <c r="K57" s="35"/>
      <c r="L57" s="35"/>
      <c r="M57" s="35"/>
      <c r="N57" s="35"/>
      <c r="O57" s="35"/>
      <c r="P57" s="35"/>
      <c r="Q57" s="35"/>
      <c r="R57" s="35"/>
      <c r="S57" s="35"/>
      <c r="T57" s="35"/>
    </row>
    <row r="58" spans="1:20" ht="6" customHeight="1" x14ac:dyDescent="0.25"/>
    <row r="59" spans="1:20" ht="18" customHeight="1" x14ac:dyDescent="0.25">
      <c r="A59" s="41" t="s">
        <v>388</v>
      </c>
      <c r="B59" s="35"/>
      <c r="C59" s="35"/>
      <c r="D59" s="35"/>
      <c r="E59" s="35"/>
      <c r="F59" s="35"/>
      <c r="G59" s="35"/>
      <c r="H59" s="35"/>
      <c r="I59" s="35"/>
      <c r="J59" s="35"/>
      <c r="K59" s="35"/>
      <c r="L59" s="35"/>
      <c r="M59" s="35"/>
      <c r="N59" s="35"/>
      <c r="O59" s="35"/>
      <c r="P59" s="35"/>
      <c r="Q59" s="35"/>
      <c r="R59" s="35"/>
      <c r="S59" s="35"/>
      <c r="T59" s="35"/>
    </row>
    <row r="60" spans="1:20" ht="51" customHeight="1" x14ac:dyDescent="0.25">
      <c r="A60" s="42" t="s">
        <v>389</v>
      </c>
      <c r="B60" s="35"/>
      <c r="C60" s="35"/>
      <c r="D60" s="35"/>
      <c r="E60" s="35"/>
      <c r="F60" s="35"/>
      <c r="G60" s="35"/>
      <c r="H60" s="35"/>
      <c r="I60" s="35"/>
      <c r="J60" s="35"/>
      <c r="K60" s="35"/>
      <c r="L60" s="35"/>
      <c r="M60" s="35"/>
      <c r="N60" s="35"/>
      <c r="O60" s="35"/>
      <c r="P60" s="35"/>
      <c r="Q60" s="35"/>
      <c r="R60" s="35"/>
      <c r="S60" s="35"/>
      <c r="T60" s="35"/>
    </row>
    <row r="61" spans="1:20" ht="6" customHeight="1" x14ac:dyDescent="0.25"/>
    <row r="64" spans="1:20" ht="21.95" customHeight="1" x14ac:dyDescent="0.25">
      <c r="A64" s="44" t="s">
        <v>390</v>
      </c>
      <c r="B64" s="45"/>
      <c r="C64" s="45"/>
      <c r="D64" s="45"/>
      <c r="E64" s="45"/>
      <c r="F64" s="45"/>
      <c r="G64" s="45"/>
      <c r="H64" s="45"/>
      <c r="I64" s="45"/>
      <c r="J64" s="45"/>
      <c r="K64" s="45"/>
      <c r="L64" s="45"/>
      <c r="M64" s="45"/>
      <c r="N64" s="45"/>
      <c r="O64" s="45"/>
      <c r="P64" s="45"/>
      <c r="Q64" s="45"/>
      <c r="R64" s="45"/>
      <c r="S64" s="45"/>
      <c r="T64" s="45"/>
    </row>
    <row r="66" spans="1:20" ht="18" customHeight="1" x14ac:dyDescent="0.25">
      <c r="A66" s="41" t="s">
        <v>91</v>
      </c>
      <c r="B66" s="35"/>
      <c r="C66" s="35"/>
      <c r="D66" s="35"/>
      <c r="E66" s="35"/>
      <c r="F66" s="35"/>
      <c r="G66" s="35"/>
      <c r="H66" s="35"/>
      <c r="I66" s="35"/>
      <c r="J66" s="35"/>
      <c r="K66" s="35"/>
      <c r="L66" s="35"/>
      <c r="M66" s="35"/>
      <c r="N66" s="35"/>
      <c r="O66" s="35"/>
      <c r="P66" s="35"/>
      <c r="Q66" s="35"/>
      <c r="R66" s="35"/>
      <c r="S66" s="35"/>
      <c r="T66" s="35"/>
    </row>
    <row r="67" spans="1:20" ht="21" customHeight="1" x14ac:dyDescent="0.25">
      <c r="A67" s="42" t="s">
        <v>391</v>
      </c>
      <c r="B67" s="35"/>
      <c r="C67" s="35"/>
      <c r="D67" s="35"/>
      <c r="E67" s="35"/>
      <c r="F67" s="35"/>
      <c r="G67" s="35"/>
      <c r="H67" s="35"/>
      <c r="I67" s="35"/>
      <c r="J67" s="35"/>
      <c r="K67" s="35"/>
      <c r="L67" s="35"/>
      <c r="M67" s="35"/>
      <c r="N67" s="35"/>
      <c r="O67" s="35"/>
      <c r="P67" s="35"/>
      <c r="Q67" s="35"/>
      <c r="R67" s="35"/>
      <c r="S67" s="35"/>
      <c r="T67" s="35"/>
    </row>
    <row r="68" spans="1:20" ht="6" customHeight="1" x14ac:dyDescent="0.25"/>
    <row r="69" spans="1:20" ht="18" customHeight="1" x14ac:dyDescent="0.25">
      <c r="A69" s="41" t="s">
        <v>130</v>
      </c>
      <c r="B69" s="35"/>
      <c r="C69" s="35"/>
      <c r="D69" s="35"/>
      <c r="E69" s="35"/>
      <c r="F69" s="35"/>
      <c r="G69" s="35"/>
      <c r="H69" s="35"/>
      <c r="I69" s="35"/>
      <c r="J69" s="35"/>
      <c r="K69" s="35"/>
      <c r="L69" s="35"/>
      <c r="M69" s="35"/>
      <c r="N69" s="35"/>
      <c r="O69" s="35"/>
      <c r="P69" s="35"/>
      <c r="Q69" s="35"/>
      <c r="R69" s="35"/>
      <c r="S69" s="35"/>
      <c r="T69" s="35"/>
    </row>
    <row r="70" spans="1:20" ht="36" customHeight="1" x14ac:dyDescent="0.25">
      <c r="A70" s="42" t="s">
        <v>392</v>
      </c>
      <c r="B70" s="35"/>
      <c r="C70" s="35"/>
      <c r="D70" s="35"/>
      <c r="E70" s="35"/>
      <c r="F70" s="35"/>
      <c r="G70" s="35"/>
      <c r="H70" s="35"/>
      <c r="I70" s="35"/>
      <c r="J70" s="35"/>
      <c r="K70" s="35"/>
      <c r="L70" s="35"/>
      <c r="M70" s="35"/>
      <c r="N70" s="35"/>
      <c r="O70" s="35"/>
      <c r="P70" s="35"/>
      <c r="Q70" s="35"/>
      <c r="R70" s="35"/>
      <c r="S70" s="35"/>
      <c r="T70" s="35"/>
    </row>
    <row r="71" spans="1:20" ht="6" customHeight="1" x14ac:dyDescent="0.25"/>
    <row r="72" spans="1:20" ht="18" customHeight="1" x14ac:dyDescent="0.25">
      <c r="A72" s="41" t="s">
        <v>355</v>
      </c>
      <c r="B72" s="35"/>
      <c r="C72" s="35"/>
      <c r="D72" s="35"/>
      <c r="E72" s="35"/>
      <c r="F72" s="35"/>
      <c r="G72" s="35"/>
      <c r="H72" s="35"/>
      <c r="I72" s="35"/>
      <c r="J72" s="35"/>
      <c r="K72" s="35"/>
      <c r="L72" s="35"/>
      <c r="M72" s="35"/>
      <c r="N72" s="35"/>
      <c r="O72" s="35"/>
      <c r="P72" s="35"/>
      <c r="Q72" s="35"/>
      <c r="R72" s="35"/>
      <c r="S72" s="35"/>
      <c r="T72" s="35"/>
    </row>
    <row r="73" spans="1:20" ht="21" customHeight="1" x14ac:dyDescent="0.25">
      <c r="A73" s="42" t="s">
        <v>393</v>
      </c>
      <c r="B73" s="35"/>
      <c r="C73" s="35"/>
      <c r="D73" s="35"/>
      <c r="E73" s="35"/>
      <c r="F73" s="35"/>
      <c r="G73" s="35"/>
      <c r="H73" s="35"/>
      <c r="I73" s="35"/>
      <c r="J73" s="35"/>
      <c r="K73" s="35"/>
      <c r="L73" s="35"/>
      <c r="M73" s="35"/>
      <c r="N73" s="35"/>
      <c r="O73" s="35"/>
      <c r="P73" s="35"/>
      <c r="Q73" s="35"/>
      <c r="R73" s="35"/>
      <c r="S73" s="35"/>
      <c r="T73" s="35"/>
    </row>
    <row r="74" spans="1:20" ht="6" customHeight="1" x14ac:dyDescent="0.25"/>
    <row r="75" spans="1:20" ht="18" customHeight="1" x14ac:dyDescent="0.25">
      <c r="A75" s="41" t="s">
        <v>357</v>
      </c>
      <c r="B75" s="35"/>
      <c r="C75" s="35"/>
      <c r="D75" s="35"/>
      <c r="E75" s="35"/>
      <c r="F75" s="35"/>
      <c r="G75" s="35"/>
      <c r="H75" s="35"/>
      <c r="I75" s="35"/>
      <c r="J75" s="35"/>
      <c r="K75" s="35"/>
      <c r="L75" s="35"/>
      <c r="M75" s="35"/>
      <c r="N75" s="35"/>
      <c r="O75" s="35"/>
      <c r="P75" s="35"/>
      <c r="Q75" s="35"/>
      <c r="R75" s="35"/>
      <c r="S75" s="35"/>
      <c r="T75" s="35"/>
    </row>
    <row r="76" spans="1:20" ht="36" customHeight="1" x14ac:dyDescent="0.25">
      <c r="A76" s="42" t="s">
        <v>394</v>
      </c>
      <c r="B76" s="35"/>
      <c r="C76" s="35"/>
      <c r="D76" s="35"/>
      <c r="E76" s="35"/>
      <c r="F76" s="35"/>
      <c r="G76" s="35"/>
      <c r="H76" s="35"/>
      <c r="I76" s="35"/>
      <c r="J76" s="35"/>
      <c r="K76" s="35"/>
      <c r="L76" s="35"/>
      <c r="M76" s="35"/>
      <c r="N76" s="35"/>
      <c r="O76" s="35"/>
      <c r="P76" s="35"/>
      <c r="Q76" s="35"/>
      <c r="R76" s="35"/>
      <c r="S76" s="35"/>
      <c r="T76" s="35"/>
    </row>
    <row r="77" spans="1:20" ht="6" customHeight="1" x14ac:dyDescent="0.25"/>
    <row r="78" spans="1:20" ht="18" customHeight="1" x14ac:dyDescent="0.25">
      <c r="A78" s="41" t="s">
        <v>360</v>
      </c>
      <c r="B78" s="35"/>
      <c r="C78" s="35"/>
      <c r="D78" s="35"/>
      <c r="E78" s="35"/>
      <c r="F78" s="35"/>
      <c r="G78" s="35"/>
      <c r="H78" s="35"/>
      <c r="I78" s="35"/>
      <c r="J78" s="35"/>
      <c r="K78" s="35"/>
      <c r="L78" s="35"/>
      <c r="M78" s="35"/>
      <c r="N78" s="35"/>
      <c r="O78" s="35"/>
      <c r="P78" s="35"/>
      <c r="Q78" s="35"/>
      <c r="R78" s="35"/>
      <c r="S78" s="35"/>
      <c r="T78" s="35"/>
    </row>
    <row r="79" spans="1:20" ht="21" customHeight="1" x14ac:dyDescent="0.25">
      <c r="A79" s="42" t="s">
        <v>454</v>
      </c>
      <c r="B79" s="35"/>
      <c r="C79" s="35"/>
      <c r="D79" s="35"/>
      <c r="E79" s="35"/>
      <c r="F79" s="35"/>
      <c r="G79" s="35"/>
      <c r="H79" s="35"/>
      <c r="I79" s="35"/>
      <c r="J79" s="35"/>
      <c r="K79" s="35"/>
      <c r="L79" s="35"/>
      <c r="M79" s="35"/>
      <c r="N79" s="35"/>
      <c r="O79" s="35"/>
      <c r="P79" s="35"/>
      <c r="Q79" s="35"/>
      <c r="R79" s="35"/>
      <c r="S79" s="35"/>
      <c r="T79" s="35"/>
    </row>
    <row r="80" spans="1:20" ht="6" customHeight="1" x14ac:dyDescent="0.25"/>
    <row r="81" spans="1:20" ht="18" customHeight="1" x14ac:dyDescent="0.25">
      <c r="A81" s="41" t="s">
        <v>416</v>
      </c>
      <c r="B81" s="35"/>
      <c r="C81" s="35"/>
      <c r="D81" s="35"/>
      <c r="E81" s="35"/>
      <c r="F81" s="35"/>
      <c r="G81" s="35"/>
      <c r="H81" s="35"/>
      <c r="I81" s="35"/>
      <c r="J81" s="35"/>
      <c r="K81" s="35"/>
      <c r="L81" s="35"/>
      <c r="M81" s="35"/>
      <c r="N81" s="35"/>
      <c r="O81" s="35"/>
      <c r="P81" s="35"/>
      <c r="Q81" s="35"/>
      <c r="R81" s="35"/>
      <c r="S81" s="35"/>
      <c r="T81" s="35"/>
    </row>
    <row r="82" spans="1:20" ht="36" customHeight="1" x14ac:dyDescent="0.25">
      <c r="A82" s="42" t="s">
        <v>438</v>
      </c>
      <c r="B82" s="35"/>
      <c r="C82" s="35"/>
      <c r="D82" s="35"/>
      <c r="E82" s="35"/>
      <c r="F82" s="35"/>
      <c r="G82" s="35"/>
      <c r="H82" s="35"/>
      <c r="I82" s="35"/>
      <c r="J82" s="35"/>
      <c r="K82" s="35"/>
      <c r="L82" s="35"/>
      <c r="M82" s="35"/>
      <c r="N82" s="35"/>
      <c r="O82" s="35"/>
      <c r="P82" s="35"/>
      <c r="Q82" s="35"/>
      <c r="R82" s="35"/>
      <c r="S82" s="35"/>
      <c r="T82" s="35"/>
    </row>
    <row r="83" spans="1:20" ht="6" customHeight="1" x14ac:dyDescent="0.25"/>
    <row r="84" spans="1:20" ht="18" customHeight="1" x14ac:dyDescent="0.25">
      <c r="A84" s="41" t="s">
        <v>136</v>
      </c>
      <c r="B84" s="35"/>
      <c r="C84" s="35"/>
      <c r="D84" s="35"/>
      <c r="E84" s="35"/>
      <c r="F84" s="35"/>
      <c r="G84" s="35"/>
      <c r="H84" s="35"/>
      <c r="I84" s="35"/>
      <c r="J84" s="35"/>
      <c r="K84" s="35"/>
      <c r="L84" s="35"/>
      <c r="M84" s="35"/>
      <c r="N84" s="35"/>
      <c r="O84" s="35"/>
      <c r="P84" s="35"/>
      <c r="Q84" s="35"/>
      <c r="R84" s="35"/>
      <c r="S84" s="35"/>
      <c r="T84" s="35"/>
    </row>
    <row r="85" spans="1:20" ht="21" customHeight="1" x14ac:dyDescent="0.25">
      <c r="A85" s="42" t="s">
        <v>439</v>
      </c>
      <c r="B85" s="35"/>
      <c r="C85" s="35"/>
      <c r="D85" s="35"/>
      <c r="E85" s="35"/>
      <c r="F85" s="35"/>
      <c r="G85" s="35"/>
      <c r="H85" s="35"/>
      <c r="I85" s="35"/>
      <c r="J85" s="35"/>
      <c r="K85" s="35"/>
      <c r="L85" s="35"/>
      <c r="M85" s="35"/>
      <c r="N85" s="35"/>
      <c r="O85" s="35"/>
      <c r="P85" s="35"/>
      <c r="Q85" s="35"/>
      <c r="R85" s="35"/>
      <c r="S85" s="35"/>
      <c r="T85" s="35"/>
    </row>
    <row r="86" spans="1:20" ht="6" customHeight="1" x14ac:dyDescent="0.25"/>
    <row r="87" spans="1:20" ht="18" customHeight="1" x14ac:dyDescent="0.25">
      <c r="A87" s="41" t="s">
        <v>419</v>
      </c>
      <c r="B87" s="35"/>
      <c r="C87" s="35"/>
      <c r="D87" s="35"/>
      <c r="E87" s="35"/>
      <c r="F87" s="35"/>
      <c r="G87" s="35"/>
      <c r="H87" s="35"/>
      <c r="I87" s="35"/>
      <c r="J87" s="35"/>
      <c r="K87" s="35"/>
      <c r="L87" s="35"/>
      <c r="M87" s="35"/>
      <c r="N87" s="35"/>
      <c r="O87" s="35"/>
      <c r="P87" s="35"/>
      <c r="Q87" s="35"/>
      <c r="R87" s="35"/>
      <c r="S87" s="35"/>
      <c r="T87" s="35"/>
    </row>
    <row r="88" spans="1:20" ht="21" customHeight="1" x14ac:dyDescent="0.25">
      <c r="A88" s="42" t="s">
        <v>440</v>
      </c>
      <c r="B88" s="35"/>
      <c r="C88" s="35"/>
      <c r="D88" s="35"/>
      <c r="E88" s="35"/>
      <c r="F88" s="35"/>
      <c r="G88" s="35"/>
      <c r="H88" s="35"/>
      <c r="I88" s="35"/>
      <c r="J88" s="35"/>
      <c r="K88" s="35"/>
      <c r="L88" s="35"/>
      <c r="M88" s="35"/>
      <c r="N88" s="35"/>
      <c r="O88" s="35"/>
      <c r="P88" s="35"/>
      <c r="Q88" s="35"/>
      <c r="R88" s="35"/>
      <c r="S88" s="35"/>
      <c r="T88" s="35"/>
    </row>
    <row r="89" spans="1:20" ht="6" customHeight="1" x14ac:dyDescent="0.25"/>
    <row r="90" spans="1:20" ht="18" customHeight="1" x14ac:dyDescent="0.25">
      <c r="A90" s="41" t="s">
        <v>366</v>
      </c>
      <c r="B90" s="35"/>
      <c r="C90" s="35"/>
      <c r="D90" s="35"/>
      <c r="E90" s="35"/>
      <c r="F90" s="35"/>
      <c r="G90" s="35"/>
      <c r="H90" s="35"/>
      <c r="I90" s="35"/>
      <c r="J90" s="35"/>
      <c r="K90" s="35"/>
      <c r="L90" s="35"/>
      <c r="M90" s="35"/>
      <c r="N90" s="35"/>
      <c r="O90" s="35"/>
      <c r="P90" s="35"/>
      <c r="Q90" s="35"/>
      <c r="R90" s="35"/>
      <c r="S90" s="35"/>
      <c r="T90" s="35"/>
    </row>
    <row r="91" spans="1:20" ht="21" customHeight="1" x14ac:dyDescent="0.25">
      <c r="A91" s="42" t="s">
        <v>399</v>
      </c>
      <c r="B91" s="35"/>
      <c r="C91" s="35"/>
      <c r="D91" s="35"/>
      <c r="E91" s="35"/>
      <c r="F91" s="35"/>
      <c r="G91" s="35"/>
      <c r="H91" s="35"/>
      <c r="I91" s="35"/>
      <c r="J91" s="35"/>
      <c r="K91" s="35"/>
      <c r="L91" s="35"/>
      <c r="M91" s="35"/>
      <c r="N91" s="35"/>
      <c r="O91" s="35"/>
      <c r="P91" s="35"/>
      <c r="Q91" s="35"/>
      <c r="R91" s="35"/>
      <c r="S91" s="35"/>
      <c r="T91" s="35"/>
    </row>
    <row r="92" spans="1:20" ht="6" customHeight="1" x14ac:dyDescent="0.25"/>
    <row r="95" spans="1:20" x14ac:dyDescent="0.25">
      <c r="A95" s="43" t="s">
        <v>400</v>
      </c>
      <c r="B95" s="35"/>
      <c r="C95" s="35"/>
      <c r="D95" s="35"/>
      <c r="E95" s="35"/>
      <c r="F95" s="35"/>
      <c r="G95" s="35"/>
      <c r="H95" s="35"/>
      <c r="I95" s="35"/>
      <c r="J95" s="35"/>
      <c r="K95" s="35"/>
      <c r="L95" s="35"/>
      <c r="M95" s="35"/>
      <c r="N95" s="35"/>
      <c r="O95" s="35"/>
      <c r="P95" s="35"/>
      <c r="Q95" s="35"/>
      <c r="R95" s="35"/>
      <c r="S95" s="35"/>
      <c r="T95" s="35"/>
    </row>
  </sheetData>
  <mergeCells count="39">
    <mergeCell ref="A95:T95"/>
    <mergeCell ref="A47:T47"/>
    <mergeCell ref="A85:T85"/>
    <mergeCell ref="A76:T76"/>
    <mergeCell ref="A32:T32"/>
    <mergeCell ref="A35:T35"/>
    <mergeCell ref="A53:T53"/>
    <mergeCell ref="A91:T91"/>
    <mergeCell ref="A81:T81"/>
    <mergeCell ref="A38:T38"/>
    <mergeCell ref="A72:T72"/>
    <mergeCell ref="A44:T44"/>
    <mergeCell ref="A90:T90"/>
    <mergeCell ref="A37:T37"/>
    <mergeCell ref="A75:T75"/>
    <mergeCell ref="A50:T50"/>
    <mergeCell ref="A56:T56"/>
    <mergeCell ref="A57:T57"/>
    <mergeCell ref="A88:T88"/>
    <mergeCell ref="A70:T70"/>
    <mergeCell ref="A78:T78"/>
    <mergeCell ref="A69:T69"/>
    <mergeCell ref="A87:T87"/>
    <mergeCell ref="A84:T84"/>
    <mergeCell ref="A73:T73"/>
    <mergeCell ref="A51:T51"/>
    <mergeCell ref="A82:T82"/>
    <mergeCell ref="A60:T60"/>
    <mergeCell ref="A45:T45"/>
    <mergeCell ref="A79:T79"/>
    <mergeCell ref="A54:T54"/>
    <mergeCell ref="A66:T66"/>
    <mergeCell ref="A67:T67"/>
    <mergeCell ref="A34:T34"/>
    <mergeCell ref="A40:T40"/>
    <mergeCell ref="A48:T48"/>
    <mergeCell ref="A64:T64"/>
    <mergeCell ref="A59:T59"/>
    <mergeCell ref="A41:T41"/>
  </mergeCells>
  <dataValidations count="9">
    <dataValidation type="list" allowBlank="1" errorTitle="Valore non valido" error="Selezionare dalla lista." promptTitle="Author" prompt="Autore della codifica." sqref="B6:B29" xr:uid="{00000000-0002-0000-0500-000000000000}">
      <formula1>Author_Name</formula1>
    </dataValidation>
    <dataValidation type="list" allowBlank="1" errorTitle="Valore non valido" error="Selezionare dalla lista, oppure lasciare vuoto." promptTitle="In Place" prompt="Facoltativo. Si compila solo quando l’elemento è modellato in place dentro il progetto, non caricato da una libreria né tipo di una famiglia di sistema. Nel nome diventa (I) attaccato al codice di categoria, senza separatore. Cella vuota = caso normale." sqref="D6:D29" xr:uid="{00000000-0002-0000-0500-000001000000}">
      <formula1>InPl_Name</formula1>
    </dataValidation>
    <dataValidation type="list" allowBlank="1" errorTitle="Valore non valido" error="Selezionare dalla lista." promptTitle="Categoria" prompt="Categoria Revit dell’elemento." sqref="F6:F29" xr:uid="{00000000-0002-0000-0500-000002000000}">
      <formula1>SC_Cat_Name</formula1>
    </dataValidation>
    <dataValidation type="list" allowBlank="1" errorTitle="Valore non valido" error="Selezionare dalla lista." promptTitle="Group1 — materiale" sqref="H6:H29" xr:uid="{00000000-0002-0000-0500-000003000000}">
      <formula1>STR_G1_Name</formula1>
    </dataValidation>
    <dataValidation type="list" allowBlank="1" errorTitle="Valore non valido" error="Selezionare dalla lista." promptTitle="Group2 — forma della sezione" prompt="Forma della sezione, non il ruolo. Structural Usage è un parametro d’istanza e non entra mai nel nome. Una famiglia = una forma di sezione in un materiale; i tipi ne sono le misure." sqref="J6:J29" xr:uid="{00000000-0002-0000-0500-000004000000}">
      <formula1>SC_G2_Name</formula1>
    </dataValidation>
    <dataValidation type="list" allowBlank="1" errorTitle="Valore non valido" error="Selezionare dalla lista." promptTitle="Family role" prompt="Facoltativo. CM Component = componente minore, destinato a essere annidato dentro un’altra famiglia: sui nodi è il caso normale. SY Symbolic = famiglia che contiene un simbolo, non la geometria reale. Vuoto = famiglia completa e autonoma." sqref="L6:L29" xr:uid="{00000000-0002-0000-0500-000005000000}">
      <formula1>Role_Name</formula1>
    </dataValidation>
    <dataValidation type="list" allowBlank="1" errorTitle="Valore non valido" error="Selezionare dalla lista." promptTitle="Custom" prompt="Facoltativo. Sezione o elemento disegnato su misura, non corrispondente a un profilo di normativa o a un prodotto di mercato. Vuoto → si assume un profilo commerciale. Non compatibile con Manufacturer." sqref="N6:N29" xr:uid="{00000000-0002-0000-0500-000006000000}">
      <formula1>Cst_Name</formula1>
    </dataValidation>
    <dataValidation type="custom" allowBlank="1" errorTitle="Non valido" error="Massimo 24 caratteri, senza spazi, e non compatibile con Custom." promptTitle="Manufacturer" prompt="Facoltativo. Azienda produttrice. Campo libero: senza spazi, iniziali maiuscole. Non compatibile con Custom." sqref="P6:P29" xr:uid="{00000000-0002-0000-0500-000007000000}">
      <formula1>AND(LEN($P6)&lt;=24,ISERROR(FIND(" ",$P6)),OR($P6="",$O6=""))</formula1>
    </dataValidation>
    <dataValidation type="textLength" operator="lessThanOrEqual" allowBlank="1" errorTitle="Troppo lunga" error="Massimo 40 caratteri." promptTitle="Description" prompt="Facoltativa. Solo se aggiunge un’informazione non già nei codici. Senza spazi, iniziali maiuscole, massimo 40 caratteri, senza accenti." sqref="Q6:Q29" xr:uid="{00000000-0002-0000-0500-000008000000}">
      <formula1>40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F6B4F"/>
  </sheetPr>
  <dimension ref="A1:W99"/>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21" customWidth="1"/>
    <col min="7" max="7" width="4" customWidth="1"/>
    <col min="8" max="8" width="20" customWidth="1"/>
    <col min="9" max="9" width="4" customWidth="1"/>
    <col min="10" max="10" width="17" customWidth="1"/>
    <col min="11" max="11" width="4" customWidth="1"/>
    <col min="12" max="12" width="15" customWidth="1"/>
    <col min="13" max="13" width="5" customWidth="1"/>
    <col min="14" max="14" width="12" customWidth="1"/>
    <col min="15" max="15" width="5" customWidth="1"/>
    <col min="16" max="16" width="9" customWidth="1"/>
    <col min="17" max="17" width="4" customWidth="1"/>
    <col min="18" max="18" width="15" customWidth="1"/>
    <col min="19" max="19" width="22" customWidth="1"/>
    <col min="20" max="20" width="12" customWidth="1"/>
    <col min="21" max="21" width="38" customWidth="1"/>
    <col min="22" max="22" width="26" customWidth="1"/>
    <col min="23" max="23" width="24" hidden="1" customWidth="1"/>
  </cols>
  <sheetData>
    <row r="1" spans="1:23" ht="19.5" x14ac:dyDescent="0.3">
      <c r="A1" s="6" t="s">
        <v>267</v>
      </c>
    </row>
    <row r="2" spans="1:23" x14ac:dyDescent="0.25">
      <c r="A2" s="7" t="s">
        <v>350</v>
      </c>
    </row>
    <row r="3" spans="1:23" x14ac:dyDescent="0.25">
      <c r="A3" s="8" t="s">
        <v>455</v>
      </c>
    </row>
    <row r="4" spans="1:23" ht="17.100000000000001" customHeight="1" x14ac:dyDescent="0.25">
      <c r="A4" s="25" t="s">
        <v>441</v>
      </c>
      <c r="B4" s="26"/>
      <c r="C4" s="26"/>
      <c r="D4" s="26"/>
      <c r="E4" s="26"/>
      <c r="F4" s="26"/>
      <c r="G4" s="26"/>
      <c r="H4" s="26"/>
      <c r="I4" s="26"/>
      <c r="J4" s="26"/>
      <c r="K4" s="26"/>
      <c r="L4" s="26"/>
      <c r="M4" s="26"/>
      <c r="N4" s="26"/>
      <c r="O4" s="26"/>
      <c r="P4" s="26"/>
      <c r="Q4" s="26"/>
      <c r="R4" s="26"/>
      <c r="S4" s="26"/>
      <c r="T4" s="26"/>
      <c r="U4" s="26"/>
      <c r="V4" s="26"/>
    </row>
    <row r="5" spans="1:23" ht="30" customHeight="1" x14ac:dyDescent="0.25">
      <c r="A5" s="9" t="s">
        <v>353</v>
      </c>
      <c r="B5" s="9" t="s">
        <v>91</v>
      </c>
      <c r="C5" s="9" t="s">
        <v>354</v>
      </c>
      <c r="D5" s="10" t="s">
        <v>130</v>
      </c>
      <c r="E5" s="9" t="s">
        <v>129</v>
      </c>
      <c r="F5" s="9" t="s">
        <v>355</v>
      </c>
      <c r="G5" s="9" t="s">
        <v>356</v>
      </c>
      <c r="H5" s="9" t="s">
        <v>357</v>
      </c>
      <c r="I5" s="9" t="s">
        <v>358</v>
      </c>
      <c r="J5" s="9" t="s">
        <v>360</v>
      </c>
      <c r="K5" s="9" t="s">
        <v>361</v>
      </c>
      <c r="L5" s="10" t="s">
        <v>456</v>
      </c>
      <c r="M5" s="9" t="s">
        <v>456</v>
      </c>
      <c r="N5" s="10" t="s">
        <v>416</v>
      </c>
      <c r="O5" s="9" t="s">
        <v>417</v>
      </c>
      <c r="P5" s="10" t="s">
        <v>136</v>
      </c>
      <c r="Q5" s="9" t="s">
        <v>418</v>
      </c>
      <c r="R5" s="10" t="s">
        <v>419</v>
      </c>
      <c r="S5" s="10" t="s">
        <v>366</v>
      </c>
      <c r="T5" s="9" t="s">
        <v>367</v>
      </c>
      <c r="U5" s="9" t="s">
        <v>368</v>
      </c>
      <c r="V5" s="9" t="s">
        <v>420</v>
      </c>
      <c r="W5" s="9" t="s">
        <v>457</v>
      </c>
    </row>
    <row r="6" spans="1:23" x14ac:dyDescent="0.25">
      <c r="A6" s="11" t="s">
        <v>369</v>
      </c>
      <c r="B6" s="12" t="s">
        <v>100</v>
      </c>
      <c r="C6" s="13" t="str">
        <f t="shared" ref="C6:C30" si="0">IFERROR(INDEX(Author_Code,MATCH($B6,Author_Name,0)),"")</f>
        <v>e</v>
      </c>
      <c r="D6" s="14"/>
      <c r="E6" s="13" t="str">
        <f t="shared" ref="E6:E30" si="1">IFERROR(INDEX(InPl_Code,MATCH($D6,InPl_Name,0)),"")</f>
        <v/>
      </c>
      <c r="F6" s="12" t="s">
        <v>274</v>
      </c>
      <c r="G6" s="13" t="str">
        <f t="shared" ref="G6:G30" si="2">IFERROR(INDEX(FR_Cat_Code,MATCH($F6,FR_Cat_Name,0)),"")</f>
        <v>FR</v>
      </c>
      <c r="H6" s="12" t="s">
        <v>123</v>
      </c>
      <c r="I6" s="13" t="str">
        <f t="shared" ref="I6:I30" si="3">IFERROR(INDEX(STR_G1_Code,MATCH($H6,STR_G1_Name,0)),"")</f>
        <v>ST</v>
      </c>
      <c r="J6" s="12" t="s">
        <v>246</v>
      </c>
      <c r="K6" s="13" t="str">
        <f t="shared" ref="K6:K30" si="4">IFERROR(INDEX(FR_G2_Code,MATCH($J6,FR_G2_Name,0)),"")</f>
        <v>IS</v>
      </c>
      <c r="L6" s="14"/>
      <c r="M6" s="13" t="str">
        <f t="shared" ref="M6:M30" si="5">IFERROR(INDEX(Use_Code,MATCH($L6,Use_Name,0)),"")</f>
        <v/>
      </c>
      <c r="N6" s="14"/>
      <c r="O6" s="13" t="str">
        <f t="shared" ref="O6:O30" si="6">IFERROR(INDEX(Role_Code,MATCH($N6,Role_Name,0)),"")</f>
        <v/>
      </c>
      <c r="P6" s="14"/>
      <c r="Q6" s="13" t="str">
        <f t="shared" ref="Q6:Q30" si="7">IFERROR(INDEX(Cst_Code,MATCH($P6,Cst_Name,0)),"")</f>
        <v/>
      </c>
      <c r="R6" s="16"/>
      <c r="S6" s="16"/>
      <c r="T6" s="13" t="str">
        <f t="shared" ref="T6:T30" si="8">$G6&amp;IF($I6&lt;&gt;"","."&amp;$I6,"")&amp;IF($K6&lt;&gt;"","."&amp;$K6,"")</f>
        <v>FR.ST.IS</v>
      </c>
      <c r="U6" s="17" t="str">
        <f t="shared" ref="U6:U30" si="9">IF(AND($F6&lt;&gt;"",$H6&lt;&gt;"",$J6&lt;&gt;""),$C6&amp;"_"&amp;$E6&amp;$T6&amp;IF($M6&lt;&gt;"","_"&amp;$M6,"")&amp;IF($O6&lt;&gt;"","_"&amp;$O6,"")&amp;IF($Q6&lt;&gt;"","_"&amp;$Q6,"")&amp;IF($R6&lt;&gt;"","_"&amp;$R6,"")&amp;IF($S6&lt;&gt;"","_"&amp;$S6,""),"")</f>
        <v>e_FR.ST.IS</v>
      </c>
      <c r="V6" s="27" t="str">
        <f t="shared" ref="V6:V30" si="10">IFERROR(IF($M6&lt;&gt;"",$M6&amp;"-0xx_{designazione o misure}",IF(OR($G6="",$H6=""),"",$G6&amp;"-"&amp;LEFT(INDEX(STR_G1_TM,MATCH($H6,STR_G1_Name,0)),1)&amp;"xx_{designazione o misure}")),"")</f>
        <v>FR-3xx_{designazione o misure}</v>
      </c>
      <c r="W6" s="29" t="str">
        <f>IF($I6="OT",ADDRESS(ROW(INDEX(Tbl_Use[Use_Name],1)),COLUMN(Tbl_Use[Use_Name]),1,1,"DV")&amp;":"&amp;ADDRESS(ROW(INDEX(Tbl_Use[Use_Name],1))+ROWS(Tbl_Use[Use_Name])-1,COLUMN(Tbl_Use[Use_Name]),1,1),"_src!$A$1")</f>
        <v>_src!$A$1</v>
      </c>
    </row>
    <row r="7" spans="1:23" x14ac:dyDescent="0.25">
      <c r="A7" s="11" t="s">
        <v>370</v>
      </c>
      <c r="B7" s="12" t="s">
        <v>100</v>
      </c>
      <c r="C7" s="13" t="str">
        <f t="shared" si="0"/>
        <v>e</v>
      </c>
      <c r="D7" s="14"/>
      <c r="E7" s="13" t="str">
        <f t="shared" si="1"/>
        <v/>
      </c>
      <c r="F7" s="12" t="s">
        <v>274</v>
      </c>
      <c r="G7" s="13" t="str">
        <f t="shared" si="2"/>
        <v>FR</v>
      </c>
      <c r="H7" s="12" t="s">
        <v>123</v>
      </c>
      <c r="I7" s="13" t="str">
        <f t="shared" si="3"/>
        <v>ST</v>
      </c>
      <c r="J7" s="12" t="s">
        <v>249</v>
      </c>
      <c r="K7" s="13" t="str">
        <f t="shared" si="4"/>
        <v>HS</v>
      </c>
      <c r="L7" s="14"/>
      <c r="M7" s="13" t="str">
        <f t="shared" si="5"/>
        <v/>
      </c>
      <c r="N7" s="14"/>
      <c r="O7" s="13" t="str">
        <f t="shared" si="6"/>
        <v/>
      </c>
      <c r="P7" s="14"/>
      <c r="Q7" s="13" t="str">
        <f t="shared" si="7"/>
        <v/>
      </c>
      <c r="R7" s="16"/>
      <c r="S7" s="16"/>
      <c r="T7" s="13" t="str">
        <f t="shared" si="8"/>
        <v>FR.ST.HS</v>
      </c>
      <c r="U7" s="17" t="str">
        <f t="shared" si="9"/>
        <v>e_FR.ST.HS</v>
      </c>
      <c r="V7" s="27" t="str">
        <f t="shared" si="10"/>
        <v>FR-3xx_{designazione o misure}</v>
      </c>
      <c r="W7" s="29" t="str">
        <f>IF($I7="OT",ADDRESS(ROW(INDEX(Tbl_Use[Use_Name],1)),COLUMN(Tbl_Use[Use_Name]),1,1,"DV")&amp;":"&amp;ADDRESS(ROW(INDEX(Tbl_Use[Use_Name],1))+ROWS(Tbl_Use[Use_Name])-1,COLUMN(Tbl_Use[Use_Name]),1,1),"_src!$A$1")</f>
        <v>_src!$A$1</v>
      </c>
    </row>
    <row r="8" spans="1:23" x14ac:dyDescent="0.25">
      <c r="A8" s="11" t="s">
        <v>371</v>
      </c>
      <c r="B8" s="12" t="s">
        <v>100</v>
      </c>
      <c r="C8" s="13" t="str">
        <f t="shared" si="0"/>
        <v>e</v>
      </c>
      <c r="D8" s="14"/>
      <c r="E8" s="13" t="str">
        <f t="shared" si="1"/>
        <v/>
      </c>
      <c r="F8" s="12" t="s">
        <v>274</v>
      </c>
      <c r="G8" s="13" t="str">
        <f t="shared" si="2"/>
        <v>FR</v>
      </c>
      <c r="H8" s="12" t="s">
        <v>109</v>
      </c>
      <c r="I8" s="13" t="str">
        <f t="shared" si="3"/>
        <v>CN</v>
      </c>
      <c r="J8" s="12" t="s">
        <v>240</v>
      </c>
      <c r="K8" s="13" t="str">
        <f t="shared" si="4"/>
        <v>RC</v>
      </c>
      <c r="L8" s="14"/>
      <c r="M8" s="13" t="str">
        <f t="shared" si="5"/>
        <v/>
      </c>
      <c r="N8" s="14"/>
      <c r="O8" s="13" t="str">
        <f t="shared" si="6"/>
        <v/>
      </c>
      <c r="P8" s="14"/>
      <c r="Q8" s="13" t="str">
        <f t="shared" si="7"/>
        <v/>
      </c>
      <c r="R8" s="16"/>
      <c r="S8" s="16"/>
      <c r="T8" s="13" t="str">
        <f t="shared" si="8"/>
        <v>FR.CN.RC</v>
      </c>
      <c r="U8" s="17" t="str">
        <f t="shared" si="9"/>
        <v>e_FR.CN.RC</v>
      </c>
      <c r="V8" s="27" t="str">
        <f t="shared" si="10"/>
        <v>FR-1xx_{designazione o misure}</v>
      </c>
      <c r="W8" s="29" t="str">
        <f>IF($I8="OT",ADDRESS(ROW(INDEX(Tbl_Use[Use_Name],1)),COLUMN(Tbl_Use[Use_Name]),1,1,"DV")&amp;":"&amp;ADDRESS(ROW(INDEX(Tbl_Use[Use_Name],1))+ROWS(Tbl_Use[Use_Name])-1,COLUMN(Tbl_Use[Use_Name]),1,1),"_src!$A$1")</f>
        <v>_src!$A$1</v>
      </c>
    </row>
    <row r="9" spans="1:23" x14ac:dyDescent="0.25">
      <c r="A9" s="11" t="s">
        <v>372</v>
      </c>
      <c r="B9" s="12" t="s">
        <v>100</v>
      </c>
      <c r="C9" s="13" t="str">
        <f t="shared" si="0"/>
        <v>e</v>
      </c>
      <c r="D9" s="14"/>
      <c r="E9" s="13" t="str">
        <f t="shared" si="1"/>
        <v/>
      </c>
      <c r="F9" s="12" t="s">
        <v>274</v>
      </c>
      <c r="G9" s="13" t="str">
        <f t="shared" si="2"/>
        <v>FR</v>
      </c>
      <c r="H9" s="12" t="s">
        <v>117</v>
      </c>
      <c r="I9" s="13" t="str">
        <f t="shared" si="3"/>
        <v>PC</v>
      </c>
      <c r="J9" s="12" t="s">
        <v>276</v>
      </c>
      <c r="K9" s="13" t="str">
        <f t="shared" si="4"/>
        <v>TT</v>
      </c>
      <c r="L9" s="14"/>
      <c r="M9" s="13" t="str">
        <f t="shared" si="5"/>
        <v/>
      </c>
      <c r="N9" s="14"/>
      <c r="O9" s="13" t="str">
        <f t="shared" si="6"/>
        <v/>
      </c>
      <c r="P9" s="14"/>
      <c r="Q9" s="13" t="str">
        <f t="shared" si="7"/>
        <v/>
      </c>
      <c r="R9" s="16" t="s">
        <v>421</v>
      </c>
      <c r="S9" s="16"/>
      <c r="T9" s="13" t="str">
        <f t="shared" si="8"/>
        <v>FR.PC.TT</v>
      </c>
      <c r="U9" s="17" t="str">
        <f t="shared" si="9"/>
        <v>e_FR.PC.TT_Manini</v>
      </c>
      <c r="V9" s="27" t="str">
        <f t="shared" si="10"/>
        <v>FR-2xx_{designazione o misure}</v>
      </c>
      <c r="W9" s="29" t="str">
        <f>IF($I9="OT",ADDRESS(ROW(INDEX(Tbl_Use[Use_Name],1)),COLUMN(Tbl_Use[Use_Name]),1,1,"DV")&amp;":"&amp;ADDRESS(ROW(INDEX(Tbl_Use[Use_Name],1))+ROWS(Tbl_Use[Use_Name])-1,COLUMN(Tbl_Use[Use_Name]),1,1),"_src!$A$1")</f>
        <v>_src!$A$1</v>
      </c>
    </row>
    <row r="10" spans="1:23" x14ac:dyDescent="0.25">
      <c r="A10" s="11" t="s">
        <v>373</v>
      </c>
      <c r="B10" s="12" t="s">
        <v>100</v>
      </c>
      <c r="C10" s="13" t="str">
        <f t="shared" si="0"/>
        <v>e</v>
      </c>
      <c r="D10" s="14"/>
      <c r="E10" s="13" t="str">
        <f t="shared" si="1"/>
        <v/>
      </c>
      <c r="F10" s="12" t="s">
        <v>274</v>
      </c>
      <c r="G10" s="13" t="str">
        <f t="shared" si="2"/>
        <v>FR</v>
      </c>
      <c r="H10" s="12" t="s">
        <v>117</v>
      </c>
      <c r="I10" s="13" t="str">
        <f t="shared" si="3"/>
        <v>PC</v>
      </c>
      <c r="J10" s="12" t="s">
        <v>279</v>
      </c>
      <c r="K10" s="13" t="str">
        <f t="shared" si="4"/>
        <v>IT</v>
      </c>
      <c r="L10" s="14"/>
      <c r="M10" s="13" t="str">
        <f t="shared" si="5"/>
        <v/>
      </c>
      <c r="N10" s="14"/>
      <c r="O10" s="13" t="str">
        <f t="shared" si="6"/>
        <v/>
      </c>
      <c r="P10" s="14"/>
      <c r="Q10" s="13" t="str">
        <f t="shared" si="7"/>
        <v/>
      </c>
      <c r="R10" s="16"/>
      <c r="S10" s="16"/>
      <c r="T10" s="13" t="str">
        <f t="shared" si="8"/>
        <v>FR.PC.IT</v>
      </c>
      <c r="U10" s="17" t="str">
        <f t="shared" si="9"/>
        <v>e_FR.PC.IT</v>
      </c>
      <c r="V10" s="27" t="str">
        <f t="shared" si="10"/>
        <v>FR-2xx_{designazione o misure}</v>
      </c>
      <c r="W10" s="29" t="str">
        <f>IF($I10="OT",ADDRESS(ROW(INDEX(Tbl_Use[Use_Name],1)),COLUMN(Tbl_Use[Use_Name]),1,1,"DV")&amp;":"&amp;ADDRESS(ROW(INDEX(Tbl_Use[Use_Name],1))+ROWS(Tbl_Use[Use_Name])-1,COLUMN(Tbl_Use[Use_Name]),1,1),"_src!$A$1")</f>
        <v>_src!$A$1</v>
      </c>
    </row>
    <row r="11" spans="1:23" x14ac:dyDescent="0.25">
      <c r="A11" s="11" t="s">
        <v>375</v>
      </c>
      <c r="B11" s="12" t="s">
        <v>100</v>
      </c>
      <c r="C11" s="13" t="str">
        <f t="shared" si="0"/>
        <v>e</v>
      </c>
      <c r="D11" s="14"/>
      <c r="E11" s="13" t="str">
        <f t="shared" si="1"/>
        <v/>
      </c>
      <c r="F11" s="12" t="s">
        <v>274</v>
      </c>
      <c r="G11" s="13" t="str">
        <f t="shared" si="2"/>
        <v>FR</v>
      </c>
      <c r="H11" s="12" t="s">
        <v>132</v>
      </c>
      <c r="I11" s="13" t="str">
        <f t="shared" si="3"/>
        <v>TM</v>
      </c>
      <c r="J11" s="12" t="s">
        <v>240</v>
      </c>
      <c r="K11" s="13" t="str">
        <f t="shared" si="4"/>
        <v>RC</v>
      </c>
      <c r="L11" s="14"/>
      <c r="M11" s="13" t="str">
        <f t="shared" si="5"/>
        <v/>
      </c>
      <c r="N11" s="14"/>
      <c r="O11" s="13" t="str">
        <f t="shared" si="6"/>
        <v/>
      </c>
      <c r="P11" s="14"/>
      <c r="Q11" s="13" t="str">
        <f t="shared" si="7"/>
        <v/>
      </c>
      <c r="R11" s="16"/>
      <c r="S11" s="16"/>
      <c r="T11" s="13" t="str">
        <f t="shared" si="8"/>
        <v>FR.TM.RC</v>
      </c>
      <c r="U11" s="17" t="str">
        <f t="shared" si="9"/>
        <v>e_FR.TM.RC</v>
      </c>
      <c r="V11" s="27" t="str">
        <f t="shared" si="10"/>
        <v>FR-4xx_{designazione o misure}</v>
      </c>
      <c r="W11" s="29" t="str">
        <f>IF($I11="OT",ADDRESS(ROW(INDEX(Tbl_Use[Use_Name],1)),COLUMN(Tbl_Use[Use_Name]),1,1,"DV")&amp;":"&amp;ADDRESS(ROW(INDEX(Tbl_Use[Use_Name],1))+ROWS(Tbl_Use[Use_Name])-1,COLUMN(Tbl_Use[Use_Name]),1,1),"_src!$A$1")</f>
        <v>_src!$A$1</v>
      </c>
    </row>
    <row r="12" spans="1:23" x14ac:dyDescent="0.25">
      <c r="A12" s="11" t="s">
        <v>377</v>
      </c>
      <c r="B12" s="12" t="s">
        <v>100</v>
      </c>
      <c r="C12" s="13" t="str">
        <f t="shared" si="0"/>
        <v>e</v>
      </c>
      <c r="D12" s="14"/>
      <c r="E12" s="13" t="str">
        <f t="shared" si="1"/>
        <v/>
      </c>
      <c r="F12" s="12" t="s">
        <v>274</v>
      </c>
      <c r="G12" s="13" t="str">
        <f t="shared" si="2"/>
        <v>FR</v>
      </c>
      <c r="H12" s="12" t="s">
        <v>143</v>
      </c>
      <c r="I12" s="13" t="str">
        <f t="shared" si="3"/>
        <v>CP</v>
      </c>
      <c r="J12" s="12" t="s">
        <v>246</v>
      </c>
      <c r="K12" s="13" t="str">
        <f t="shared" si="4"/>
        <v>IS</v>
      </c>
      <c r="L12" s="14"/>
      <c r="M12" s="13" t="str">
        <f t="shared" si="5"/>
        <v/>
      </c>
      <c r="N12" s="14"/>
      <c r="O12" s="13" t="str">
        <f t="shared" si="6"/>
        <v/>
      </c>
      <c r="P12" s="14"/>
      <c r="Q12" s="13" t="str">
        <f t="shared" si="7"/>
        <v/>
      </c>
      <c r="R12" s="16"/>
      <c r="S12" s="16" t="s">
        <v>458</v>
      </c>
      <c r="T12" s="13" t="str">
        <f t="shared" si="8"/>
        <v>FR.CP.IS</v>
      </c>
      <c r="U12" s="17" t="str">
        <f t="shared" si="9"/>
        <v>e_FR.CP.IS_TraveCollaborante</v>
      </c>
      <c r="V12" s="27" t="str">
        <f t="shared" si="10"/>
        <v>FR-6xx_{designazione o misure}</v>
      </c>
      <c r="W12" s="29" t="str">
        <f>IF($I12="OT",ADDRESS(ROW(INDEX(Tbl_Use[Use_Name],1)),COLUMN(Tbl_Use[Use_Name]),1,1,"DV")&amp;":"&amp;ADDRESS(ROW(INDEX(Tbl_Use[Use_Name],1))+ROWS(Tbl_Use[Use_Name])-1,COLUMN(Tbl_Use[Use_Name]),1,1),"_src!$A$1")</f>
        <v>_src!$A$1</v>
      </c>
    </row>
    <row r="13" spans="1:23" x14ac:dyDescent="0.25">
      <c r="A13" s="11" t="s">
        <v>442</v>
      </c>
      <c r="B13" s="12" t="s">
        <v>100</v>
      </c>
      <c r="C13" s="13" t="str">
        <f t="shared" si="0"/>
        <v>e</v>
      </c>
      <c r="D13" s="14"/>
      <c r="E13" s="13" t="str">
        <f t="shared" si="1"/>
        <v/>
      </c>
      <c r="F13" s="12" t="s">
        <v>274</v>
      </c>
      <c r="G13" s="13" t="str">
        <f t="shared" si="2"/>
        <v>FR</v>
      </c>
      <c r="H13" s="12" t="s">
        <v>157</v>
      </c>
      <c r="I13" s="13" t="str">
        <f t="shared" si="3"/>
        <v>OT</v>
      </c>
      <c r="J13" s="12" t="s">
        <v>288</v>
      </c>
      <c r="K13" s="13" t="str">
        <f t="shared" si="4"/>
        <v>SH</v>
      </c>
      <c r="L13" s="14" t="s">
        <v>154</v>
      </c>
      <c r="M13" s="13" t="str">
        <f t="shared" si="5"/>
        <v>SK</v>
      </c>
      <c r="N13" s="14"/>
      <c r="O13" s="13" t="str">
        <f t="shared" si="6"/>
        <v/>
      </c>
      <c r="P13" s="14" t="s">
        <v>136</v>
      </c>
      <c r="Q13" s="13" t="str">
        <f t="shared" si="7"/>
        <v>CT</v>
      </c>
      <c r="R13" s="16"/>
      <c r="S13" s="16" t="s">
        <v>459</v>
      </c>
      <c r="T13" s="13" t="str">
        <f t="shared" si="8"/>
        <v>FR.OT.SH</v>
      </c>
      <c r="U13" s="17" t="str">
        <f t="shared" si="9"/>
        <v>e_FR.OT.SH_SK_CT_BattiscopaLegno</v>
      </c>
      <c r="V13" s="27" t="str">
        <f t="shared" si="10"/>
        <v>SK-0xx_{designazione o misure}</v>
      </c>
      <c r="W13" s="29" t="str">
        <f>IF($I13="OT",ADDRESS(ROW(INDEX(Tbl_Use[Use_Name],1)),COLUMN(Tbl_Use[Use_Name]),1,1,"DV")&amp;":"&amp;ADDRESS(ROW(INDEX(Tbl_Use[Use_Name],1))+ROWS(Tbl_Use[Use_Name])-1,COLUMN(Tbl_Use[Use_Name]),1,1),"_src!$A$1")</f>
        <v>DV!$J$10:$J$11</v>
      </c>
    </row>
    <row r="14" spans="1:23" x14ac:dyDescent="0.25">
      <c r="A14" s="11" t="s">
        <v>443</v>
      </c>
      <c r="B14" s="12" t="s">
        <v>100</v>
      </c>
      <c r="C14" s="13" t="str">
        <f t="shared" si="0"/>
        <v>e</v>
      </c>
      <c r="D14" s="14"/>
      <c r="E14" s="13" t="str">
        <f t="shared" si="1"/>
        <v/>
      </c>
      <c r="F14" s="12" t="s">
        <v>274</v>
      </c>
      <c r="G14" s="13" t="str">
        <f t="shared" si="2"/>
        <v>FR</v>
      </c>
      <c r="H14" s="12" t="s">
        <v>157</v>
      </c>
      <c r="I14" s="13" t="str">
        <f t="shared" si="3"/>
        <v>OT</v>
      </c>
      <c r="J14" s="12" t="s">
        <v>288</v>
      </c>
      <c r="K14" s="13" t="str">
        <f t="shared" si="4"/>
        <v>SH</v>
      </c>
      <c r="L14" s="14" t="s">
        <v>161</v>
      </c>
      <c r="M14" s="13" t="str">
        <f t="shared" si="5"/>
        <v>BH</v>
      </c>
      <c r="N14" s="14"/>
      <c r="O14" s="13" t="str">
        <f t="shared" si="6"/>
        <v/>
      </c>
      <c r="P14" s="14"/>
      <c r="Q14" s="13" t="str">
        <f t="shared" si="7"/>
        <v/>
      </c>
      <c r="R14" s="16"/>
      <c r="S14" s="16" t="s">
        <v>460</v>
      </c>
      <c r="T14" s="13" t="str">
        <f t="shared" si="8"/>
        <v>FR.OT.SH</v>
      </c>
      <c r="U14" s="17" t="str">
        <f t="shared" si="9"/>
        <v>e_FR.OT.SH_BH_VelettaCartongesso</v>
      </c>
      <c r="V14" s="27" t="str">
        <f t="shared" si="10"/>
        <v>BH-0xx_{designazione o misure}</v>
      </c>
      <c r="W14" s="29" t="str">
        <f>IF($I14="OT",ADDRESS(ROW(INDEX(Tbl_Use[Use_Name],1)),COLUMN(Tbl_Use[Use_Name]),1,1,"DV")&amp;":"&amp;ADDRESS(ROW(INDEX(Tbl_Use[Use_Name],1))+ROWS(Tbl_Use[Use_Name])-1,COLUMN(Tbl_Use[Use_Name]),1,1),"_src!$A$1")</f>
        <v>DV!$J$10:$J$11</v>
      </c>
    </row>
    <row r="15" spans="1:23" x14ac:dyDescent="0.25">
      <c r="A15" s="11" t="s">
        <v>461</v>
      </c>
      <c r="B15" s="12" t="s">
        <v>100</v>
      </c>
      <c r="C15" s="13" t="str">
        <f t="shared" si="0"/>
        <v>e</v>
      </c>
      <c r="D15" s="14" t="s">
        <v>130</v>
      </c>
      <c r="E15" s="13" t="str">
        <f t="shared" si="1"/>
        <v>(I)</v>
      </c>
      <c r="F15" s="12" t="s">
        <v>274</v>
      </c>
      <c r="G15" s="13" t="str">
        <f t="shared" si="2"/>
        <v>FR</v>
      </c>
      <c r="H15" s="12" t="s">
        <v>123</v>
      </c>
      <c r="I15" s="13" t="str">
        <f t="shared" si="3"/>
        <v>ST</v>
      </c>
      <c r="J15" s="12" t="s">
        <v>246</v>
      </c>
      <c r="K15" s="13" t="str">
        <f t="shared" si="4"/>
        <v>IS</v>
      </c>
      <c r="L15" s="14"/>
      <c r="M15" s="13" t="str">
        <f t="shared" si="5"/>
        <v/>
      </c>
      <c r="N15" s="14"/>
      <c r="O15" s="13" t="str">
        <f t="shared" si="6"/>
        <v/>
      </c>
      <c r="P15" s="14"/>
      <c r="Q15" s="13" t="str">
        <f t="shared" si="7"/>
        <v/>
      </c>
      <c r="R15" s="16"/>
      <c r="S15" s="16"/>
      <c r="T15" s="13" t="str">
        <f t="shared" si="8"/>
        <v>FR.ST.IS</v>
      </c>
      <c r="U15" s="17" t="str">
        <f t="shared" si="9"/>
        <v>e_(I)FR.ST.IS</v>
      </c>
      <c r="V15" s="27" t="str">
        <f t="shared" si="10"/>
        <v>FR-3xx_{designazione o misure}</v>
      </c>
      <c r="W15" s="29" t="str">
        <f>IF($I15="OT",ADDRESS(ROW(INDEX(Tbl_Use[Use_Name],1)),COLUMN(Tbl_Use[Use_Name]),1,1,"DV")&amp;":"&amp;ADDRESS(ROW(INDEX(Tbl_Use[Use_Name],1))+ROWS(Tbl_Use[Use_Name])-1,COLUMN(Tbl_Use[Use_Name]),1,1),"_src!$A$1")</f>
        <v>_src!$A$1</v>
      </c>
    </row>
    <row r="16" spans="1:23" x14ac:dyDescent="0.25">
      <c r="A16" s="18">
        <v>1</v>
      </c>
      <c r="B16" s="19"/>
      <c r="C16" s="20" t="str">
        <f t="shared" si="0"/>
        <v/>
      </c>
      <c r="D16" s="21"/>
      <c r="E16" s="20" t="str">
        <f t="shared" si="1"/>
        <v/>
      </c>
      <c r="F16" s="19"/>
      <c r="G16" s="20" t="str">
        <f t="shared" si="2"/>
        <v/>
      </c>
      <c r="H16" s="19"/>
      <c r="I16" s="20" t="str">
        <f t="shared" si="3"/>
        <v/>
      </c>
      <c r="J16" s="19"/>
      <c r="K16" s="20" t="str">
        <f t="shared" si="4"/>
        <v/>
      </c>
      <c r="L16" s="21"/>
      <c r="M16" s="20" t="str">
        <f t="shared" si="5"/>
        <v/>
      </c>
      <c r="N16" s="21"/>
      <c r="O16" s="20" t="str">
        <f t="shared" si="6"/>
        <v/>
      </c>
      <c r="P16" s="21"/>
      <c r="Q16" s="20" t="str">
        <f t="shared" si="7"/>
        <v/>
      </c>
      <c r="R16" s="23"/>
      <c r="S16" s="23"/>
      <c r="T16" s="20" t="str">
        <f t="shared" si="8"/>
        <v/>
      </c>
      <c r="U16" s="24" t="str">
        <f t="shared" si="9"/>
        <v/>
      </c>
      <c r="V16" s="28" t="str">
        <f t="shared" si="10"/>
        <v/>
      </c>
      <c r="W16" s="29" t="str">
        <f>IF($I16="OT",ADDRESS(ROW(INDEX(Tbl_Use[Use_Name],1)),COLUMN(Tbl_Use[Use_Name]),1,1,"DV")&amp;":"&amp;ADDRESS(ROW(INDEX(Tbl_Use[Use_Name],1))+ROWS(Tbl_Use[Use_Name])-1,COLUMN(Tbl_Use[Use_Name]),1,1),"_src!$A$1")</f>
        <v>_src!$A$1</v>
      </c>
    </row>
    <row r="17" spans="1:23" x14ac:dyDescent="0.25">
      <c r="A17" s="18">
        <v>2</v>
      </c>
      <c r="B17" s="19"/>
      <c r="C17" s="20" t="str">
        <f t="shared" si="0"/>
        <v/>
      </c>
      <c r="D17" s="21"/>
      <c r="E17" s="20" t="str">
        <f t="shared" si="1"/>
        <v/>
      </c>
      <c r="F17" s="19"/>
      <c r="G17" s="20" t="str">
        <f t="shared" si="2"/>
        <v/>
      </c>
      <c r="H17" s="19"/>
      <c r="I17" s="20" t="str">
        <f t="shared" si="3"/>
        <v/>
      </c>
      <c r="J17" s="19"/>
      <c r="K17" s="20" t="str">
        <f t="shared" si="4"/>
        <v/>
      </c>
      <c r="L17" s="21"/>
      <c r="M17" s="20" t="str">
        <f t="shared" si="5"/>
        <v/>
      </c>
      <c r="N17" s="21"/>
      <c r="O17" s="20" t="str">
        <f t="shared" si="6"/>
        <v/>
      </c>
      <c r="P17" s="21"/>
      <c r="Q17" s="20" t="str">
        <f t="shared" si="7"/>
        <v/>
      </c>
      <c r="R17" s="23"/>
      <c r="S17" s="23"/>
      <c r="T17" s="20" t="str">
        <f t="shared" si="8"/>
        <v/>
      </c>
      <c r="U17" s="24" t="str">
        <f t="shared" si="9"/>
        <v/>
      </c>
      <c r="V17" s="28" t="str">
        <f t="shared" si="10"/>
        <v/>
      </c>
      <c r="W17" s="29" t="str">
        <f>IF($I17="OT",ADDRESS(ROW(INDEX(Tbl_Use[Use_Name],1)),COLUMN(Tbl_Use[Use_Name]),1,1,"DV")&amp;":"&amp;ADDRESS(ROW(INDEX(Tbl_Use[Use_Name],1))+ROWS(Tbl_Use[Use_Name])-1,COLUMN(Tbl_Use[Use_Name]),1,1),"_src!$A$1")</f>
        <v>_src!$A$1</v>
      </c>
    </row>
    <row r="18" spans="1:23" x14ac:dyDescent="0.25">
      <c r="A18" s="18">
        <v>3</v>
      </c>
      <c r="B18" s="19"/>
      <c r="C18" s="20" t="str">
        <f t="shared" si="0"/>
        <v/>
      </c>
      <c r="D18" s="21"/>
      <c r="E18" s="20" t="str">
        <f t="shared" si="1"/>
        <v/>
      </c>
      <c r="F18" s="19"/>
      <c r="G18" s="20" t="str">
        <f t="shared" si="2"/>
        <v/>
      </c>
      <c r="H18" s="19"/>
      <c r="I18" s="20" t="str">
        <f t="shared" si="3"/>
        <v/>
      </c>
      <c r="J18" s="19"/>
      <c r="K18" s="20" t="str">
        <f t="shared" si="4"/>
        <v/>
      </c>
      <c r="L18" s="21"/>
      <c r="M18" s="20" t="str">
        <f t="shared" si="5"/>
        <v/>
      </c>
      <c r="N18" s="21"/>
      <c r="O18" s="20" t="str">
        <f t="shared" si="6"/>
        <v/>
      </c>
      <c r="P18" s="21"/>
      <c r="Q18" s="20" t="str">
        <f t="shared" si="7"/>
        <v/>
      </c>
      <c r="R18" s="23"/>
      <c r="S18" s="23"/>
      <c r="T18" s="20" t="str">
        <f t="shared" si="8"/>
        <v/>
      </c>
      <c r="U18" s="24" t="str">
        <f t="shared" si="9"/>
        <v/>
      </c>
      <c r="V18" s="28" t="str">
        <f t="shared" si="10"/>
        <v/>
      </c>
      <c r="W18" s="29" t="str">
        <f>IF($I18="OT",ADDRESS(ROW(INDEX(Tbl_Use[Use_Name],1)),COLUMN(Tbl_Use[Use_Name]),1,1,"DV")&amp;":"&amp;ADDRESS(ROW(INDEX(Tbl_Use[Use_Name],1))+ROWS(Tbl_Use[Use_Name])-1,COLUMN(Tbl_Use[Use_Name]),1,1),"_src!$A$1")</f>
        <v>_src!$A$1</v>
      </c>
    </row>
    <row r="19" spans="1:23" x14ac:dyDescent="0.25">
      <c r="A19" s="18">
        <v>4</v>
      </c>
      <c r="B19" s="19"/>
      <c r="C19" s="20" t="str">
        <f t="shared" si="0"/>
        <v/>
      </c>
      <c r="D19" s="21"/>
      <c r="E19" s="20" t="str">
        <f t="shared" si="1"/>
        <v/>
      </c>
      <c r="F19" s="19"/>
      <c r="G19" s="20" t="str">
        <f t="shared" si="2"/>
        <v/>
      </c>
      <c r="H19" s="19"/>
      <c r="I19" s="20" t="str">
        <f t="shared" si="3"/>
        <v/>
      </c>
      <c r="J19" s="19"/>
      <c r="K19" s="20" t="str">
        <f t="shared" si="4"/>
        <v/>
      </c>
      <c r="L19" s="21"/>
      <c r="M19" s="20" t="str">
        <f t="shared" si="5"/>
        <v/>
      </c>
      <c r="N19" s="21"/>
      <c r="O19" s="20" t="str">
        <f t="shared" si="6"/>
        <v/>
      </c>
      <c r="P19" s="21"/>
      <c r="Q19" s="20" t="str">
        <f t="shared" si="7"/>
        <v/>
      </c>
      <c r="R19" s="23"/>
      <c r="S19" s="23"/>
      <c r="T19" s="20" t="str">
        <f t="shared" si="8"/>
        <v/>
      </c>
      <c r="U19" s="24" t="str">
        <f t="shared" si="9"/>
        <v/>
      </c>
      <c r="V19" s="28" t="str">
        <f t="shared" si="10"/>
        <v/>
      </c>
      <c r="W19" s="29" t="str">
        <f>IF($I19="OT",ADDRESS(ROW(INDEX(Tbl_Use[Use_Name],1)),COLUMN(Tbl_Use[Use_Name]),1,1,"DV")&amp;":"&amp;ADDRESS(ROW(INDEX(Tbl_Use[Use_Name],1))+ROWS(Tbl_Use[Use_Name])-1,COLUMN(Tbl_Use[Use_Name]),1,1),"_src!$A$1")</f>
        <v>_src!$A$1</v>
      </c>
    </row>
    <row r="20" spans="1:23" x14ac:dyDescent="0.25">
      <c r="A20" s="18">
        <v>5</v>
      </c>
      <c r="B20" s="19"/>
      <c r="C20" s="20" t="str">
        <f t="shared" si="0"/>
        <v/>
      </c>
      <c r="D20" s="21"/>
      <c r="E20" s="20" t="str">
        <f t="shared" si="1"/>
        <v/>
      </c>
      <c r="F20" s="19"/>
      <c r="G20" s="20" t="str">
        <f t="shared" si="2"/>
        <v/>
      </c>
      <c r="H20" s="19"/>
      <c r="I20" s="20" t="str">
        <f t="shared" si="3"/>
        <v/>
      </c>
      <c r="J20" s="19"/>
      <c r="K20" s="20" t="str">
        <f t="shared" si="4"/>
        <v/>
      </c>
      <c r="L20" s="21"/>
      <c r="M20" s="20" t="str">
        <f t="shared" si="5"/>
        <v/>
      </c>
      <c r="N20" s="21"/>
      <c r="O20" s="20" t="str">
        <f t="shared" si="6"/>
        <v/>
      </c>
      <c r="P20" s="21"/>
      <c r="Q20" s="20" t="str">
        <f t="shared" si="7"/>
        <v/>
      </c>
      <c r="R20" s="23"/>
      <c r="S20" s="23"/>
      <c r="T20" s="20" t="str">
        <f t="shared" si="8"/>
        <v/>
      </c>
      <c r="U20" s="24" t="str">
        <f t="shared" si="9"/>
        <v/>
      </c>
      <c r="V20" s="28" t="str">
        <f t="shared" si="10"/>
        <v/>
      </c>
      <c r="W20" s="29" t="str">
        <f>IF($I20="OT",ADDRESS(ROW(INDEX(Tbl_Use[Use_Name],1)),COLUMN(Tbl_Use[Use_Name]),1,1,"DV")&amp;":"&amp;ADDRESS(ROW(INDEX(Tbl_Use[Use_Name],1))+ROWS(Tbl_Use[Use_Name])-1,COLUMN(Tbl_Use[Use_Name]),1,1),"_src!$A$1")</f>
        <v>_src!$A$1</v>
      </c>
    </row>
    <row r="21" spans="1:23" x14ac:dyDescent="0.25">
      <c r="A21" s="18">
        <v>6</v>
      </c>
      <c r="B21" s="19"/>
      <c r="C21" s="20" t="str">
        <f t="shared" si="0"/>
        <v/>
      </c>
      <c r="D21" s="21"/>
      <c r="E21" s="20" t="str">
        <f t="shared" si="1"/>
        <v/>
      </c>
      <c r="F21" s="19"/>
      <c r="G21" s="20" t="str">
        <f t="shared" si="2"/>
        <v/>
      </c>
      <c r="H21" s="19"/>
      <c r="I21" s="20" t="str">
        <f t="shared" si="3"/>
        <v/>
      </c>
      <c r="J21" s="19"/>
      <c r="K21" s="20" t="str">
        <f t="shared" si="4"/>
        <v/>
      </c>
      <c r="L21" s="21"/>
      <c r="M21" s="20" t="str">
        <f t="shared" si="5"/>
        <v/>
      </c>
      <c r="N21" s="21"/>
      <c r="O21" s="20" t="str">
        <f t="shared" si="6"/>
        <v/>
      </c>
      <c r="P21" s="21"/>
      <c r="Q21" s="20" t="str">
        <f t="shared" si="7"/>
        <v/>
      </c>
      <c r="R21" s="23"/>
      <c r="S21" s="23"/>
      <c r="T21" s="20" t="str">
        <f t="shared" si="8"/>
        <v/>
      </c>
      <c r="U21" s="24" t="str">
        <f t="shared" si="9"/>
        <v/>
      </c>
      <c r="V21" s="28" t="str">
        <f t="shared" si="10"/>
        <v/>
      </c>
      <c r="W21" s="29" t="str">
        <f>IF($I21="OT",ADDRESS(ROW(INDEX(Tbl_Use[Use_Name],1)),COLUMN(Tbl_Use[Use_Name]),1,1,"DV")&amp;":"&amp;ADDRESS(ROW(INDEX(Tbl_Use[Use_Name],1))+ROWS(Tbl_Use[Use_Name])-1,COLUMN(Tbl_Use[Use_Name]),1,1),"_src!$A$1")</f>
        <v>_src!$A$1</v>
      </c>
    </row>
    <row r="22" spans="1:23" x14ac:dyDescent="0.25">
      <c r="A22" s="18">
        <v>7</v>
      </c>
      <c r="B22" s="19"/>
      <c r="C22" s="20" t="str">
        <f t="shared" si="0"/>
        <v/>
      </c>
      <c r="D22" s="21"/>
      <c r="E22" s="20" t="str">
        <f t="shared" si="1"/>
        <v/>
      </c>
      <c r="F22" s="19"/>
      <c r="G22" s="20" t="str">
        <f t="shared" si="2"/>
        <v/>
      </c>
      <c r="H22" s="19"/>
      <c r="I22" s="20" t="str">
        <f t="shared" si="3"/>
        <v/>
      </c>
      <c r="J22" s="19"/>
      <c r="K22" s="20" t="str">
        <f t="shared" si="4"/>
        <v/>
      </c>
      <c r="L22" s="21"/>
      <c r="M22" s="20" t="str">
        <f t="shared" si="5"/>
        <v/>
      </c>
      <c r="N22" s="21"/>
      <c r="O22" s="20" t="str">
        <f t="shared" si="6"/>
        <v/>
      </c>
      <c r="P22" s="21"/>
      <c r="Q22" s="20" t="str">
        <f t="shared" si="7"/>
        <v/>
      </c>
      <c r="R22" s="23"/>
      <c r="S22" s="23"/>
      <c r="T22" s="20" t="str">
        <f t="shared" si="8"/>
        <v/>
      </c>
      <c r="U22" s="24" t="str">
        <f t="shared" si="9"/>
        <v/>
      </c>
      <c r="V22" s="28" t="str">
        <f t="shared" si="10"/>
        <v/>
      </c>
      <c r="W22" s="29" t="str">
        <f>IF($I22="OT",ADDRESS(ROW(INDEX(Tbl_Use[Use_Name],1)),COLUMN(Tbl_Use[Use_Name]),1,1,"DV")&amp;":"&amp;ADDRESS(ROW(INDEX(Tbl_Use[Use_Name],1))+ROWS(Tbl_Use[Use_Name])-1,COLUMN(Tbl_Use[Use_Name]),1,1),"_src!$A$1")</f>
        <v>_src!$A$1</v>
      </c>
    </row>
    <row r="23" spans="1:23" x14ac:dyDescent="0.25">
      <c r="A23" s="18">
        <v>8</v>
      </c>
      <c r="B23" s="19"/>
      <c r="C23" s="20" t="str">
        <f t="shared" si="0"/>
        <v/>
      </c>
      <c r="D23" s="21"/>
      <c r="E23" s="20" t="str">
        <f t="shared" si="1"/>
        <v/>
      </c>
      <c r="F23" s="19"/>
      <c r="G23" s="20" t="str">
        <f t="shared" si="2"/>
        <v/>
      </c>
      <c r="H23" s="19"/>
      <c r="I23" s="20" t="str">
        <f t="shared" si="3"/>
        <v/>
      </c>
      <c r="J23" s="19"/>
      <c r="K23" s="20" t="str">
        <f t="shared" si="4"/>
        <v/>
      </c>
      <c r="L23" s="21"/>
      <c r="M23" s="20" t="str">
        <f t="shared" si="5"/>
        <v/>
      </c>
      <c r="N23" s="21"/>
      <c r="O23" s="20" t="str">
        <f t="shared" si="6"/>
        <v/>
      </c>
      <c r="P23" s="21"/>
      <c r="Q23" s="20" t="str">
        <f t="shared" si="7"/>
        <v/>
      </c>
      <c r="R23" s="23"/>
      <c r="S23" s="23"/>
      <c r="T23" s="20" t="str">
        <f t="shared" si="8"/>
        <v/>
      </c>
      <c r="U23" s="24" t="str">
        <f t="shared" si="9"/>
        <v/>
      </c>
      <c r="V23" s="28" t="str">
        <f t="shared" si="10"/>
        <v/>
      </c>
      <c r="W23" s="29" t="str">
        <f>IF($I23="OT",ADDRESS(ROW(INDEX(Tbl_Use[Use_Name],1)),COLUMN(Tbl_Use[Use_Name]),1,1,"DV")&amp;":"&amp;ADDRESS(ROW(INDEX(Tbl_Use[Use_Name],1))+ROWS(Tbl_Use[Use_Name])-1,COLUMN(Tbl_Use[Use_Name]),1,1),"_src!$A$1")</f>
        <v>_src!$A$1</v>
      </c>
    </row>
    <row r="24" spans="1:23" x14ac:dyDescent="0.25">
      <c r="A24" s="18">
        <v>9</v>
      </c>
      <c r="B24" s="19"/>
      <c r="C24" s="20" t="str">
        <f t="shared" si="0"/>
        <v/>
      </c>
      <c r="D24" s="21"/>
      <c r="E24" s="20" t="str">
        <f t="shared" si="1"/>
        <v/>
      </c>
      <c r="F24" s="19"/>
      <c r="G24" s="20" t="str">
        <f t="shared" si="2"/>
        <v/>
      </c>
      <c r="H24" s="19"/>
      <c r="I24" s="20" t="str">
        <f t="shared" si="3"/>
        <v/>
      </c>
      <c r="J24" s="19"/>
      <c r="K24" s="20" t="str">
        <f t="shared" si="4"/>
        <v/>
      </c>
      <c r="L24" s="21"/>
      <c r="M24" s="20" t="str">
        <f t="shared" si="5"/>
        <v/>
      </c>
      <c r="N24" s="21"/>
      <c r="O24" s="20" t="str">
        <f t="shared" si="6"/>
        <v/>
      </c>
      <c r="P24" s="21"/>
      <c r="Q24" s="20" t="str">
        <f t="shared" si="7"/>
        <v/>
      </c>
      <c r="R24" s="23"/>
      <c r="S24" s="23"/>
      <c r="T24" s="20" t="str">
        <f t="shared" si="8"/>
        <v/>
      </c>
      <c r="U24" s="24" t="str">
        <f t="shared" si="9"/>
        <v/>
      </c>
      <c r="V24" s="28" t="str">
        <f t="shared" si="10"/>
        <v/>
      </c>
      <c r="W24" s="29" t="str">
        <f>IF($I24="OT",ADDRESS(ROW(INDEX(Tbl_Use[Use_Name],1)),COLUMN(Tbl_Use[Use_Name]),1,1,"DV")&amp;":"&amp;ADDRESS(ROW(INDEX(Tbl_Use[Use_Name],1))+ROWS(Tbl_Use[Use_Name])-1,COLUMN(Tbl_Use[Use_Name]),1,1),"_src!$A$1")</f>
        <v>_src!$A$1</v>
      </c>
    </row>
    <row r="25" spans="1:23" x14ac:dyDescent="0.25">
      <c r="A25" s="18">
        <v>10</v>
      </c>
      <c r="B25" s="19"/>
      <c r="C25" s="20" t="str">
        <f t="shared" si="0"/>
        <v/>
      </c>
      <c r="D25" s="21"/>
      <c r="E25" s="20" t="str">
        <f t="shared" si="1"/>
        <v/>
      </c>
      <c r="F25" s="19"/>
      <c r="G25" s="20" t="str">
        <f t="shared" si="2"/>
        <v/>
      </c>
      <c r="H25" s="19"/>
      <c r="I25" s="20" t="str">
        <f t="shared" si="3"/>
        <v/>
      </c>
      <c r="J25" s="19"/>
      <c r="K25" s="20" t="str">
        <f t="shared" si="4"/>
        <v/>
      </c>
      <c r="L25" s="21"/>
      <c r="M25" s="20" t="str">
        <f t="shared" si="5"/>
        <v/>
      </c>
      <c r="N25" s="21"/>
      <c r="O25" s="20" t="str">
        <f t="shared" si="6"/>
        <v/>
      </c>
      <c r="P25" s="21"/>
      <c r="Q25" s="20" t="str">
        <f t="shared" si="7"/>
        <v/>
      </c>
      <c r="R25" s="23"/>
      <c r="S25" s="23"/>
      <c r="T25" s="20" t="str">
        <f t="shared" si="8"/>
        <v/>
      </c>
      <c r="U25" s="24" t="str">
        <f t="shared" si="9"/>
        <v/>
      </c>
      <c r="V25" s="28" t="str">
        <f t="shared" si="10"/>
        <v/>
      </c>
      <c r="W25" s="29" t="str">
        <f>IF($I25="OT",ADDRESS(ROW(INDEX(Tbl_Use[Use_Name],1)),COLUMN(Tbl_Use[Use_Name]),1,1,"DV")&amp;":"&amp;ADDRESS(ROW(INDEX(Tbl_Use[Use_Name],1))+ROWS(Tbl_Use[Use_Name])-1,COLUMN(Tbl_Use[Use_Name]),1,1),"_src!$A$1")</f>
        <v>_src!$A$1</v>
      </c>
    </row>
    <row r="26" spans="1:23" x14ac:dyDescent="0.25">
      <c r="A26" s="18">
        <v>11</v>
      </c>
      <c r="B26" s="19"/>
      <c r="C26" s="20" t="str">
        <f t="shared" si="0"/>
        <v/>
      </c>
      <c r="D26" s="21"/>
      <c r="E26" s="20" t="str">
        <f t="shared" si="1"/>
        <v/>
      </c>
      <c r="F26" s="19"/>
      <c r="G26" s="20" t="str">
        <f t="shared" si="2"/>
        <v/>
      </c>
      <c r="H26" s="19"/>
      <c r="I26" s="20" t="str">
        <f t="shared" si="3"/>
        <v/>
      </c>
      <c r="J26" s="19"/>
      <c r="K26" s="20" t="str">
        <f t="shared" si="4"/>
        <v/>
      </c>
      <c r="L26" s="21"/>
      <c r="M26" s="20" t="str">
        <f t="shared" si="5"/>
        <v/>
      </c>
      <c r="N26" s="21"/>
      <c r="O26" s="20" t="str">
        <f t="shared" si="6"/>
        <v/>
      </c>
      <c r="P26" s="21"/>
      <c r="Q26" s="20" t="str">
        <f t="shared" si="7"/>
        <v/>
      </c>
      <c r="R26" s="23"/>
      <c r="S26" s="23"/>
      <c r="T26" s="20" t="str">
        <f t="shared" si="8"/>
        <v/>
      </c>
      <c r="U26" s="24" t="str">
        <f t="shared" si="9"/>
        <v/>
      </c>
      <c r="V26" s="28" t="str">
        <f t="shared" si="10"/>
        <v/>
      </c>
      <c r="W26" s="29" t="str">
        <f>IF($I26="OT",ADDRESS(ROW(INDEX(Tbl_Use[Use_Name],1)),COLUMN(Tbl_Use[Use_Name]),1,1,"DV")&amp;":"&amp;ADDRESS(ROW(INDEX(Tbl_Use[Use_Name],1))+ROWS(Tbl_Use[Use_Name])-1,COLUMN(Tbl_Use[Use_Name]),1,1),"_src!$A$1")</f>
        <v>_src!$A$1</v>
      </c>
    </row>
    <row r="27" spans="1:23" x14ac:dyDescent="0.25">
      <c r="A27" s="18">
        <v>12</v>
      </c>
      <c r="B27" s="19"/>
      <c r="C27" s="20" t="str">
        <f t="shared" si="0"/>
        <v/>
      </c>
      <c r="D27" s="21"/>
      <c r="E27" s="20" t="str">
        <f t="shared" si="1"/>
        <v/>
      </c>
      <c r="F27" s="19"/>
      <c r="G27" s="20" t="str">
        <f t="shared" si="2"/>
        <v/>
      </c>
      <c r="H27" s="19"/>
      <c r="I27" s="20" t="str">
        <f t="shared" si="3"/>
        <v/>
      </c>
      <c r="J27" s="19"/>
      <c r="K27" s="20" t="str">
        <f t="shared" si="4"/>
        <v/>
      </c>
      <c r="L27" s="21"/>
      <c r="M27" s="20" t="str">
        <f t="shared" si="5"/>
        <v/>
      </c>
      <c r="N27" s="21"/>
      <c r="O27" s="20" t="str">
        <f t="shared" si="6"/>
        <v/>
      </c>
      <c r="P27" s="21"/>
      <c r="Q27" s="20" t="str">
        <f t="shared" si="7"/>
        <v/>
      </c>
      <c r="R27" s="23"/>
      <c r="S27" s="23"/>
      <c r="T27" s="20" t="str">
        <f t="shared" si="8"/>
        <v/>
      </c>
      <c r="U27" s="24" t="str">
        <f t="shared" si="9"/>
        <v/>
      </c>
      <c r="V27" s="28" t="str">
        <f t="shared" si="10"/>
        <v/>
      </c>
      <c r="W27" s="29" t="str">
        <f>IF($I27="OT",ADDRESS(ROW(INDEX(Tbl_Use[Use_Name],1)),COLUMN(Tbl_Use[Use_Name]),1,1,"DV")&amp;":"&amp;ADDRESS(ROW(INDEX(Tbl_Use[Use_Name],1))+ROWS(Tbl_Use[Use_Name])-1,COLUMN(Tbl_Use[Use_Name]),1,1),"_src!$A$1")</f>
        <v>_src!$A$1</v>
      </c>
    </row>
    <row r="28" spans="1:23" x14ac:dyDescent="0.25">
      <c r="A28" s="18">
        <v>13</v>
      </c>
      <c r="B28" s="19"/>
      <c r="C28" s="20" t="str">
        <f t="shared" si="0"/>
        <v/>
      </c>
      <c r="D28" s="21"/>
      <c r="E28" s="20" t="str">
        <f t="shared" si="1"/>
        <v/>
      </c>
      <c r="F28" s="19"/>
      <c r="G28" s="20" t="str">
        <f t="shared" si="2"/>
        <v/>
      </c>
      <c r="H28" s="19"/>
      <c r="I28" s="20" t="str">
        <f t="shared" si="3"/>
        <v/>
      </c>
      <c r="J28" s="19"/>
      <c r="K28" s="20" t="str">
        <f t="shared" si="4"/>
        <v/>
      </c>
      <c r="L28" s="21"/>
      <c r="M28" s="20" t="str">
        <f t="shared" si="5"/>
        <v/>
      </c>
      <c r="N28" s="21"/>
      <c r="O28" s="20" t="str">
        <f t="shared" si="6"/>
        <v/>
      </c>
      <c r="P28" s="21"/>
      <c r="Q28" s="20" t="str">
        <f t="shared" si="7"/>
        <v/>
      </c>
      <c r="R28" s="23"/>
      <c r="S28" s="23"/>
      <c r="T28" s="20" t="str">
        <f t="shared" si="8"/>
        <v/>
      </c>
      <c r="U28" s="24" t="str">
        <f t="shared" si="9"/>
        <v/>
      </c>
      <c r="V28" s="28" t="str">
        <f t="shared" si="10"/>
        <v/>
      </c>
      <c r="W28" s="29" t="str">
        <f>IF($I28="OT",ADDRESS(ROW(INDEX(Tbl_Use[Use_Name],1)),COLUMN(Tbl_Use[Use_Name]),1,1,"DV")&amp;":"&amp;ADDRESS(ROW(INDEX(Tbl_Use[Use_Name],1))+ROWS(Tbl_Use[Use_Name])-1,COLUMN(Tbl_Use[Use_Name]),1,1),"_src!$A$1")</f>
        <v>_src!$A$1</v>
      </c>
    </row>
    <row r="29" spans="1:23" x14ac:dyDescent="0.25">
      <c r="A29" s="18">
        <v>14</v>
      </c>
      <c r="B29" s="19"/>
      <c r="C29" s="20" t="str">
        <f t="shared" si="0"/>
        <v/>
      </c>
      <c r="D29" s="21"/>
      <c r="E29" s="20" t="str">
        <f t="shared" si="1"/>
        <v/>
      </c>
      <c r="F29" s="19"/>
      <c r="G29" s="20" t="str">
        <f t="shared" si="2"/>
        <v/>
      </c>
      <c r="H29" s="19"/>
      <c r="I29" s="20" t="str">
        <f t="shared" si="3"/>
        <v/>
      </c>
      <c r="J29" s="19"/>
      <c r="K29" s="20" t="str">
        <f t="shared" si="4"/>
        <v/>
      </c>
      <c r="L29" s="21"/>
      <c r="M29" s="20" t="str">
        <f t="shared" si="5"/>
        <v/>
      </c>
      <c r="N29" s="21"/>
      <c r="O29" s="20" t="str">
        <f t="shared" si="6"/>
        <v/>
      </c>
      <c r="P29" s="21"/>
      <c r="Q29" s="20" t="str">
        <f t="shared" si="7"/>
        <v/>
      </c>
      <c r="R29" s="23"/>
      <c r="S29" s="23"/>
      <c r="T29" s="20" t="str">
        <f t="shared" si="8"/>
        <v/>
      </c>
      <c r="U29" s="24" t="str">
        <f t="shared" si="9"/>
        <v/>
      </c>
      <c r="V29" s="28" t="str">
        <f t="shared" si="10"/>
        <v/>
      </c>
      <c r="W29" s="29" t="str">
        <f>IF($I29="OT",ADDRESS(ROW(INDEX(Tbl_Use[Use_Name],1)),COLUMN(Tbl_Use[Use_Name]),1,1,"DV")&amp;":"&amp;ADDRESS(ROW(INDEX(Tbl_Use[Use_Name],1))+ROWS(Tbl_Use[Use_Name])-1,COLUMN(Tbl_Use[Use_Name]),1,1),"_src!$A$1")</f>
        <v>_src!$A$1</v>
      </c>
    </row>
    <row r="30" spans="1:23" x14ac:dyDescent="0.25">
      <c r="A30" s="18">
        <v>15</v>
      </c>
      <c r="B30" s="19"/>
      <c r="C30" s="20" t="str">
        <f t="shared" si="0"/>
        <v/>
      </c>
      <c r="D30" s="21"/>
      <c r="E30" s="20" t="str">
        <f t="shared" si="1"/>
        <v/>
      </c>
      <c r="F30" s="19"/>
      <c r="G30" s="20" t="str">
        <f t="shared" si="2"/>
        <v/>
      </c>
      <c r="H30" s="19"/>
      <c r="I30" s="20" t="str">
        <f t="shared" si="3"/>
        <v/>
      </c>
      <c r="J30" s="19"/>
      <c r="K30" s="20" t="str">
        <f t="shared" si="4"/>
        <v/>
      </c>
      <c r="L30" s="21"/>
      <c r="M30" s="20" t="str">
        <f t="shared" si="5"/>
        <v/>
      </c>
      <c r="N30" s="21"/>
      <c r="O30" s="20" t="str">
        <f t="shared" si="6"/>
        <v/>
      </c>
      <c r="P30" s="21"/>
      <c r="Q30" s="20" t="str">
        <f t="shared" si="7"/>
        <v/>
      </c>
      <c r="R30" s="23"/>
      <c r="S30" s="23"/>
      <c r="T30" s="20" t="str">
        <f t="shared" si="8"/>
        <v/>
      </c>
      <c r="U30" s="24" t="str">
        <f t="shared" si="9"/>
        <v/>
      </c>
      <c r="V30" s="28" t="str">
        <f t="shared" si="10"/>
        <v/>
      </c>
      <c r="W30" s="29" t="str">
        <f>IF($I30="OT",ADDRESS(ROW(INDEX(Tbl_Use[Use_Name],1)),COLUMN(Tbl_Use[Use_Name]),1,1,"DV")&amp;":"&amp;ADDRESS(ROW(INDEX(Tbl_Use[Use_Name],1))+ROWS(Tbl_Use[Use_Name])-1,COLUMN(Tbl_Use[Use_Name]),1,1),"_src!$A$1")</f>
        <v>_src!$A$1</v>
      </c>
    </row>
    <row r="33" spans="1:22" ht="21.95" customHeight="1" x14ac:dyDescent="0.25">
      <c r="A33" s="44" t="s">
        <v>422</v>
      </c>
      <c r="B33" s="45"/>
      <c r="C33" s="45"/>
      <c r="D33" s="45"/>
      <c r="E33" s="45"/>
      <c r="F33" s="45"/>
      <c r="G33" s="45"/>
      <c r="H33" s="45"/>
      <c r="I33" s="45"/>
      <c r="J33" s="45"/>
      <c r="K33" s="45"/>
      <c r="L33" s="45"/>
      <c r="M33" s="45"/>
      <c r="N33" s="45"/>
      <c r="O33" s="45"/>
      <c r="P33" s="45"/>
      <c r="Q33" s="45"/>
      <c r="R33" s="45"/>
      <c r="S33" s="45"/>
      <c r="T33" s="45"/>
      <c r="U33" s="45"/>
      <c r="V33" s="45"/>
    </row>
    <row r="35" spans="1:22" ht="24" customHeight="1" x14ac:dyDescent="0.25">
      <c r="A35" s="46" t="s">
        <v>462</v>
      </c>
      <c r="B35" s="35"/>
      <c r="C35" s="35"/>
      <c r="D35" s="35"/>
      <c r="E35" s="35"/>
      <c r="F35" s="35"/>
      <c r="G35" s="35"/>
      <c r="H35" s="35"/>
      <c r="I35" s="35"/>
      <c r="J35" s="35"/>
      <c r="K35" s="35"/>
      <c r="L35" s="35"/>
      <c r="M35" s="35"/>
      <c r="N35" s="35"/>
      <c r="O35" s="35"/>
      <c r="P35" s="35"/>
      <c r="Q35" s="35"/>
      <c r="R35" s="35"/>
      <c r="S35" s="35"/>
      <c r="T35" s="35"/>
      <c r="U35" s="35"/>
      <c r="V35" s="35"/>
    </row>
    <row r="36" spans="1:22" ht="36" customHeight="1" x14ac:dyDescent="0.25">
      <c r="A36" s="42" t="s">
        <v>424</v>
      </c>
      <c r="B36" s="35"/>
      <c r="C36" s="35"/>
      <c r="D36" s="35"/>
      <c r="E36" s="35"/>
      <c r="F36" s="35"/>
      <c r="G36" s="35"/>
      <c r="H36" s="35"/>
      <c r="I36" s="35"/>
      <c r="J36" s="35"/>
      <c r="K36" s="35"/>
      <c r="L36" s="35"/>
      <c r="M36" s="35"/>
      <c r="N36" s="35"/>
      <c r="O36" s="35"/>
      <c r="P36" s="35"/>
      <c r="Q36" s="35"/>
      <c r="R36" s="35"/>
      <c r="S36" s="35"/>
      <c r="T36" s="35"/>
      <c r="U36" s="35"/>
      <c r="V36" s="35"/>
    </row>
    <row r="38" spans="1:22" ht="18" customHeight="1" x14ac:dyDescent="0.25">
      <c r="A38" s="41" t="s">
        <v>425</v>
      </c>
      <c r="B38" s="35"/>
      <c r="C38" s="35"/>
      <c r="D38" s="35"/>
      <c r="E38" s="35"/>
      <c r="F38" s="35"/>
      <c r="G38" s="35"/>
      <c r="H38" s="35"/>
      <c r="I38" s="35"/>
      <c r="J38" s="35"/>
      <c r="K38" s="35"/>
      <c r="L38" s="35"/>
      <c r="M38" s="35"/>
      <c r="N38" s="35"/>
      <c r="O38" s="35"/>
      <c r="P38" s="35"/>
      <c r="Q38" s="35"/>
      <c r="R38" s="35"/>
      <c r="S38" s="35"/>
      <c r="T38" s="35"/>
      <c r="U38" s="35"/>
      <c r="V38" s="35"/>
    </row>
    <row r="39" spans="1:22" ht="21" customHeight="1" x14ac:dyDescent="0.25">
      <c r="A39" s="42" t="s">
        <v>426</v>
      </c>
      <c r="B39" s="35"/>
      <c r="C39" s="35"/>
      <c r="D39" s="35"/>
      <c r="E39" s="35"/>
      <c r="F39" s="35"/>
      <c r="G39" s="35"/>
      <c r="H39" s="35"/>
      <c r="I39" s="35"/>
      <c r="J39" s="35"/>
      <c r="K39" s="35"/>
      <c r="L39" s="35"/>
      <c r="M39" s="35"/>
      <c r="N39" s="35"/>
      <c r="O39" s="35"/>
      <c r="P39" s="35"/>
      <c r="Q39" s="35"/>
      <c r="R39" s="35"/>
      <c r="S39" s="35"/>
      <c r="T39" s="35"/>
      <c r="U39" s="35"/>
      <c r="V39" s="35"/>
    </row>
    <row r="41" spans="1:22" ht="18" customHeight="1" x14ac:dyDescent="0.25">
      <c r="A41" s="41" t="s">
        <v>427</v>
      </c>
      <c r="B41" s="35"/>
      <c r="C41" s="35"/>
      <c r="D41" s="35"/>
      <c r="E41" s="35"/>
      <c r="F41" s="35"/>
      <c r="G41" s="35"/>
      <c r="H41" s="35"/>
      <c r="I41" s="35"/>
      <c r="J41" s="35"/>
      <c r="K41" s="35"/>
      <c r="L41" s="35"/>
      <c r="M41" s="35"/>
      <c r="N41" s="35"/>
      <c r="O41" s="35"/>
      <c r="P41" s="35"/>
      <c r="Q41" s="35"/>
      <c r="R41" s="35"/>
      <c r="S41" s="35"/>
      <c r="T41" s="35"/>
      <c r="U41" s="35"/>
      <c r="V41" s="35"/>
    </row>
    <row r="42" spans="1:22" ht="36" customHeight="1" x14ac:dyDescent="0.25">
      <c r="A42" s="42" t="s">
        <v>428</v>
      </c>
      <c r="B42" s="35"/>
      <c r="C42" s="35"/>
      <c r="D42" s="35"/>
      <c r="E42" s="35"/>
      <c r="F42" s="35"/>
      <c r="G42" s="35"/>
      <c r="H42" s="35"/>
      <c r="I42" s="35"/>
      <c r="J42" s="35"/>
      <c r="K42" s="35"/>
      <c r="L42" s="35"/>
      <c r="M42" s="35"/>
      <c r="N42" s="35"/>
      <c r="O42" s="35"/>
      <c r="P42" s="35"/>
      <c r="Q42" s="35"/>
      <c r="R42" s="35"/>
      <c r="S42" s="35"/>
      <c r="T42" s="35"/>
      <c r="U42" s="35"/>
      <c r="V42" s="35"/>
    </row>
    <row r="45" spans="1:22" ht="21.95" customHeight="1" x14ac:dyDescent="0.25">
      <c r="A45" s="44" t="s">
        <v>463</v>
      </c>
      <c r="B45" s="45"/>
      <c r="C45" s="45"/>
      <c r="D45" s="45"/>
      <c r="E45" s="45"/>
      <c r="F45" s="45"/>
      <c r="G45" s="45"/>
      <c r="H45" s="45"/>
      <c r="I45" s="45"/>
      <c r="J45" s="45"/>
      <c r="K45" s="45"/>
      <c r="L45" s="45"/>
      <c r="M45" s="45"/>
      <c r="N45" s="45"/>
      <c r="O45" s="45"/>
      <c r="P45" s="45"/>
      <c r="Q45" s="45"/>
      <c r="R45" s="45"/>
      <c r="S45" s="45"/>
      <c r="T45" s="45"/>
      <c r="U45" s="45"/>
      <c r="V45" s="45"/>
    </row>
    <row r="46" spans="1:22" ht="15.95" customHeight="1" x14ac:dyDescent="0.25">
      <c r="A46" s="43" t="s">
        <v>430</v>
      </c>
      <c r="B46" s="35"/>
      <c r="C46" s="35"/>
      <c r="D46" s="35"/>
      <c r="E46" s="35"/>
      <c r="F46" s="35"/>
      <c r="G46" s="35"/>
      <c r="H46" s="35"/>
      <c r="I46" s="35"/>
      <c r="J46" s="35"/>
      <c r="K46" s="35"/>
      <c r="L46" s="35"/>
      <c r="M46" s="35"/>
      <c r="N46" s="35"/>
      <c r="O46" s="35"/>
      <c r="P46" s="35"/>
      <c r="Q46" s="35"/>
      <c r="R46" s="35"/>
      <c r="S46" s="35"/>
      <c r="T46" s="35"/>
      <c r="U46" s="35"/>
      <c r="V46" s="35"/>
    </row>
    <row r="48" spans="1:22" ht="18" customHeight="1" x14ac:dyDescent="0.25">
      <c r="A48" s="41" t="s">
        <v>464</v>
      </c>
      <c r="B48" s="35"/>
      <c r="C48" s="35"/>
      <c r="D48" s="35"/>
      <c r="E48" s="35"/>
      <c r="F48" s="35"/>
      <c r="G48" s="35"/>
      <c r="H48" s="35"/>
      <c r="I48" s="35"/>
      <c r="J48" s="35"/>
      <c r="K48" s="35"/>
      <c r="L48" s="35"/>
      <c r="M48" s="35"/>
      <c r="N48" s="35"/>
      <c r="O48" s="35"/>
      <c r="P48" s="35"/>
      <c r="Q48" s="35"/>
      <c r="R48" s="35"/>
      <c r="S48" s="35"/>
      <c r="T48" s="35"/>
      <c r="U48" s="35"/>
      <c r="V48" s="35"/>
    </row>
    <row r="49" spans="1:22" ht="36" customHeight="1" x14ac:dyDescent="0.25">
      <c r="A49" s="42" t="s">
        <v>465</v>
      </c>
      <c r="B49" s="35"/>
      <c r="C49" s="35"/>
      <c r="D49" s="35"/>
      <c r="E49" s="35"/>
      <c r="F49" s="35"/>
      <c r="G49" s="35"/>
      <c r="H49" s="35"/>
      <c r="I49" s="35"/>
      <c r="J49" s="35"/>
      <c r="K49" s="35"/>
      <c r="L49" s="35"/>
      <c r="M49" s="35"/>
      <c r="N49" s="35"/>
      <c r="O49" s="35"/>
      <c r="P49" s="35"/>
      <c r="Q49" s="35"/>
      <c r="R49" s="35"/>
      <c r="S49" s="35"/>
      <c r="T49" s="35"/>
      <c r="U49" s="35"/>
      <c r="V49" s="35"/>
    </row>
    <row r="50" spans="1:22" ht="6" customHeight="1" x14ac:dyDescent="0.25"/>
    <row r="51" spans="1:22" ht="18" customHeight="1" x14ac:dyDescent="0.25">
      <c r="A51" s="41" t="s">
        <v>466</v>
      </c>
      <c r="B51" s="35"/>
      <c r="C51" s="35"/>
      <c r="D51" s="35"/>
      <c r="E51" s="35"/>
      <c r="F51" s="35"/>
      <c r="G51" s="35"/>
      <c r="H51" s="35"/>
      <c r="I51" s="35"/>
      <c r="J51" s="35"/>
      <c r="K51" s="35"/>
      <c r="L51" s="35"/>
      <c r="M51" s="35"/>
      <c r="N51" s="35"/>
      <c r="O51" s="35"/>
      <c r="P51" s="35"/>
      <c r="Q51" s="35"/>
      <c r="R51" s="35"/>
      <c r="S51" s="35"/>
      <c r="T51" s="35"/>
      <c r="U51" s="35"/>
      <c r="V51" s="35"/>
    </row>
    <row r="52" spans="1:22" ht="36" customHeight="1" x14ac:dyDescent="0.25">
      <c r="A52" s="42" t="s">
        <v>467</v>
      </c>
      <c r="B52" s="35"/>
      <c r="C52" s="35"/>
      <c r="D52" s="35"/>
      <c r="E52" s="35"/>
      <c r="F52" s="35"/>
      <c r="G52" s="35"/>
      <c r="H52" s="35"/>
      <c r="I52" s="35"/>
      <c r="J52" s="35"/>
      <c r="K52" s="35"/>
      <c r="L52" s="35"/>
      <c r="M52" s="35"/>
      <c r="N52" s="35"/>
      <c r="O52" s="35"/>
      <c r="P52" s="35"/>
      <c r="Q52" s="35"/>
      <c r="R52" s="35"/>
      <c r="S52" s="35"/>
      <c r="T52" s="35"/>
      <c r="U52" s="35"/>
      <c r="V52" s="35"/>
    </row>
    <row r="53" spans="1:22" ht="6" customHeight="1" x14ac:dyDescent="0.25"/>
    <row r="54" spans="1:22" ht="18" customHeight="1" x14ac:dyDescent="0.25">
      <c r="A54" s="41" t="s">
        <v>468</v>
      </c>
      <c r="B54" s="35"/>
      <c r="C54" s="35"/>
      <c r="D54" s="35"/>
      <c r="E54" s="35"/>
      <c r="F54" s="35"/>
      <c r="G54" s="35"/>
      <c r="H54" s="35"/>
      <c r="I54" s="35"/>
      <c r="J54" s="35"/>
      <c r="K54" s="35"/>
      <c r="L54" s="35"/>
      <c r="M54" s="35"/>
      <c r="N54" s="35"/>
      <c r="O54" s="35"/>
      <c r="P54" s="35"/>
      <c r="Q54" s="35"/>
      <c r="R54" s="35"/>
      <c r="S54" s="35"/>
      <c r="T54" s="35"/>
      <c r="U54" s="35"/>
      <c r="V54" s="35"/>
    </row>
    <row r="55" spans="1:22" ht="21" customHeight="1" x14ac:dyDescent="0.25">
      <c r="A55" s="42" t="s">
        <v>469</v>
      </c>
      <c r="B55" s="35"/>
      <c r="C55" s="35"/>
      <c r="D55" s="35"/>
      <c r="E55" s="35"/>
      <c r="F55" s="35"/>
      <c r="G55" s="35"/>
      <c r="H55" s="35"/>
      <c r="I55" s="35"/>
      <c r="J55" s="35"/>
      <c r="K55" s="35"/>
      <c r="L55" s="35"/>
      <c r="M55" s="35"/>
      <c r="N55" s="35"/>
      <c r="O55" s="35"/>
      <c r="P55" s="35"/>
      <c r="Q55" s="35"/>
      <c r="R55" s="35"/>
      <c r="S55" s="35"/>
      <c r="T55" s="35"/>
      <c r="U55" s="35"/>
      <c r="V55" s="35"/>
    </row>
    <row r="56" spans="1:22" ht="6" customHeight="1" x14ac:dyDescent="0.25"/>
    <row r="57" spans="1:22" ht="18" customHeight="1" x14ac:dyDescent="0.25">
      <c r="A57" s="41" t="s">
        <v>448</v>
      </c>
      <c r="B57" s="35"/>
      <c r="C57" s="35"/>
      <c r="D57" s="35"/>
      <c r="E57" s="35"/>
      <c r="F57" s="35"/>
      <c r="G57" s="35"/>
      <c r="H57" s="35"/>
      <c r="I57" s="35"/>
      <c r="J57" s="35"/>
      <c r="K57" s="35"/>
      <c r="L57" s="35"/>
      <c r="M57" s="35"/>
      <c r="N57" s="35"/>
      <c r="O57" s="35"/>
      <c r="P57" s="35"/>
      <c r="Q57" s="35"/>
      <c r="R57" s="35"/>
      <c r="S57" s="35"/>
      <c r="T57" s="35"/>
      <c r="U57" s="35"/>
      <c r="V57" s="35"/>
    </row>
    <row r="58" spans="1:22" ht="21" customHeight="1" x14ac:dyDescent="0.25">
      <c r="A58" s="42" t="s">
        <v>470</v>
      </c>
      <c r="B58" s="35"/>
      <c r="C58" s="35"/>
      <c r="D58" s="35"/>
      <c r="E58" s="35"/>
      <c r="F58" s="35"/>
      <c r="G58" s="35"/>
      <c r="H58" s="35"/>
      <c r="I58" s="35"/>
      <c r="J58" s="35"/>
      <c r="K58" s="35"/>
      <c r="L58" s="35"/>
      <c r="M58" s="35"/>
      <c r="N58" s="35"/>
      <c r="O58" s="35"/>
      <c r="P58" s="35"/>
      <c r="Q58" s="35"/>
      <c r="R58" s="35"/>
      <c r="S58" s="35"/>
      <c r="T58" s="35"/>
      <c r="U58" s="35"/>
      <c r="V58" s="35"/>
    </row>
    <row r="59" spans="1:22" ht="6" customHeight="1" x14ac:dyDescent="0.25"/>
    <row r="60" spans="1:22" ht="18" customHeight="1" x14ac:dyDescent="0.25">
      <c r="A60" s="41" t="s">
        <v>388</v>
      </c>
      <c r="B60" s="35"/>
      <c r="C60" s="35"/>
      <c r="D60" s="35"/>
      <c r="E60" s="35"/>
      <c r="F60" s="35"/>
      <c r="G60" s="35"/>
      <c r="H60" s="35"/>
      <c r="I60" s="35"/>
      <c r="J60" s="35"/>
      <c r="K60" s="35"/>
      <c r="L60" s="35"/>
      <c r="M60" s="35"/>
      <c r="N60" s="35"/>
      <c r="O60" s="35"/>
      <c r="P60" s="35"/>
      <c r="Q60" s="35"/>
      <c r="R60" s="35"/>
      <c r="S60" s="35"/>
      <c r="T60" s="35"/>
      <c r="U60" s="35"/>
      <c r="V60" s="35"/>
    </row>
    <row r="61" spans="1:22" ht="51" customHeight="1" x14ac:dyDescent="0.25">
      <c r="A61" s="42" t="s">
        <v>389</v>
      </c>
      <c r="B61" s="35"/>
      <c r="C61" s="35"/>
      <c r="D61" s="35"/>
      <c r="E61" s="35"/>
      <c r="F61" s="35"/>
      <c r="G61" s="35"/>
      <c r="H61" s="35"/>
      <c r="I61" s="35"/>
      <c r="J61" s="35"/>
      <c r="K61" s="35"/>
      <c r="L61" s="35"/>
      <c r="M61" s="35"/>
      <c r="N61" s="35"/>
      <c r="O61" s="35"/>
      <c r="P61" s="35"/>
      <c r="Q61" s="35"/>
      <c r="R61" s="35"/>
      <c r="S61" s="35"/>
      <c r="T61" s="35"/>
      <c r="U61" s="35"/>
      <c r="V61" s="35"/>
    </row>
    <row r="62" spans="1:22" ht="6" customHeight="1" x14ac:dyDescent="0.25"/>
    <row r="65" spans="1:22" ht="21.95" customHeight="1" x14ac:dyDescent="0.25">
      <c r="A65" s="44" t="s">
        <v>390</v>
      </c>
      <c r="B65" s="45"/>
      <c r="C65" s="45"/>
      <c r="D65" s="45"/>
      <c r="E65" s="45"/>
      <c r="F65" s="45"/>
      <c r="G65" s="45"/>
      <c r="H65" s="45"/>
      <c r="I65" s="45"/>
      <c r="J65" s="45"/>
      <c r="K65" s="45"/>
      <c r="L65" s="45"/>
      <c r="M65" s="45"/>
      <c r="N65" s="45"/>
      <c r="O65" s="45"/>
      <c r="P65" s="45"/>
      <c r="Q65" s="45"/>
      <c r="R65" s="45"/>
      <c r="S65" s="45"/>
      <c r="T65" s="45"/>
      <c r="U65" s="45"/>
      <c r="V65" s="45"/>
    </row>
    <row r="67" spans="1:22" ht="18" customHeight="1" x14ac:dyDescent="0.25">
      <c r="A67" s="41" t="s">
        <v>91</v>
      </c>
      <c r="B67" s="35"/>
      <c r="C67" s="35"/>
      <c r="D67" s="35"/>
      <c r="E67" s="35"/>
      <c r="F67" s="35"/>
      <c r="G67" s="35"/>
      <c r="H67" s="35"/>
      <c r="I67" s="35"/>
      <c r="J67" s="35"/>
      <c r="K67" s="35"/>
      <c r="L67" s="35"/>
      <c r="M67" s="35"/>
      <c r="N67" s="35"/>
      <c r="O67" s="35"/>
      <c r="P67" s="35"/>
      <c r="Q67" s="35"/>
      <c r="R67" s="35"/>
      <c r="S67" s="35"/>
      <c r="T67" s="35"/>
      <c r="U67" s="35"/>
      <c r="V67" s="35"/>
    </row>
    <row r="68" spans="1:22" ht="21" customHeight="1" x14ac:dyDescent="0.25">
      <c r="A68" s="42" t="s">
        <v>391</v>
      </c>
      <c r="B68" s="35"/>
      <c r="C68" s="35"/>
      <c r="D68" s="35"/>
      <c r="E68" s="35"/>
      <c r="F68" s="35"/>
      <c r="G68" s="35"/>
      <c r="H68" s="35"/>
      <c r="I68" s="35"/>
      <c r="J68" s="35"/>
      <c r="K68" s="35"/>
      <c r="L68" s="35"/>
      <c r="M68" s="35"/>
      <c r="N68" s="35"/>
      <c r="O68" s="35"/>
      <c r="P68" s="35"/>
      <c r="Q68" s="35"/>
      <c r="R68" s="35"/>
      <c r="S68" s="35"/>
      <c r="T68" s="35"/>
      <c r="U68" s="35"/>
      <c r="V68" s="35"/>
    </row>
    <row r="69" spans="1:22" ht="6" customHeight="1" x14ac:dyDescent="0.25"/>
    <row r="70" spans="1:22" ht="18" customHeight="1" x14ac:dyDescent="0.25">
      <c r="A70" s="41" t="s">
        <v>130</v>
      </c>
      <c r="B70" s="35"/>
      <c r="C70" s="35"/>
      <c r="D70" s="35"/>
      <c r="E70" s="35"/>
      <c r="F70" s="35"/>
      <c r="G70" s="35"/>
      <c r="H70" s="35"/>
      <c r="I70" s="35"/>
      <c r="J70" s="35"/>
      <c r="K70" s="35"/>
      <c r="L70" s="35"/>
      <c r="M70" s="35"/>
      <c r="N70" s="35"/>
      <c r="O70" s="35"/>
      <c r="P70" s="35"/>
      <c r="Q70" s="35"/>
      <c r="R70" s="35"/>
      <c r="S70" s="35"/>
      <c r="T70" s="35"/>
      <c r="U70" s="35"/>
      <c r="V70" s="35"/>
    </row>
    <row r="71" spans="1:22" ht="36" customHeight="1" x14ac:dyDescent="0.25">
      <c r="A71" s="42" t="s">
        <v>392</v>
      </c>
      <c r="B71" s="35"/>
      <c r="C71" s="35"/>
      <c r="D71" s="35"/>
      <c r="E71" s="35"/>
      <c r="F71" s="35"/>
      <c r="G71" s="35"/>
      <c r="H71" s="35"/>
      <c r="I71" s="35"/>
      <c r="J71" s="35"/>
      <c r="K71" s="35"/>
      <c r="L71" s="35"/>
      <c r="M71" s="35"/>
      <c r="N71" s="35"/>
      <c r="O71" s="35"/>
      <c r="P71" s="35"/>
      <c r="Q71" s="35"/>
      <c r="R71" s="35"/>
      <c r="S71" s="35"/>
      <c r="T71" s="35"/>
      <c r="U71" s="35"/>
      <c r="V71" s="35"/>
    </row>
    <row r="72" spans="1:22" ht="6" customHeight="1" x14ac:dyDescent="0.25"/>
    <row r="73" spans="1:22" ht="18" customHeight="1" x14ac:dyDescent="0.25">
      <c r="A73" s="41" t="s">
        <v>355</v>
      </c>
      <c r="B73" s="35"/>
      <c r="C73" s="35"/>
      <c r="D73" s="35"/>
      <c r="E73" s="35"/>
      <c r="F73" s="35"/>
      <c r="G73" s="35"/>
      <c r="H73" s="35"/>
      <c r="I73" s="35"/>
      <c r="J73" s="35"/>
      <c r="K73" s="35"/>
      <c r="L73" s="35"/>
      <c r="M73" s="35"/>
      <c r="N73" s="35"/>
      <c r="O73" s="35"/>
      <c r="P73" s="35"/>
      <c r="Q73" s="35"/>
      <c r="R73" s="35"/>
      <c r="S73" s="35"/>
      <c r="T73" s="35"/>
      <c r="U73" s="35"/>
      <c r="V73" s="35"/>
    </row>
    <row r="74" spans="1:22" ht="21" customHeight="1" x14ac:dyDescent="0.25">
      <c r="A74" s="42" t="s">
        <v>393</v>
      </c>
      <c r="B74" s="35"/>
      <c r="C74" s="35"/>
      <c r="D74" s="35"/>
      <c r="E74" s="35"/>
      <c r="F74" s="35"/>
      <c r="G74" s="35"/>
      <c r="H74" s="35"/>
      <c r="I74" s="35"/>
      <c r="J74" s="35"/>
      <c r="K74" s="35"/>
      <c r="L74" s="35"/>
      <c r="M74" s="35"/>
      <c r="N74" s="35"/>
      <c r="O74" s="35"/>
      <c r="P74" s="35"/>
      <c r="Q74" s="35"/>
      <c r="R74" s="35"/>
      <c r="S74" s="35"/>
      <c r="T74" s="35"/>
      <c r="U74" s="35"/>
      <c r="V74" s="35"/>
    </row>
    <row r="75" spans="1:22" ht="6" customHeight="1" x14ac:dyDescent="0.25"/>
    <row r="76" spans="1:22" ht="18" customHeight="1" x14ac:dyDescent="0.25">
      <c r="A76" s="41" t="s">
        <v>357</v>
      </c>
      <c r="B76" s="35"/>
      <c r="C76" s="35"/>
      <c r="D76" s="35"/>
      <c r="E76" s="35"/>
      <c r="F76" s="35"/>
      <c r="G76" s="35"/>
      <c r="H76" s="35"/>
      <c r="I76" s="35"/>
      <c r="J76" s="35"/>
      <c r="K76" s="35"/>
      <c r="L76" s="35"/>
      <c r="M76" s="35"/>
      <c r="N76" s="35"/>
      <c r="O76" s="35"/>
      <c r="P76" s="35"/>
      <c r="Q76" s="35"/>
      <c r="R76" s="35"/>
      <c r="S76" s="35"/>
      <c r="T76" s="35"/>
      <c r="U76" s="35"/>
      <c r="V76" s="35"/>
    </row>
    <row r="77" spans="1:22" ht="36" customHeight="1" x14ac:dyDescent="0.25">
      <c r="A77" s="42" t="s">
        <v>394</v>
      </c>
      <c r="B77" s="35"/>
      <c r="C77" s="35"/>
      <c r="D77" s="35"/>
      <c r="E77" s="35"/>
      <c r="F77" s="35"/>
      <c r="G77" s="35"/>
      <c r="H77" s="35"/>
      <c r="I77" s="35"/>
      <c r="J77" s="35"/>
      <c r="K77" s="35"/>
      <c r="L77" s="35"/>
      <c r="M77" s="35"/>
      <c r="N77" s="35"/>
      <c r="O77" s="35"/>
      <c r="P77" s="35"/>
      <c r="Q77" s="35"/>
      <c r="R77" s="35"/>
      <c r="S77" s="35"/>
      <c r="T77" s="35"/>
      <c r="U77" s="35"/>
      <c r="V77" s="35"/>
    </row>
    <row r="78" spans="1:22" ht="6" customHeight="1" x14ac:dyDescent="0.25"/>
    <row r="79" spans="1:22" ht="18" customHeight="1" x14ac:dyDescent="0.25">
      <c r="A79" s="41" t="s">
        <v>360</v>
      </c>
      <c r="B79" s="35"/>
      <c r="C79" s="35"/>
      <c r="D79" s="35"/>
      <c r="E79" s="35"/>
      <c r="F79" s="35"/>
      <c r="G79" s="35"/>
      <c r="H79" s="35"/>
      <c r="I79" s="35"/>
      <c r="J79" s="35"/>
      <c r="K79" s="35"/>
      <c r="L79" s="35"/>
      <c r="M79" s="35"/>
      <c r="N79" s="35"/>
      <c r="O79" s="35"/>
      <c r="P79" s="35"/>
      <c r="Q79" s="35"/>
      <c r="R79" s="35"/>
      <c r="S79" s="35"/>
      <c r="T79" s="35"/>
      <c r="U79" s="35"/>
      <c r="V79" s="35"/>
    </row>
    <row r="80" spans="1:22" ht="21" customHeight="1" x14ac:dyDescent="0.25">
      <c r="A80" s="42" t="s">
        <v>471</v>
      </c>
      <c r="B80" s="35"/>
      <c r="C80" s="35"/>
      <c r="D80" s="35"/>
      <c r="E80" s="35"/>
      <c r="F80" s="35"/>
      <c r="G80" s="35"/>
      <c r="H80" s="35"/>
      <c r="I80" s="35"/>
      <c r="J80" s="35"/>
      <c r="K80" s="35"/>
      <c r="L80" s="35"/>
      <c r="M80" s="35"/>
      <c r="N80" s="35"/>
      <c r="O80" s="35"/>
      <c r="P80" s="35"/>
      <c r="Q80" s="35"/>
      <c r="R80" s="35"/>
      <c r="S80" s="35"/>
      <c r="T80" s="35"/>
      <c r="U80" s="35"/>
      <c r="V80" s="35"/>
    </row>
    <row r="81" spans="1:22" ht="6" customHeight="1" x14ac:dyDescent="0.25"/>
    <row r="82" spans="1:22" ht="18" customHeight="1" x14ac:dyDescent="0.25">
      <c r="A82" s="41" t="s">
        <v>456</v>
      </c>
      <c r="B82" s="35"/>
      <c r="C82" s="35"/>
      <c r="D82" s="35"/>
      <c r="E82" s="35"/>
      <c r="F82" s="35"/>
      <c r="G82" s="35"/>
      <c r="H82" s="35"/>
      <c r="I82" s="35"/>
      <c r="J82" s="35"/>
      <c r="K82" s="35"/>
      <c r="L82" s="35"/>
      <c r="M82" s="35"/>
      <c r="N82" s="35"/>
      <c r="O82" s="35"/>
      <c r="P82" s="35"/>
      <c r="Q82" s="35"/>
      <c r="R82" s="35"/>
      <c r="S82" s="35"/>
      <c r="T82" s="35"/>
      <c r="U82" s="35"/>
      <c r="V82" s="35"/>
    </row>
    <row r="83" spans="1:22" ht="36" customHeight="1" x14ac:dyDescent="0.25">
      <c r="A83" s="42" t="s">
        <v>472</v>
      </c>
      <c r="B83" s="35"/>
      <c r="C83" s="35"/>
      <c r="D83" s="35"/>
      <c r="E83" s="35"/>
      <c r="F83" s="35"/>
      <c r="G83" s="35"/>
      <c r="H83" s="35"/>
      <c r="I83" s="35"/>
      <c r="J83" s="35"/>
      <c r="K83" s="35"/>
      <c r="L83" s="35"/>
      <c r="M83" s="35"/>
      <c r="N83" s="35"/>
      <c r="O83" s="35"/>
      <c r="P83" s="35"/>
      <c r="Q83" s="35"/>
      <c r="R83" s="35"/>
      <c r="S83" s="35"/>
      <c r="T83" s="35"/>
      <c r="U83" s="35"/>
      <c r="V83" s="35"/>
    </row>
    <row r="84" spans="1:22" ht="6" customHeight="1" x14ac:dyDescent="0.25"/>
    <row r="85" spans="1:22" ht="18" customHeight="1" x14ac:dyDescent="0.25">
      <c r="A85" s="41" t="s">
        <v>416</v>
      </c>
      <c r="B85" s="35"/>
      <c r="C85" s="35"/>
      <c r="D85" s="35"/>
      <c r="E85" s="35"/>
      <c r="F85" s="35"/>
      <c r="G85" s="35"/>
      <c r="H85" s="35"/>
      <c r="I85" s="35"/>
      <c r="J85" s="35"/>
      <c r="K85" s="35"/>
      <c r="L85" s="35"/>
      <c r="M85" s="35"/>
      <c r="N85" s="35"/>
      <c r="O85" s="35"/>
      <c r="P85" s="35"/>
      <c r="Q85" s="35"/>
      <c r="R85" s="35"/>
      <c r="S85" s="35"/>
      <c r="T85" s="35"/>
      <c r="U85" s="35"/>
      <c r="V85" s="35"/>
    </row>
    <row r="86" spans="1:22" ht="21" customHeight="1" x14ac:dyDescent="0.25">
      <c r="A86" s="42" t="s">
        <v>438</v>
      </c>
      <c r="B86" s="35"/>
      <c r="C86" s="35"/>
      <c r="D86" s="35"/>
      <c r="E86" s="35"/>
      <c r="F86" s="35"/>
      <c r="G86" s="35"/>
      <c r="H86" s="35"/>
      <c r="I86" s="35"/>
      <c r="J86" s="35"/>
      <c r="K86" s="35"/>
      <c r="L86" s="35"/>
      <c r="M86" s="35"/>
      <c r="N86" s="35"/>
      <c r="O86" s="35"/>
      <c r="P86" s="35"/>
      <c r="Q86" s="35"/>
      <c r="R86" s="35"/>
      <c r="S86" s="35"/>
      <c r="T86" s="35"/>
      <c r="U86" s="35"/>
      <c r="V86" s="35"/>
    </row>
    <row r="87" spans="1:22" ht="6" customHeight="1" x14ac:dyDescent="0.25"/>
    <row r="88" spans="1:22" ht="18" customHeight="1" x14ac:dyDescent="0.25">
      <c r="A88" s="41" t="s">
        <v>136</v>
      </c>
      <c r="B88" s="35"/>
      <c r="C88" s="35"/>
      <c r="D88" s="35"/>
      <c r="E88" s="35"/>
      <c r="F88" s="35"/>
      <c r="G88" s="35"/>
      <c r="H88" s="35"/>
      <c r="I88" s="35"/>
      <c r="J88" s="35"/>
      <c r="K88" s="35"/>
      <c r="L88" s="35"/>
      <c r="M88" s="35"/>
      <c r="N88" s="35"/>
      <c r="O88" s="35"/>
      <c r="P88" s="35"/>
      <c r="Q88" s="35"/>
      <c r="R88" s="35"/>
      <c r="S88" s="35"/>
      <c r="T88" s="35"/>
      <c r="U88" s="35"/>
      <c r="V88" s="35"/>
    </row>
    <row r="89" spans="1:22" ht="21" customHeight="1" x14ac:dyDescent="0.25">
      <c r="A89" s="42" t="s">
        <v>439</v>
      </c>
      <c r="B89" s="35"/>
      <c r="C89" s="35"/>
      <c r="D89" s="35"/>
      <c r="E89" s="35"/>
      <c r="F89" s="35"/>
      <c r="G89" s="35"/>
      <c r="H89" s="35"/>
      <c r="I89" s="35"/>
      <c r="J89" s="35"/>
      <c r="K89" s="35"/>
      <c r="L89" s="35"/>
      <c r="M89" s="35"/>
      <c r="N89" s="35"/>
      <c r="O89" s="35"/>
      <c r="P89" s="35"/>
      <c r="Q89" s="35"/>
      <c r="R89" s="35"/>
      <c r="S89" s="35"/>
      <c r="T89" s="35"/>
      <c r="U89" s="35"/>
      <c r="V89" s="35"/>
    </row>
    <row r="90" spans="1:22" ht="6" customHeight="1" x14ac:dyDescent="0.25"/>
    <row r="91" spans="1:22" ht="18" customHeight="1" x14ac:dyDescent="0.25">
      <c r="A91" s="41" t="s">
        <v>419</v>
      </c>
      <c r="B91" s="35"/>
      <c r="C91" s="35"/>
      <c r="D91" s="35"/>
      <c r="E91" s="35"/>
      <c r="F91" s="35"/>
      <c r="G91" s="35"/>
      <c r="H91" s="35"/>
      <c r="I91" s="35"/>
      <c r="J91" s="35"/>
      <c r="K91" s="35"/>
      <c r="L91" s="35"/>
      <c r="M91" s="35"/>
      <c r="N91" s="35"/>
      <c r="O91" s="35"/>
      <c r="P91" s="35"/>
      <c r="Q91" s="35"/>
      <c r="R91" s="35"/>
      <c r="S91" s="35"/>
      <c r="T91" s="35"/>
      <c r="U91" s="35"/>
      <c r="V91" s="35"/>
    </row>
    <row r="92" spans="1:22" ht="21" customHeight="1" x14ac:dyDescent="0.25">
      <c r="A92" s="42" t="s">
        <v>440</v>
      </c>
      <c r="B92" s="35"/>
      <c r="C92" s="35"/>
      <c r="D92" s="35"/>
      <c r="E92" s="35"/>
      <c r="F92" s="35"/>
      <c r="G92" s="35"/>
      <c r="H92" s="35"/>
      <c r="I92" s="35"/>
      <c r="J92" s="35"/>
      <c r="K92" s="35"/>
      <c r="L92" s="35"/>
      <c r="M92" s="35"/>
      <c r="N92" s="35"/>
      <c r="O92" s="35"/>
      <c r="P92" s="35"/>
      <c r="Q92" s="35"/>
      <c r="R92" s="35"/>
      <c r="S92" s="35"/>
      <c r="T92" s="35"/>
      <c r="U92" s="35"/>
      <c r="V92" s="35"/>
    </row>
    <row r="93" spans="1:22" ht="6" customHeight="1" x14ac:dyDescent="0.25"/>
    <row r="94" spans="1:22" ht="18" customHeight="1" x14ac:dyDescent="0.25">
      <c r="A94" s="41" t="s">
        <v>366</v>
      </c>
      <c r="B94" s="35"/>
      <c r="C94" s="35"/>
      <c r="D94" s="35"/>
      <c r="E94" s="35"/>
      <c r="F94" s="35"/>
      <c r="G94" s="35"/>
      <c r="H94" s="35"/>
      <c r="I94" s="35"/>
      <c r="J94" s="35"/>
      <c r="K94" s="35"/>
      <c r="L94" s="35"/>
      <c r="M94" s="35"/>
      <c r="N94" s="35"/>
      <c r="O94" s="35"/>
      <c r="P94" s="35"/>
      <c r="Q94" s="35"/>
      <c r="R94" s="35"/>
      <c r="S94" s="35"/>
      <c r="T94" s="35"/>
      <c r="U94" s="35"/>
      <c r="V94" s="35"/>
    </row>
    <row r="95" spans="1:22" ht="21" customHeight="1" x14ac:dyDescent="0.25">
      <c r="A95" s="42" t="s">
        <v>399</v>
      </c>
      <c r="B95" s="35"/>
      <c r="C95" s="35"/>
      <c r="D95" s="35"/>
      <c r="E95" s="35"/>
      <c r="F95" s="35"/>
      <c r="G95" s="35"/>
      <c r="H95" s="35"/>
      <c r="I95" s="35"/>
      <c r="J95" s="35"/>
      <c r="K95" s="35"/>
      <c r="L95" s="35"/>
      <c r="M95" s="35"/>
      <c r="N95" s="35"/>
      <c r="O95" s="35"/>
      <c r="P95" s="35"/>
      <c r="Q95" s="35"/>
      <c r="R95" s="35"/>
      <c r="S95" s="35"/>
      <c r="T95" s="35"/>
      <c r="U95" s="35"/>
      <c r="V95" s="35"/>
    </row>
    <row r="96" spans="1:22" ht="6" customHeight="1" x14ac:dyDescent="0.25"/>
    <row r="99" spans="1:22" x14ac:dyDescent="0.25">
      <c r="A99" s="43" t="s">
        <v>400</v>
      </c>
      <c r="B99" s="35"/>
      <c r="C99" s="35"/>
      <c r="D99" s="35"/>
      <c r="E99" s="35"/>
      <c r="F99" s="35"/>
      <c r="G99" s="35"/>
      <c r="H99" s="35"/>
      <c r="I99" s="35"/>
      <c r="J99" s="35"/>
      <c r="K99" s="35"/>
      <c r="L99" s="35"/>
      <c r="M99" s="35"/>
      <c r="N99" s="35"/>
      <c r="O99" s="35"/>
      <c r="P99" s="35"/>
      <c r="Q99" s="35"/>
      <c r="R99" s="35"/>
      <c r="S99" s="35"/>
      <c r="T99" s="35"/>
      <c r="U99" s="35"/>
      <c r="V99" s="35"/>
    </row>
  </sheetData>
  <mergeCells count="41">
    <mergeCell ref="A99:V99"/>
    <mergeCell ref="A41:V41"/>
    <mergeCell ref="A80:V80"/>
    <mergeCell ref="A46:V46"/>
    <mergeCell ref="A89:V89"/>
    <mergeCell ref="A74:V74"/>
    <mergeCell ref="A55:V55"/>
    <mergeCell ref="A57:V57"/>
    <mergeCell ref="A95:V95"/>
    <mergeCell ref="A36:V36"/>
    <mergeCell ref="A49:V49"/>
    <mergeCell ref="A45:V45"/>
    <mergeCell ref="A94:V94"/>
    <mergeCell ref="A79:V79"/>
    <mergeCell ref="A61:V61"/>
    <mergeCell ref="A88:V88"/>
    <mergeCell ref="A70:V70"/>
    <mergeCell ref="A65:V65"/>
    <mergeCell ref="A54:V54"/>
    <mergeCell ref="A92:V92"/>
    <mergeCell ref="A39:V39"/>
    <mergeCell ref="A77:V77"/>
    <mergeCell ref="A83:V83"/>
    <mergeCell ref="A48:V48"/>
    <mergeCell ref="A73:V73"/>
    <mergeCell ref="A51:V51"/>
    <mergeCell ref="A82:V82"/>
    <mergeCell ref="A60:V60"/>
    <mergeCell ref="A91:V91"/>
    <mergeCell ref="A35:V35"/>
    <mergeCell ref="A38:V38"/>
    <mergeCell ref="A52:V52"/>
    <mergeCell ref="A68:V68"/>
    <mergeCell ref="A58:V58"/>
    <mergeCell ref="A67:V67"/>
    <mergeCell ref="A86:V86"/>
    <mergeCell ref="A42:V42"/>
    <mergeCell ref="A76:V76"/>
    <mergeCell ref="A33:V33"/>
    <mergeCell ref="A71:V71"/>
    <mergeCell ref="A85:V85"/>
  </mergeCells>
  <conditionalFormatting sqref="L6:L30">
    <cfRule type="expression" dxfId="0" priority="1">
      <formula>$I6&lt;&gt;"OT"</formula>
    </cfRule>
  </conditionalFormatting>
  <dataValidations count="10">
    <dataValidation type="list" allowBlank="1" errorTitle="Valore non valido" error="Selezionare dalla lista." promptTitle="Author" prompt="Autore della codifica." sqref="B6:B30" xr:uid="{00000000-0002-0000-0600-000000000000}">
      <formula1>Author_Name</formula1>
    </dataValidation>
    <dataValidation type="list" allowBlank="1" errorTitle="Valore non valido" error="Selezionare dalla lista, oppure lasciare vuoto." promptTitle="In Place" prompt="Facoltativo. Si compila solo quando l’elemento è modellato in place dentro il progetto, non caricato da una libreria né tipo di una famiglia di sistema. Nel nome diventa (I) attaccato al codice di categoria, senza separatore. Cella vuota = caso normale." sqref="D6:D30" xr:uid="{00000000-0002-0000-0600-000001000000}">
      <formula1>InPl_Name</formula1>
    </dataValidation>
    <dataValidation type="list" allowBlank="1" errorTitle="Valore non valido" error="Selezionare dalla lista." promptTitle="Categoria" prompt="Categoria Revit dell’elemento." sqref="F6:F30" xr:uid="{00000000-0002-0000-0600-000002000000}">
      <formula1>FR_Cat_Name</formula1>
    </dataValidation>
    <dataValidation type="list" allowBlank="1" errorTitle="Valore non valido" error="Selezionare dalla lista." promptTitle="Group1 — materiale" sqref="H6:H30" xr:uid="{00000000-0002-0000-0600-000003000000}">
      <formula1>STR_G1_Name</formula1>
    </dataValidation>
    <dataValidation type="list" allowBlank="1" errorTitle="Valore non valido" error="Selezionare dalla lista." promptTitle="Group2 — forma della sezione" prompt="Forma della sezione, non il ruolo. Alle forme dei pilastri si aggiungono quelle che esistono solo sulle travi: tegolo TT, T rovescia, trave a L, altezza variabile, sagomata. Con Use compilato la forma è sempre Shaped." sqref="J6:J30" xr:uid="{00000000-0002-0000-0600-000004000000}">
      <formula1>FR_G2_Name</formula1>
    </dataValidation>
    <dataValidation type="list" allowBlank="1" errorTitle="Non ammesso qui" error="Il campo Use si compila solo con Group1 = Other." promptTitle="Use" sqref="L6:L30" xr:uid="{00000000-0002-0000-0600-000005000000}">
      <formula1>INDIRECT($W6)</formula1>
    </dataValidation>
    <dataValidation type="list" allowBlank="1" errorTitle="Valore non valido" error="Selezionare dalla lista." promptTitle="Family role" prompt="Facoltativo. CM Component = componente minore, destinato a essere annidato dentro un’altra famiglia: sui nodi è il caso normale. SY Symbolic = famiglia che contiene un simbolo, non la geometria reale. Vuoto = famiglia completa e autonoma." sqref="N6:N30" xr:uid="{00000000-0002-0000-0600-000006000000}">
      <formula1>Role_Name</formula1>
    </dataValidation>
    <dataValidation type="list" allowBlank="1" errorTitle="Valore non valido" error="Selezionare dalla lista." promptTitle="Custom" prompt="Facoltativo. Sezione o elemento disegnato su misura, non corrispondente a un profilo di normativa o a un prodotto di mercato. Vuoto → si assume un profilo commerciale. Non compatibile con Manufacturer." sqref="P6:P30" xr:uid="{00000000-0002-0000-0600-000007000000}">
      <formula1>Cst_Name</formula1>
    </dataValidation>
    <dataValidation type="custom" allowBlank="1" errorTitle="Non valido" error="Massimo 24 caratteri, senza spazi, e non compatibile con Custom." promptTitle="Manufacturer" prompt="Facoltativo. Azienda produttrice. Campo libero: senza spazi, iniziali maiuscole. Non compatibile con Custom." sqref="R6:R30" xr:uid="{00000000-0002-0000-0600-000008000000}">
      <formula1>AND(LEN($R6)&lt;=24,ISERROR(FIND(" ",$R6)),OR($R6="",$Q6=""))</formula1>
    </dataValidation>
    <dataValidation type="textLength" operator="lessThanOrEqual" allowBlank="1" errorTitle="Troppo lunga" error="Massimo 40 caratteri." promptTitle="Description" prompt="Facoltativa. Solo se aggiunge un’informazione non già nei codici. Senza spazi, iniziali maiuscole, massimo 40 caratteri, senza accenti." sqref="S6:S30" xr:uid="{00000000-0002-0000-0600-000009000000}">
      <formula1>40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F6B4F"/>
  </sheetPr>
  <dimension ref="A1:T89"/>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21" customWidth="1"/>
    <col min="7" max="7" width="4" customWidth="1"/>
    <col min="8" max="8" width="20" customWidth="1"/>
    <col min="9" max="9" width="4" customWidth="1"/>
    <col min="10" max="10" width="17" customWidth="1"/>
    <col min="11" max="11" width="4" customWidth="1"/>
    <col min="12" max="12" width="12" customWidth="1"/>
    <col min="13" max="13" width="5" customWidth="1"/>
    <col min="14" max="14" width="9" customWidth="1"/>
    <col min="15" max="15" width="4" customWidth="1"/>
    <col min="16" max="16" width="15" customWidth="1"/>
    <col min="17" max="17" width="22" customWidth="1"/>
    <col min="18" max="18" width="12" customWidth="1"/>
    <col min="19" max="19" width="38" customWidth="1"/>
    <col min="20" max="20" width="26" customWidth="1"/>
  </cols>
  <sheetData>
    <row r="1" spans="1:20" ht="19.5" x14ac:dyDescent="0.3">
      <c r="A1" s="6" t="s">
        <v>290</v>
      </c>
    </row>
    <row r="2" spans="1:20" x14ac:dyDescent="0.25">
      <c r="A2" s="7" t="s">
        <v>350</v>
      </c>
    </row>
    <row r="3" spans="1:20" x14ac:dyDescent="0.25">
      <c r="A3" s="8" t="s">
        <v>414</v>
      </c>
    </row>
    <row r="4" spans="1:20" ht="17.100000000000001" customHeight="1" x14ac:dyDescent="0.25">
      <c r="A4" s="25" t="s">
        <v>473</v>
      </c>
      <c r="B4" s="26"/>
      <c r="C4" s="26"/>
      <c r="D4" s="26"/>
      <c r="E4" s="26"/>
      <c r="F4" s="26"/>
      <c r="G4" s="26"/>
      <c r="H4" s="26"/>
      <c r="I4" s="26"/>
      <c r="J4" s="26"/>
      <c r="K4" s="26"/>
      <c r="L4" s="26"/>
      <c r="M4" s="26"/>
      <c r="N4" s="26"/>
      <c r="O4" s="26"/>
      <c r="P4" s="26"/>
      <c r="Q4" s="26"/>
      <c r="R4" s="26"/>
      <c r="S4" s="26"/>
      <c r="T4" s="26"/>
    </row>
    <row r="5" spans="1:20" ht="30" customHeight="1" x14ac:dyDescent="0.25">
      <c r="A5" s="9" t="s">
        <v>353</v>
      </c>
      <c r="B5" s="9" t="s">
        <v>91</v>
      </c>
      <c r="C5" s="9" t="s">
        <v>354</v>
      </c>
      <c r="D5" s="10" t="s">
        <v>130</v>
      </c>
      <c r="E5" s="9" t="s">
        <v>129</v>
      </c>
      <c r="F5" s="9" t="s">
        <v>355</v>
      </c>
      <c r="G5" s="9" t="s">
        <v>356</v>
      </c>
      <c r="H5" s="9" t="s">
        <v>357</v>
      </c>
      <c r="I5" s="9" t="s">
        <v>358</v>
      </c>
      <c r="J5" s="9" t="s">
        <v>360</v>
      </c>
      <c r="K5" s="9" t="s">
        <v>361</v>
      </c>
      <c r="L5" s="10" t="s">
        <v>416</v>
      </c>
      <c r="M5" s="9" t="s">
        <v>417</v>
      </c>
      <c r="N5" s="10" t="s">
        <v>136</v>
      </c>
      <c r="O5" s="9" t="s">
        <v>418</v>
      </c>
      <c r="P5" s="10" t="s">
        <v>419</v>
      </c>
      <c r="Q5" s="10" t="s">
        <v>366</v>
      </c>
      <c r="R5" s="9" t="s">
        <v>367</v>
      </c>
      <c r="S5" s="9" t="s">
        <v>368</v>
      </c>
      <c r="T5" s="9" t="s">
        <v>420</v>
      </c>
    </row>
    <row r="6" spans="1:20" x14ac:dyDescent="0.25">
      <c r="A6" s="11" t="s">
        <v>369</v>
      </c>
      <c r="B6" s="12" t="s">
        <v>100</v>
      </c>
      <c r="C6" s="13" t="str">
        <f t="shared" ref="C6:C26" si="0">IFERROR(INDEX(Author_Code,MATCH($B6,Author_Name,0)),"")</f>
        <v>e</v>
      </c>
      <c r="D6" s="14"/>
      <c r="E6" s="13" t="str">
        <f t="shared" ref="E6:E26" si="1">IFERROR(INDEX(InPl_Code,MATCH($D6,InPl_Name,0)),"")</f>
        <v/>
      </c>
      <c r="F6" s="12" t="s">
        <v>297</v>
      </c>
      <c r="G6" s="13" t="str">
        <f t="shared" ref="G6:G26" si="2">IFERROR(INDEX(TR_Cat_Code,MATCH($F6,TR_Cat_Name,0)),"")</f>
        <v>TR</v>
      </c>
      <c r="H6" s="12" t="s">
        <v>123</v>
      </c>
      <c r="I6" s="13" t="str">
        <f t="shared" ref="I6:I26" si="3">IFERROR(INDEX(STR_G1_Code,MATCH($H6,STR_G1_Name,0)),"")</f>
        <v>ST</v>
      </c>
      <c r="J6" s="12" t="s">
        <v>299</v>
      </c>
      <c r="K6" s="13" t="str">
        <f t="shared" ref="K6:K26" si="4">IFERROR(INDEX(TR_G2_Code,MATCH($J6,TR_G2_Name,0)),"")</f>
        <v>WR</v>
      </c>
      <c r="L6" s="14"/>
      <c r="M6" s="13" t="str">
        <f t="shared" ref="M6:M26" si="5">IFERROR(INDEX(Role_Code,MATCH($L6,Role_Name,0)),"")</f>
        <v/>
      </c>
      <c r="N6" s="14"/>
      <c r="O6" s="13" t="str">
        <f t="shared" ref="O6:O26" si="6">IFERROR(INDEX(Cst_Code,MATCH($N6,Cst_Name,0)),"")</f>
        <v/>
      </c>
      <c r="P6" s="16"/>
      <c r="Q6" s="16"/>
      <c r="R6" s="13" t="str">
        <f t="shared" ref="R6:R26" si="7">$G6&amp;IF($I6&lt;&gt;"","."&amp;$I6,"")&amp;IF($K6&lt;&gt;"","."&amp;$K6,"")</f>
        <v>TR.ST.WR</v>
      </c>
      <c r="S6" s="17" t="str">
        <f t="shared" ref="S6:S26" si="8">IF(AND($F6&lt;&gt;"",$H6&lt;&gt;"",$J6&lt;&gt;""),$C6&amp;"_"&amp;$E6&amp;$R6&amp;IF($M6&lt;&gt;"","_"&amp;$M6,"")&amp;IF($O6&lt;&gt;"","_"&amp;$O6,"")&amp;IF($P6&lt;&gt;"","_"&amp;$P6,"")&amp;IF($Q6&lt;&gt;"","_"&amp;$Q6,""),"")</f>
        <v>e_TR.ST.WR</v>
      </c>
      <c r="T6" s="27" t="str">
        <f t="shared" ref="T6:T26" si="9">IFERROR(IF(OR($G6="",$H6=""),"",$G6&amp;"-"&amp;LEFT(INDEX(STR_G1_TM,MATCH($H6,STR_G1_Name,0)),1)&amp;"xx_H{altezza}"),"")</f>
        <v>TR-3xx_H{altezza}</v>
      </c>
    </row>
    <row r="7" spans="1:20" x14ac:dyDescent="0.25">
      <c r="A7" s="11" t="s">
        <v>370</v>
      </c>
      <c r="B7" s="12" t="s">
        <v>100</v>
      </c>
      <c r="C7" s="13" t="str">
        <f t="shared" si="0"/>
        <v>e</v>
      </c>
      <c r="D7" s="14"/>
      <c r="E7" s="13" t="str">
        <f t="shared" si="1"/>
        <v/>
      </c>
      <c r="F7" s="12" t="s">
        <v>297</v>
      </c>
      <c r="G7" s="13" t="str">
        <f t="shared" si="2"/>
        <v>TR</v>
      </c>
      <c r="H7" s="12" t="s">
        <v>123</v>
      </c>
      <c r="I7" s="13" t="str">
        <f t="shared" si="3"/>
        <v>ST</v>
      </c>
      <c r="J7" s="12" t="s">
        <v>302</v>
      </c>
      <c r="K7" s="13" t="str">
        <f t="shared" si="4"/>
        <v>PR</v>
      </c>
      <c r="L7" s="14"/>
      <c r="M7" s="13" t="str">
        <f t="shared" si="5"/>
        <v/>
      </c>
      <c r="N7" s="14"/>
      <c r="O7" s="13" t="str">
        <f t="shared" si="6"/>
        <v/>
      </c>
      <c r="P7" s="16"/>
      <c r="Q7" s="16"/>
      <c r="R7" s="13" t="str">
        <f t="shared" si="7"/>
        <v>TR.ST.PR</v>
      </c>
      <c r="S7" s="17" t="str">
        <f t="shared" si="8"/>
        <v>e_TR.ST.PR</v>
      </c>
      <c r="T7" s="27" t="str">
        <f t="shared" si="9"/>
        <v>TR-3xx_H{altezza}</v>
      </c>
    </row>
    <row r="8" spans="1:20" x14ac:dyDescent="0.25">
      <c r="A8" s="11" t="s">
        <v>371</v>
      </c>
      <c r="B8" s="12" t="s">
        <v>100</v>
      </c>
      <c r="C8" s="13" t="str">
        <f t="shared" si="0"/>
        <v>e</v>
      </c>
      <c r="D8" s="14"/>
      <c r="E8" s="13" t="str">
        <f t="shared" si="1"/>
        <v/>
      </c>
      <c r="F8" s="12" t="s">
        <v>297</v>
      </c>
      <c r="G8" s="13" t="str">
        <f t="shared" si="2"/>
        <v>TR</v>
      </c>
      <c r="H8" s="12" t="s">
        <v>132</v>
      </c>
      <c r="I8" s="13" t="str">
        <f t="shared" si="3"/>
        <v>TM</v>
      </c>
      <c r="J8" s="12" t="s">
        <v>308</v>
      </c>
      <c r="K8" s="13" t="str">
        <f t="shared" si="4"/>
        <v>FK</v>
      </c>
      <c r="L8" s="14"/>
      <c r="M8" s="13" t="str">
        <f t="shared" si="5"/>
        <v/>
      </c>
      <c r="N8" s="14"/>
      <c r="O8" s="13" t="str">
        <f t="shared" si="6"/>
        <v/>
      </c>
      <c r="P8" s="16"/>
      <c r="Q8" s="16"/>
      <c r="R8" s="13" t="str">
        <f t="shared" si="7"/>
        <v>TR.TM.FK</v>
      </c>
      <c r="S8" s="17" t="str">
        <f t="shared" si="8"/>
        <v>e_TR.TM.FK</v>
      </c>
      <c r="T8" s="27" t="str">
        <f t="shared" si="9"/>
        <v>TR-4xx_H{altezza}</v>
      </c>
    </row>
    <row r="9" spans="1:20" x14ac:dyDescent="0.25">
      <c r="A9" s="11" t="s">
        <v>372</v>
      </c>
      <c r="B9" s="12" t="s">
        <v>100</v>
      </c>
      <c r="C9" s="13" t="str">
        <f t="shared" si="0"/>
        <v>e</v>
      </c>
      <c r="D9" s="14"/>
      <c r="E9" s="13" t="str">
        <f t="shared" si="1"/>
        <v/>
      </c>
      <c r="F9" s="12" t="s">
        <v>297</v>
      </c>
      <c r="G9" s="13" t="str">
        <f t="shared" si="2"/>
        <v>TR</v>
      </c>
      <c r="H9" s="12" t="s">
        <v>123</v>
      </c>
      <c r="I9" s="13" t="str">
        <f t="shared" si="3"/>
        <v>ST</v>
      </c>
      <c r="J9" s="12" t="s">
        <v>313</v>
      </c>
      <c r="K9" s="13" t="str">
        <f t="shared" si="4"/>
        <v>VD</v>
      </c>
      <c r="L9" s="14"/>
      <c r="M9" s="13" t="str">
        <f t="shared" si="5"/>
        <v/>
      </c>
      <c r="N9" s="14"/>
      <c r="O9" s="13" t="str">
        <f t="shared" si="6"/>
        <v/>
      </c>
      <c r="P9" s="16"/>
      <c r="Q9" s="16"/>
      <c r="R9" s="13" t="str">
        <f t="shared" si="7"/>
        <v>TR.ST.VD</v>
      </c>
      <c r="S9" s="17" t="str">
        <f t="shared" si="8"/>
        <v>e_TR.ST.VD</v>
      </c>
      <c r="T9" s="27" t="str">
        <f t="shared" si="9"/>
        <v>TR-3xx_H{altezza}</v>
      </c>
    </row>
    <row r="10" spans="1:20" x14ac:dyDescent="0.25">
      <c r="A10" s="11" t="s">
        <v>373</v>
      </c>
      <c r="B10" s="12" t="s">
        <v>100</v>
      </c>
      <c r="C10" s="13" t="str">
        <f t="shared" si="0"/>
        <v>e</v>
      </c>
      <c r="D10" s="14"/>
      <c r="E10" s="13" t="str">
        <f t="shared" si="1"/>
        <v/>
      </c>
      <c r="F10" s="12" t="s">
        <v>297</v>
      </c>
      <c r="G10" s="13" t="str">
        <f t="shared" si="2"/>
        <v>TR</v>
      </c>
      <c r="H10" s="12" t="s">
        <v>123</v>
      </c>
      <c r="I10" s="13" t="str">
        <f t="shared" si="3"/>
        <v>ST</v>
      </c>
      <c r="J10" s="12" t="s">
        <v>316</v>
      </c>
      <c r="K10" s="13" t="str">
        <f t="shared" si="4"/>
        <v>AR</v>
      </c>
      <c r="L10" s="14"/>
      <c r="M10" s="13" t="str">
        <f t="shared" si="5"/>
        <v/>
      </c>
      <c r="N10" s="14" t="s">
        <v>136</v>
      </c>
      <c r="O10" s="13" t="str">
        <f t="shared" si="6"/>
        <v>CT</v>
      </c>
      <c r="P10" s="16"/>
      <c r="Q10" s="16"/>
      <c r="R10" s="13" t="str">
        <f t="shared" si="7"/>
        <v>TR.ST.AR</v>
      </c>
      <c r="S10" s="17" t="str">
        <f t="shared" si="8"/>
        <v>e_TR.ST.AR_CT</v>
      </c>
      <c r="T10" s="27" t="str">
        <f t="shared" si="9"/>
        <v>TR-3xx_H{altezza}</v>
      </c>
    </row>
    <row r="11" spans="1:20" x14ac:dyDescent="0.25">
      <c r="A11" s="11" t="s">
        <v>375</v>
      </c>
      <c r="B11" s="12" t="s">
        <v>100</v>
      </c>
      <c r="C11" s="13" t="str">
        <f t="shared" si="0"/>
        <v>e</v>
      </c>
      <c r="D11" s="14" t="s">
        <v>130</v>
      </c>
      <c r="E11" s="13" t="str">
        <f t="shared" si="1"/>
        <v>(I)</v>
      </c>
      <c r="F11" s="12" t="s">
        <v>297</v>
      </c>
      <c r="G11" s="13" t="str">
        <f t="shared" si="2"/>
        <v>TR</v>
      </c>
      <c r="H11" s="12" t="s">
        <v>123</v>
      </c>
      <c r="I11" s="13" t="str">
        <f t="shared" si="3"/>
        <v>ST</v>
      </c>
      <c r="J11" s="12" t="s">
        <v>299</v>
      </c>
      <c r="K11" s="13" t="str">
        <f t="shared" si="4"/>
        <v>WR</v>
      </c>
      <c r="L11" s="14"/>
      <c r="M11" s="13" t="str">
        <f t="shared" si="5"/>
        <v/>
      </c>
      <c r="N11" s="14"/>
      <c r="O11" s="13" t="str">
        <f t="shared" si="6"/>
        <v/>
      </c>
      <c r="P11" s="16"/>
      <c r="Q11" s="16"/>
      <c r="R11" s="13" t="str">
        <f t="shared" si="7"/>
        <v>TR.ST.WR</v>
      </c>
      <c r="S11" s="17" t="str">
        <f t="shared" si="8"/>
        <v>e_(I)TR.ST.WR</v>
      </c>
      <c r="T11" s="27" t="str">
        <f t="shared" si="9"/>
        <v>TR-3xx_H{altezza}</v>
      </c>
    </row>
    <row r="12" spans="1:20" x14ac:dyDescent="0.25">
      <c r="A12" s="18">
        <v>1</v>
      </c>
      <c r="B12" s="19"/>
      <c r="C12" s="20" t="str">
        <f t="shared" si="0"/>
        <v/>
      </c>
      <c r="D12" s="21"/>
      <c r="E12" s="20" t="str">
        <f t="shared" si="1"/>
        <v/>
      </c>
      <c r="F12" s="19"/>
      <c r="G12" s="20" t="str">
        <f t="shared" si="2"/>
        <v/>
      </c>
      <c r="H12" s="19"/>
      <c r="I12" s="20" t="str">
        <f t="shared" si="3"/>
        <v/>
      </c>
      <c r="J12" s="19"/>
      <c r="K12" s="20" t="str">
        <f t="shared" si="4"/>
        <v/>
      </c>
      <c r="L12" s="21"/>
      <c r="M12" s="20" t="str">
        <f t="shared" si="5"/>
        <v/>
      </c>
      <c r="N12" s="21"/>
      <c r="O12" s="20" t="str">
        <f t="shared" si="6"/>
        <v/>
      </c>
      <c r="P12" s="23"/>
      <c r="Q12" s="23"/>
      <c r="R12" s="20" t="str">
        <f t="shared" si="7"/>
        <v/>
      </c>
      <c r="S12" s="24" t="str">
        <f t="shared" si="8"/>
        <v/>
      </c>
      <c r="T12" s="28" t="str">
        <f t="shared" si="9"/>
        <v/>
      </c>
    </row>
    <row r="13" spans="1:20" x14ac:dyDescent="0.25">
      <c r="A13" s="18">
        <v>2</v>
      </c>
      <c r="B13" s="19"/>
      <c r="C13" s="20" t="str">
        <f t="shared" si="0"/>
        <v/>
      </c>
      <c r="D13" s="21"/>
      <c r="E13" s="20" t="str">
        <f t="shared" si="1"/>
        <v/>
      </c>
      <c r="F13" s="19"/>
      <c r="G13" s="20" t="str">
        <f t="shared" si="2"/>
        <v/>
      </c>
      <c r="H13" s="19"/>
      <c r="I13" s="20" t="str">
        <f t="shared" si="3"/>
        <v/>
      </c>
      <c r="J13" s="19"/>
      <c r="K13" s="20" t="str">
        <f t="shared" si="4"/>
        <v/>
      </c>
      <c r="L13" s="21"/>
      <c r="M13" s="20" t="str">
        <f t="shared" si="5"/>
        <v/>
      </c>
      <c r="N13" s="21"/>
      <c r="O13" s="20" t="str">
        <f t="shared" si="6"/>
        <v/>
      </c>
      <c r="P13" s="23"/>
      <c r="Q13" s="23"/>
      <c r="R13" s="20" t="str">
        <f t="shared" si="7"/>
        <v/>
      </c>
      <c r="S13" s="24" t="str">
        <f t="shared" si="8"/>
        <v/>
      </c>
      <c r="T13" s="28" t="str">
        <f t="shared" si="9"/>
        <v/>
      </c>
    </row>
    <row r="14" spans="1:20" x14ac:dyDescent="0.25">
      <c r="A14" s="18">
        <v>3</v>
      </c>
      <c r="B14" s="19"/>
      <c r="C14" s="20" t="str">
        <f t="shared" si="0"/>
        <v/>
      </c>
      <c r="D14" s="21"/>
      <c r="E14" s="20" t="str">
        <f t="shared" si="1"/>
        <v/>
      </c>
      <c r="F14" s="19"/>
      <c r="G14" s="20" t="str">
        <f t="shared" si="2"/>
        <v/>
      </c>
      <c r="H14" s="19"/>
      <c r="I14" s="20" t="str">
        <f t="shared" si="3"/>
        <v/>
      </c>
      <c r="J14" s="19"/>
      <c r="K14" s="20" t="str">
        <f t="shared" si="4"/>
        <v/>
      </c>
      <c r="L14" s="21"/>
      <c r="M14" s="20" t="str">
        <f t="shared" si="5"/>
        <v/>
      </c>
      <c r="N14" s="21"/>
      <c r="O14" s="20" t="str">
        <f t="shared" si="6"/>
        <v/>
      </c>
      <c r="P14" s="23"/>
      <c r="Q14" s="23"/>
      <c r="R14" s="20" t="str">
        <f t="shared" si="7"/>
        <v/>
      </c>
      <c r="S14" s="24" t="str">
        <f t="shared" si="8"/>
        <v/>
      </c>
      <c r="T14" s="28" t="str">
        <f t="shared" si="9"/>
        <v/>
      </c>
    </row>
    <row r="15" spans="1:20" x14ac:dyDescent="0.25">
      <c r="A15" s="18">
        <v>4</v>
      </c>
      <c r="B15" s="19"/>
      <c r="C15" s="20" t="str">
        <f t="shared" si="0"/>
        <v/>
      </c>
      <c r="D15" s="21"/>
      <c r="E15" s="20" t="str">
        <f t="shared" si="1"/>
        <v/>
      </c>
      <c r="F15" s="19"/>
      <c r="G15" s="20" t="str">
        <f t="shared" si="2"/>
        <v/>
      </c>
      <c r="H15" s="19"/>
      <c r="I15" s="20" t="str">
        <f t="shared" si="3"/>
        <v/>
      </c>
      <c r="J15" s="19"/>
      <c r="K15" s="20" t="str">
        <f t="shared" si="4"/>
        <v/>
      </c>
      <c r="L15" s="21"/>
      <c r="M15" s="20" t="str">
        <f t="shared" si="5"/>
        <v/>
      </c>
      <c r="N15" s="21"/>
      <c r="O15" s="20" t="str">
        <f t="shared" si="6"/>
        <v/>
      </c>
      <c r="P15" s="23"/>
      <c r="Q15" s="23"/>
      <c r="R15" s="20" t="str">
        <f t="shared" si="7"/>
        <v/>
      </c>
      <c r="S15" s="24" t="str">
        <f t="shared" si="8"/>
        <v/>
      </c>
      <c r="T15" s="28" t="str">
        <f t="shared" si="9"/>
        <v/>
      </c>
    </row>
    <row r="16" spans="1:20" x14ac:dyDescent="0.25">
      <c r="A16" s="18">
        <v>5</v>
      </c>
      <c r="B16" s="19"/>
      <c r="C16" s="20" t="str">
        <f t="shared" si="0"/>
        <v/>
      </c>
      <c r="D16" s="21"/>
      <c r="E16" s="20" t="str">
        <f t="shared" si="1"/>
        <v/>
      </c>
      <c r="F16" s="19"/>
      <c r="G16" s="20" t="str">
        <f t="shared" si="2"/>
        <v/>
      </c>
      <c r="H16" s="19"/>
      <c r="I16" s="20" t="str">
        <f t="shared" si="3"/>
        <v/>
      </c>
      <c r="J16" s="19"/>
      <c r="K16" s="20" t="str">
        <f t="shared" si="4"/>
        <v/>
      </c>
      <c r="L16" s="21"/>
      <c r="M16" s="20" t="str">
        <f t="shared" si="5"/>
        <v/>
      </c>
      <c r="N16" s="21"/>
      <c r="O16" s="20" t="str">
        <f t="shared" si="6"/>
        <v/>
      </c>
      <c r="P16" s="23"/>
      <c r="Q16" s="23"/>
      <c r="R16" s="20" t="str">
        <f t="shared" si="7"/>
        <v/>
      </c>
      <c r="S16" s="24" t="str">
        <f t="shared" si="8"/>
        <v/>
      </c>
      <c r="T16" s="28" t="str">
        <f t="shared" si="9"/>
        <v/>
      </c>
    </row>
    <row r="17" spans="1:20" x14ac:dyDescent="0.25">
      <c r="A17" s="18">
        <v>6</v>
      </c>
      <c r="B17" s="19"/>
      <c r="C17" s="20" t="str">
        <f t="shared" si="0"/>
        <v/>
      </c>
      <c r="D17" s="21"/>
      <c r="E17" s="20" t="str">
        <f t="shared" si="1"/>
        <v/>
      </c>
      <c r="F17" s="19"/>
      <c r="G17" s="20" t="str">
        <f t="shared" si="2"/>
        <v/>
      </c>
      <c r="H17" s="19"/>
      <c r="I17" s="20" t="str">
        <f t="shared" si="3"/>
        <v/>
      </c>
      <c r="J17" s="19"/>
      <c r="K17" s="20" t="str">
        <f t="shared" si="4"/>
        <v/>
      </c>
      <c r="L17" s="21"/>
      <c r="M17" s="20" t="str">
        <f t="shared" si="5"/>
        <v/>
      </c>
      <c r="N17" s="21"/>
      <c r="O17" s="20" t="str">
        <f t="shared" si="6"/>
        <v/>
      </c>
      <c r="P17" s="23"/>
      <c r="Q17" s="23"/>
      <c r="R17" s="20" t="str">
        <f t="shared" si="7"/>
        <v/>
      </c>
      <c r="S17" s="24" t="str">
        <f t="shared" si="8"/>
        <v/>
      </c>
      <c r="T17" s="28" t="str">
        <f t="shared" si="9"/>
        <v/>
      </c>
    </row>
    <row r="18" spans="1:20" x14ac:dyDescent="0.25">
      <c r="A18" s="18">
        <v>7</v>
      </c>
      <c r="B18" s="19"/>
      <c r="C18" s="20" t="str">
        <f t="shared" si="0"/>
        <v/>
      </c>
      <c r="D18" s="21"/>
      <c r="E18" s="20" t="str">
        <f t="shared" si="1"/>
        <v/>
      </c>
      <c r="F18" s="19"/>
      <c r="G18" s="20" t="str">
        <f t="shared" si="2"/>
        <v/>
      </c>
      <c r="H18" s="19"/>
      <c r="I18" s="20" t="str">
        <f t="shared" si="3"/>
        <v/>
      </c>
      <c r="J18" s="19"/>
      <c r="K18" s="20" t="str">
        <f t="shared" si="4"/>
        <v/>
      </c>
      <c r="L18" s="21"/>
      <c r="M18" s="20" t="str">
        <f t="shared" si="5"/>
        <v/>
      </c>
      <c r="N18" s="21"/>
      <c r="O18" s="20" t="str">
        <f t="shared" si="6"/>
        <v/>
      </c>
      <c r="P18" s="23"/>
      <c r="Q18" s="23"/>
      <c r="R18" s="20" t="str">
        <f t="shared" si="7"/>
        <v/>
      </c>
      <c r="S18" s="24" t="str">
        <f t="shared" si="8"/>
        <v/>
      </c>
      <c r="T18" s="28" t="str">
        <f t="shared" si="9"/>
        <v/>
      </c>
    </row>
    <row r="19" spans="1:20" x14ac:dyDescent="0.25">
      <c r="A19" s="18">
        <v>8</v>
      </c>
      <c r="B19" s="19"/>
      <c r="C19" s="20" t="str">
        <f t="shared" si="0"/>
        <v/>
      </c>
      <c r="D19" s="21"/>
      <c r="E19" s="20" t="str">
        <f t="shared" si="1"/>
        <v/>
      </c>
      <c r="F19" s="19"/>
      <c r="G19" s="20" t="str">
        <f t="shared" si="2"/>
        <v/>
      </c>
      <c r="H19" s="19"/>
      <c r="I19" s="20" t="str">
        <f t="shared" si="3"/>
        <v/>
      </c>
      <c r="J19" s="19"/>
      <c r="K19" s="20" t="str">
        <f t="shared" si="4"/>
        <v/>
      </c>
      <c r="L19" s="21"/>
      <c r="M19" s="20" t="str">
        <f t="shared" si="5"/>
        <v/>
      </c>
      <c r="N19" s="21"/>
      <c r="O19" s="20" t="str">
        <f t="shared" si="6"/>
        <v/>
      </c>
      <c r="P19" s="23"/>
      <c r="Q19" s="23"/>
      <c r="R19" s="20" t="str">
        <f t="shared" si="7"/>
        <v/>
      </c>
      <c r="S19" s="24" t="str">
        <f t="shared" si="8"/>
        <v/>
      </c>
      <c r="T19" s="28" t="str">
        <f t="shared" si="9"/>
        <v/>
      </c>
    </row>
    <row r="20" spans="1:20" x14ac:dyDescent="0.25">
      <c r="A20" s="18">
        <v>9</v>
      </c>
      <c r="B20" s="19"/>
      <c r="C20" s="20" t="str">
        <f t="shared" si="0"/>
        <v/>
      </c>
      <c r="D20" s="21"/>
      <c r="E20" s="20" t="str">
        <f t="shared" si="1"/>
        <v/>
      </c>
      <c r="F20" s="19"/>
      <c r="G20" s="20" t="str">
        <f t="shared" si="2"/>
        <v/>
      </c>
      <c r="H20" s="19"/>
      <c r="I20" s="20" t="str">
        <f t="shared" si="3"/>
        <v/>
      </c>
      <c r="J20" s="19"/>
      <c r="K20" s="20" t="str">
        <f t="shared" si="4"/>
        <v/>
      </c>
      <c r="L20" s="21"/>
      <c r="M20" s="20" t="str">
        <f t="shared" si="5"/>
        <v/>
      </c>
      <c r="N20" s="21"/>
      <c r="O20" s="20" t="str">
        <f t="shared" si="6"/>
        <v/>
      </c>
      <c r="P20" s="23"/>
      <c r="Q20" s="23"/>
      <c r="R20" s="20" t="str">
        <f t="shared" si="7"/>
        <v/>
      </c>
      <c r="S20" s="24" t="str">
        <f t="shared" si="8"/>
        <v/>
      </c>
      <c r="T20" s="28" t="str">
        <f t="shared" si="9"/>
        <v/>
      </c>
    </row>
    <row r="21" spans="1:20" x14ac:dyDescent="0.25">
      <c r="A21" s="18">
        <v>10</v>
      </c>
      <c r="B21" s="19"/>
      <c r="C21" s="20" t="str">
        <f t="shared" si="0"/>
        <v/>
      </c>
      <c r="D21" s="21"/>
      <c r="E21" s="20" t="str">
        <f t="shared" si="1"/>
        <v/>
      </c>
      <c r="F21" s="19"/>
      <c r="G21" s="20" t="str">
        <f t="shared" si="2"/>
        <v/>
      </c>
      <c r="H21" s="19"/>
      <c r="I21" s="20" t="str">
        <f t="shared" si="3"/>
        <v/>
      </c>
      <c r="J21" s="19"/>
      <c r="K21" s="20" t="str">
        <f t="shared" si="4"/>
        <v/>
      </c>
      <c r="L21" s="21"/>
      <c r="M21" s="20" t="str">
        <f t="shared" si="5"/>
        <v/>
      </c>
      <c r="N21" s="21"/>
      <c r="O21" s="20" t="str">
        <f t="shared" si="6"/>
        <v/>
      </c>
      <c r="P21" s="23"/>
      <c r="Q21" s="23"/>
      <c r="R21" s="20" t="str">
        <f t="shared" si="7"/>
        <v/>
      </c>
      <c r="S21" s="24" t="str">
        <f t="shared" si="8"/>
        <v/>
      </c>
      <c r="T21" s="28" t="str">
        <f t="shared" si="9"/>
        <v/>
      </c>
    </row>
    <row r="22" spans="1:20" x14ac:dyDescent="0.25">
      <c r="A22" s="18">
        <v>11</v>
      </c>
      <c r="B22" s="19"/>
      <c r="C22" s="20" t="str">
        <f t="shared" si="0"/>
        <v/>
      </c>
      <c r="D22" s="21"/>
      <c r="E22" s="20" t="str">
        <f t="shared" si="1"/>
        <v/>
      </c>
      <c r="F22" s="19"/>
      <c r="G22" s="20" t="str">
        <f t="shared" si="2"/>
        <v/>
      </c>
      <c r="H22" s="19"/>
      <c r="I22" s="20" t="str">
        <f t="shared" si="3"/>
        <v/>
      </c>
      <c r="J22" s="19"/>
      <c r="K22" s="20" t="str">
        <f t="shared" si="4"/>
        <v/>
      </c>
      <c r="L22" s="21"/>
      <c r="M22" s="20" t="str">
        <f t="shared" si="5"/>
        <v/>
      </c>
      <c r="N22" s="21"/>
      <c r="O22" s="20" t="str">
        <f t="shared" si="6"/>
        <v/>
      </c>
      <c r="P22" s="23"/>
      <c r="Q22" s="23"/>
      <c r="R22" s="20" t="str">
        <f t="shared" si="7"/>
        <v/>
      </c>
      <c r="S22" s="24" t="str">
        <f t="shared" si="8"/>
        <v/>
      </c>
      <c r="T22" s="28" t="str">
        <f t="shared" si="9"/>
        <v/>
      </c>
    </row>
    <row r="23" spans="1:20" x14ac:dyDescent="0.25">
      <c r="A23" s="18">
        <v>12</v>
      </c>
      <c r="B23" s="19"/>
      <c r="C23" s="20" t="str">
        <f t="shared" si="0"/>
        <v/>
      </c>
      <c r="D23" s="21"/>
      <c r="E23" s="20" t="str">
        <f t="shared" si="1"/>
        <v/>
      </c>
      <c r="F23" s="19"/>
      <c r="G23" s="20" t="str">
        <f t="shared" si="2"/>
        <v/>
      </c>
      <c r="H23" s="19"/>
      <c r="I23" s="20" t="str">
        <f t="shared" si="3"/>
        <v/>
      </c>
      <c r="J23" s="19"/>
      <c r="K23" s="20" t="str">
        <f t="shared" si="4"/>
        <v/>
      </c>
      <c r="L23" s="21"/>
      <c r="M23" s="20" t="str">
        <f t="shared" si="5"/>
        <v/>
      </c>
      <c r="N23" s="21"/>
      <c r="O23" s="20" t="str">
        <f t="shared" si="6"/>
        <v/>
      </c>
      <c r="P23" s="23"/>
      <c r="Q23" s="23"/>
      <c r="R23" s="20" t="str">
        <f t="shared" si="7"/>
        <v/>
      </c>
      <c r="S23" s="24" t="str">
        <f t="shared" si="8"/>
        <v/>
      </c>
      <c r="T23" s="28" t="str">
        <f t="shared" si="9"/>
        <v/>
      </c>
    </row>
    <row r="24" spans="1:20" x14ac:dyDescent="0.25">
      <c r="A24" s="18">
        <v>13</v>
      </c>
      <c r="B24" s="19"/>
      <c r="C24" s="20" t="str">
        <f t="shared" si="0"/>
        <v/>
      </c>
      <c r="D24" s="21"/>
      <c r="E24" s="20" t="str">
        <f t="shared" si="1"/>
        <v/>
      </c>
      <c r="F24" s="19"/>
      <c r="G24" s="20" t="str">
        <f t="shared" si="2"/>
        <v/>
      </c>
      <c r="H24" s="19"/>
      <c r="I24" s="20" t="str">
        <f t="shared" si="3"/>
        <v/>
      </c>
      <c r="J24" s="19"/>
      <c r="K24" s="20" t="str">
        <f t="shared" si="4"/>
        <v/>
      </c>
      <c r="L24" s="21"/>
      <c r="M24" s="20" t="str">
        <f t="shared" si="5"/>
        <v/>
      </c>
      <c r="N24" s="21"/>
      <c r="O24" s="20" t="str">
        <f t="shared" si="6"/>
        <v/>
      </c>
      <c r="P24" s="23"/>
      <c r="Q24" s="23"/>
      <c r="R24" s="20" t="str">
        <f t="shared" si="7"/>
        <v/>
      </c>
      <c r="S24" s="24" t="str">
        <f t="shared" si="8"/>
        <v/>
      </c>
      <c r="T24" s="28" t="str">
        <f t="shared" si="9"/>
        <v/>
      </c>
    </row>
    <row r="25" spans="1:20" x14ac:dyDescent="0.25">
      <c r="A25" s="18">
        <v>14</v>
      </c>
      <c r="B25" s="19"/>
      <c r="C25" s="20" t="str">
        <f t="shared" si="0"/>
        <v/>
      </c>
      <c r="D25" s="21"/>
      <c r="E25" s="20" t="str">
        <f t="shared" si="1"/>
        <v/>
      </c>
      <c r="F25" s="19"/>
      <c r="G25" s="20" t="str">
        <f t="shared" si="2"/>
        <v/>
      </c>
      <c r="H25" s="19"/>
      <c r="I25" s="20" t="str">
        <f t="shared" si="3"/>
        <v/>
      </c>
      <c r="J25" s="19"/>
      <c r="K25" s="20" t="str">
        <f t="shared" si="4"/>
        <v/>
      </c>
      <c r="L25" s="21"/>
      <c r="M25" s="20" t="str">
        <f t="shared" si="5"/>
        <v/>
      </c>
      <c r="N25" s="21"/>
      <c r="O25" s="20" t="str">
        <f t="shared" si="6"/>
        <v/>
      </c>
      <c r="P25" s="23"/>
      <c r="Q25" s="23"/>
      <c r="R25" s="20" t="str">
        <f t="shared" si="7"/>
        <v/>
      </c>
      <c r="S25" s="24" t="str">
        <f t="shared" si="8"/>
        <v/>
      </c>
      <c r="T25" s="28" t="str">
        <f t="shared" si="9"/>
        <v/>
      </c>
    </row>
    <row r="26" spans="1:20" x14ac:dyDescent="0.25">
      <c r="A26" s="18">
        <v>15</v>
      </c>
      <c r="B26" s="19"/>
      <c r="C26" s="20" t="str">
        <f t="shared" si="0"/>
        <v/>
      </c>
      <c r="D26" s="21"/>
      <c r="E26" s="20" t="str">
        <f t="shared" si="1"/>
        <v/>
      </c>
      <c r="F26" s="19"/>
      <c r="G26" s="20" t="str">
        <f t="shared" si="2"/>
        <v/>
      </c>
      <c r="H26" s="19"/>
      <c r="I26" s="20" t="str">
        <f t="shared" si="3"/>
        <v/>
      </c>
      <c r="J26" s="19"/>
      <c r="K26" s="20" t="str">
        <f t="shared" si="4"/>
        <v/>
      </c>
      <c r="L26" s="21"/>
      <c r="M26" s="20" t="str">
        <f t="shared" si="5"/>
        <v/>
      </c>
      <c r="N26" s="21"/>
      <c r="O26" s="20" t="str">
        <f t="shared" si="6"/>
        <v/>
      </c>
      <c r="P26" s="23"/>
      <c r="Q26" s="23"/>
      <c r="R26" s="20" t="str">
        <f t="shared" si="7"/>
        <v/>
      </c>
      <c r="S26" s="24" t="str">
        <f t="shared" si="8"/>
        <v/>
      </c>
      <c r="T26" s="28" t="str">
        <f t="shared" si="9"/>
        <v/>
      </c>
    </row>
    <row r="29" spans="1:20" ht="21.95" customHeight="1" x14ac:dyDescent="0.25">
      <c r="A29" s="44" t="s">
        <v>422</v>
      </c>
      <c r="B29" s="45"/>
      <c r="C29" s="45"/>
      <c r="D29" s="45"/>
      <c r="E29" s="45"/>
      <c r="F29" s="45"/>
      <c r="G29" s="45"/>
      <c r="H29" s="45"/>
      <c r="I29" s="45"/>
      <c r="J29" s="45"/>
      <c r="K29" s="45"/>
      <c r="L29" s="45"/>
      <c r="M29" s="45"/>
      <c r="N29" s="45"/>
      <c r="O29" s="45"/>
      <c r="P29" s="45"/>
      <c r="Q29" s="45"/>
      <c r="R29" s="45"/>
      <c r="S29" s="45"/>
      <c r="T29" s="45"/>
    </row>
    <row r="31" spans="1:20" ht="24" customHeight="1" x14ac:dyDescent="0.25">
      <c r="A31" s="46" t="s">
        <v>474</v>
      </c>
      <c r="B31" s="35"/>
      <c r="C31" s="35"/>
      <c r="D31" s="35"/>
      <c r="E31" s="35"/>
      <c r="F31" s="35"/>
      <c r="G31" s="35"/>
      <c r="H31" s="35"/>
      <c r="I31" s="35"/>
      <c r="J31" s="35"/>
      <c r="K31" s="35"/>
      <c r="L31" s="35"/>
      <c r="M31" s="35"/>
      <c r="N31" s="35"/>
      <c r="O31" s="35"/>
      <c r="P31" s="35"/>
      <c r="Q31" s="35"/>
      <c r="R31" s="35"/>
      <c r="S31" s="35"/>
      <c r="T31" s="35"/>
    </row>
    <row r="32" spans="1:20" ht="36" customHeight="1" x14ac:dyDescent="0.25">
      <c r="A32" s="42" t="s">
        <v>424</v>
      </c>
      <c r="B32" s="35"/>
      <c r="C32" s="35"/>
      <c r="D32" s="35"/>
      <c r="E32" s="35"/>
      <c r="F32" s="35"/>
      <c r="G32" s="35"/>
      <c r="H32" s="35"/>
      <c r="I32" s="35"/>
      <c r="J32" s="35"/>
      <c r="K32" s="35"/>
      <c r="L32" s="35"/>
      <c r="M32" s="35"/>
      <c r="N32" s="35"/>
      <c r="O32" s="35"/>
      <c r="P32" s="35"/>
      <c r="Q32" s="35"/>
      <c r="R32" s="35"/>
      <c r="S32" s="35"/>
      <c r="T32" s="35"/>
    </row>
    <row r="34" spans="1:20" ht="18" customHeight="1" x14ac:dyDescent="0.25">
      <c r="A34" s="41" t="s">
        <v>425</v>
      </c>
      <c r="B34" s="35"/>
      <c r="C34" s="35"/>
      <c r="D34" s="35"/>
      <c r="E34" s="35"/>
      <c r="F34" s="35"/>
      <c r="G34" s="35"/>
      <c r="H34" s="35"/>
      <c r="I34" s="35"/>
      <c r="J34" s="35"/>
      <c r="K34" s="35"/>
      <c r="L34" s="35"/>
      <c r="M34" s="35"/>
      <c r="N34" s="35"/>
      <c r="O34" s="35"/>
      <c r="P34" s="35"/>
      <c r="Q34" s="35"/>
      <c r="R34" s="35"/>
      <c r="S34" s="35"/>
      <c r="T34" s="35"/>
    </row>
    <row r="35" spans="1:20" ht="21" customHeight="1" x14ac:dyDescent="0.25">
      <c r="A35" s="42" t="s">
        <v>426</v>
      </c>
      <c r="B35" s="35"/>
      <c r="C35" s="35"/>
      <c r="D35" s="35"/>
      <c r="E35" s="35"/>
      <c r="F35" s="35"/>
      <c r="G35" s="35"/>
      <c r="H35" s="35"/>
      <c r="I35" s="35"/>
      <c r="J35" s="35"/>
      <c r="K35" s="35"/>
      <c r="L35" s="35"/>
      <c r="M35" s="35"/>
      <c r="N35" s="35"/>
      <c r="O35" s="35"/>
      <c r="P35" s="35"/>
      <c r="Q35" s="35"/>
      <c r="R35" s="35"/>
      <c r="S35" s="35"/>
      <c r="T35" s="35"/>
    </row>
    <row r="37" spans="1:20" ht="18" customHeight="1" x14ac:dyDescent="0.25">
      <c r="A37" s="41" t="s">
        <v>427</v>
      </c>
      <c r="B37" s="35"/>
      <c r="C37" s="35"/>
      <c r="D37" s="35"/>
      <c r="E37" s="35"/>
      <c r="F37" s="35"/>
      <c r="G37" s="35"/>
      <c r="H37" s="35"/>
      <c r="I37" s="35"/>
      <c r="J37" s="35"/>
      <c r="K37" s="35"/>
      <c r="L37" s="35"/>
      <c r="M37" s="35"/>
      <c r="N37" s="35"/>
      <c r="O37" s="35"/>
      <c r="P37" s="35"/>
      <c r="Q37" s="35"/>
      <c r="R37" s="35"/>
      <c r="S37" s="35"/>
      <c r="T37" s="35"/>
    </row>
    <row r="38" spans="1:20" ht="21" customHeight="1" x14ac:dyDescent="0.25">
      <c r="A38" s="42" t="s">
        <v>475</v>
      </c>
      <c r="B38" s="35"/>
      <c r="C38" s="35"/>
      <c r="D38" s="35"/>
      <c r="E38" s="35"/>
      <c r="F38" s="35"/>
      <c r="G38" s="35"/>
      <c r="H38" s="35"/>
      <c r="I38" s="35"/>
      <c r="J38" s="35"/>
      <c r="K38" s="35"/>
      <c r="L38" s="35"/>
      <c r="M38" s="35"/>
      <c r="N38" s="35"/>
      <c r="O38" s="35"/>
      <c r="P38" s="35"/>
      <c r="Q38" s="35"/>
      <c r="R38" s="35"/>
      <c r="S38" s="35"/>
      <c r="T38" s="35"/>
    </row>
    <row r="41" spans="1:20" ht="21.95" customHeight="1" x14ac:dyDescent="0.25">
      <c r="A41" s="44" t="s">
        <v>476</v>
      </c>
      <c r="B41" s="45"/>
      <c r="C41" s="45"/>
      <c r="D41" s="45"/>
      <c r="E41" s="45"/>
      <c r="F41" s="45"/>
      <c r="G41" s="45"/>
      <c r="H41" s="45"/>
      <c r="I41" s="45"/>
      <c r="J41" s="45"/>
      <c r="K41" s="45"/>
      <c r="L41" s="45"/>
      <c r="M41" s="45"/>
      <c r="N41" s="45"/>
      <c r="O41" s="45"/>
      <c r="P41" s="45"/>
      <c r="Q41" s="45"/>
      <c r="R41" s="45"/>
      <c r="S41" s="45"/>
      <c r="T41" s="45"/>
    </row>
    <row r="42" spans="1:20" ht="15.95" customHeight="1" x14ac:dyDescent="0.25">
      <c r="A42" s="43" t="s">
        <v>430</v>
      </c>
      <c r="B42" s="35"/>
      <c r="C42" s="35"/>
      <c r="D42" s="35"/>
      <c r="E42" s="35"/>
      <c r="F42" s="35"/>
      <c r="G42" s="35"/>
      <c r="H42" s="35"/>
      <c r="I42" s="35"/>
      <c r="J42" s="35"/>
      <c r="K42" s="35"/>
      <c r="L42" s="35"/>
      <c r="M42" s="35"/>
      <c r="N42" s="35"/>
      <c r="O42" s="35"/>
      <c r="P42" s="35"/>
      <c r="Q42" s="35"/>
      <c r="R42" s="35"/>
      <c r="S42" s="35"/>
      <c r="T42" s="35"/>
    </row>
    <row r="44" spans="1:20" ht="18" customHeight="1" x14ac:dyDescent="0.25">
      <c r="A44" s="41" t="s">
        <v>477</v>
      </c>
      <c r="B44" s="35"/>
      <c r="C44" s="35"/>
      <c r="D44" s="35"/>
      <c r="E44" s="35"/>
      <c r="F44" s="35"/>
      <c r="G44" s="35"/>
      <c r="H44" s="35"/>
      <c r="I44" s="35"/>
      <c r="J44" s="35"/>
      <c r="K44" s="35"/>
      <c r="L44" s="35"/>
      <c r="M44" s="35"/>
      <c r="N44" s="35"/>
      <c r="O44" s="35"/>
      <c r="P44" s="35"/>
      <c r="Q44" s="35"/>
      <c r="R44" s="35"/>
      <c r="S44" s="35"/>
      <c r="T44" s="35"/>
    </row>
    <row r="45" spans="1:20" ht="21" customHeight="1" x14ac:dyDescent="0.25">
      <c r="A45" s="42" t="s">
        <v>478</v>
      </c>
      <c r="B45" s="35"/>
      <c r="C45" s="35"/>
      <c r="D45" s="35"/>
      <c r="E45" s="35"/>
      <c r="F45" s="35"/>
      <c r="G45" s="35"/>
      <c r="H45" s="35"/>
      <c r="I45" s="35"/>
      <c r="J45" s="35"/>
      <c r="K45" s="35"/>
      <c r="L45" s="35"/>
      <c r="M45" s="35"/>
      <c r="N45" s="35"/>
      <c r="O45" s="35"/>
      <c r="P45" s="35"/>
      <c r="Q45" s="35"/>
      <c r="R45" s="35"/>
      <c r="S45" s="35"/>
      <c r="T45" s="35"/>
    </row>
    <row r="46" spans="1:20" ht="6" customHeight="1" x14ac:dyDescent="0.25"/>
    <row r="47" spans="1:20" ht="18" customHeight="1" x14ac:dyDescent="0.25">
      <c r="A47" s="41" t="s">
        <v>479</v>
      </c>
      <c r="B47" s="35"/>
      <c r="C47" s="35"/>
      <c r="D47" s="35"/>
      <c r="E47" s="35"/>
      <c r="F47" s="35"/>
      <c r="G47" s="35"/>
      <c r="H47" s="35"/>
      <c r="I47" s="35"/>
      <c r="J47" s="35"/>
      <c r="K47" s="35"/>
      <c r="L47" s="35"/>
      <c r="M47" s="35"/>
      <c r="N47" s="35"/>
      <c r="O47" s="35"/>
      <c r="P47" s="35"/>
      <c r="Q47" s="35"/>
      <c r="R47" s="35"/>
      <c r="S47" s="35"/>
      <c r="T47" s="35"/>
    </row>
    <row r="48" spans="1:20" ht="21" customHeight="1" x14ac:dyDescent="0.25">
      <c r="A48" s="42" t="s">
        <v>480</v>
      </c>
      <c r="B48" s="35"/>
      <c r="C48" s="35"/>
      <c r="D48" s="35"/>
      <c r="E48" s="35"/>
      <c r="F48" s="35"/>
      <c r="G48" s="35"/>
      <c r="H48" s="35"/>
      <c r="I48" s="35"/>
      <c r="J48" s="35"/>
      <c r="K48" s="35"/>
      <c r="L48" s="35"/>
      <c r="M48" s="35"/>
      <c r="N48" s="35"/>
      <c r="O48" s="35"/>
      <c r="P48" s="35"/>
      <c r="Q48" s="35"/>
      <c r="R48" s="35"/>
      <c r="S48" s="35"/>
      <c r="T48" s="35"/>
    </row>
    <row r="49" spans="1:20" ht="6" customHeight="1" x14ac:dyDescent="0.25"/>
    <row r="50" spans="1:20" ht="18" customHeight="1" x14ac:dyDescent="0.25">
      <c r="A50" s="41" t="s">
        <v>481</v>
      </c>
      <c r="B50" s="35"/>
      <c r="C50" s="35"/>
      <c r="D50" s="35"/>
      <c r="E50" s="35"/>
      <c r="F50" s="35"/>
      <c r="G50" s="35"/>
      <c r="H50" s="35"/>
      <c r="I50" s="35"/>
      <c r="J50" s="35"/>
      <c r="K50" s="35"/>
      <c r="L50" s="35"/>
      <c r="M50" s="35"/>
      <c r="N50" s="35"/>
      <c r="O50" s="35"/>
      <c r="P50" s="35"/>
      <c r="Q50" s="35"/>
      <c r="R50" s="35"/>
      <c r="S50" s="35"/>
      <c r="T50" s="35"/>
    </row>
    <row r="51" spans="1:20" ht="21" customHeight="1" x14ac:dyDescent="0.25">
      <c r="A51" s="42" t="s">
        <v>482</v>
      </c>
      <c r="B51" s="35"/>
      <c r="C51" s="35"/>
      <c r="D51" s="35"/>
      <c r="E51" s="35"/>
      <c r="F51" s="35"/>
      <c r="G51" s="35"/>
      <c r="H51" s="35"/>
      <c r="I51" s="35"/>
      <c r="J51" s="35"/>
      <c r="K51" s="35"/>
      <c r="L51" s="35"/>
      <c r="M51" s="35"/>
      <c r="N51" s="35"/>
      <c r="O51" s="35"/>
      <c r="P51" s="35"/>
      <c r="Q51" s="35"/>
      <c r="R51" s="35"/>
      <c r="S51" s="35"/>
      <c r="T51" s="35"/>
    </row>
    <row r="52" spans="1:20" ht="6" customHeight="1" x14ac:dyDescent="0.25"/>
    <row r="53" spans="1:20" ht="18" customHeight="1" x14ac:dyDescent="0.25">
      <c r="A53" s="41" t="s">
        <v>388</v>
      </c>
      <c r="B53" s="35"/>
      <c r="C53" s="35"/>
      <c r="D53" s="35"/>
      <c r="E53" s="35"/>
      <c r="F53" s="35"/>
      <c r="G53" s="35"/>
      <c r="H53" s="35"/>
      <c r="I53" s="35"/>
      <c r="J53" s="35"/>
      <c r="K53" s="35"/>
      <c r="L53" s="35"/>
      <c r="M53" s="35"/>
      <c r="N53" s="35"/>
      <c r="O53" s="35"/>
      <c r="P53" s="35"/>
      <c r="Q53" s="35"/>
      <c r="R53" s="35"/>
      <c r="S53" s="35"/>
      <c r="T53" s="35"/>
    </row>
    <row r="54" spans="1:20" ht="51" customHeight="1" x14ac:dyDescent="0.25">
      <c r="A54" s="42" t="s">
        <v>389</v>
      </c>
      <c r="B54" s="35"/>
      <c r="C54" s="35"/>
      <c r="D54" s="35"/>
      <c r="E54" s="35"/>
      <c r="F54" s="35"/>
      <c r="G54" s="35"/>
      <c r="H54" s="35"/>
      <c r="I54" s="35"/>
      <c r="J54" s="35"/>
      <c r="K54" s="35"/>
      <c r="L54" s="35"/>
      <c r="M54" s="35"/>
      <c r="N54" s="35"/>
      <c r="O54" s="35"/>
      <c r="P54" s="35"/>
      <c r="Q54" s="35"/>
      <c r="R54" s="35"/>
      <c r="S54" s="35"/>
      <c r="T54" s="35"/>
    </row>
    <row r="55" spans="1:20" ht="6" customHeight="1" x14ac:dyDescent="0.25"/>
    <row r="58" spans="1:20" ht="21.95" customHeight="1" x14ac:dyDescent="0.25">
      <c r="A58" s="44" t="s">
        <v>390</v>
      </c>
      <c r="B58" s="45"/>
      <c r="C58" s="45"/>
      <c r="D58" s="45"/>
      <c r="E58" s="45"/>
      <c r="F58" s="45"/>
      <c r="G58" s="45"/>
      <c r="H58" s="45"/>
      <c r="I58" s="45"/>
      <c r="J58" s="45"/>
      <c r="K58" s="45"/>
      <c r="L58" s="45"/>
      <c r="M58" s="45"/>
      <c r="N58" s="45"/>
      <c r="O58" s="45"/>
      <c r="P58" s="45"/>
      <c r="Q58" s="45"/>
      <c r="R58" s="45"/>
      <c r="S58" s="45"/>
      <c r="T58" s="45"/>
    </row>
    <row r="60" spans="1:20" ht="18" customHeight="1" x14ac:dyDescent="0.25">
      <c r="A60" s="41" t="s">
        <v>91</v>
      </c>
      <c r="B60" s="35"/>
      <c r="C60" s="35"/>
      <c r="D60" s="35"/>
      <c r="E60" s="35"/>
      <c r="F60" s="35"/>
      <c r="G60" s="35"/>
      <c r="H60" s="35"/>
      <c r="I60" s="35"/>
      <c r="J60" s="35"/>
      <c r="K60" s="35"/>
      <c r="L60" s="35"/>
      <c r="M60" s="35"/>
      <c r="N60" s="35"/>
      <c r="O60" s="35"/>
      <c r="P60" s="35"/>
      <c r="Q60" s="35"/>
      <c r="R60" s="35"/>
      <c r="S60" s="35"/>
      <c r="T60" s="35"/>
    </row>
    <row r="61" spans="1:20" ht="21" customHeight="1" x14ac:dyDescent="0.25">
      <c r="A61" s="42" t="s">
        <v>391</v>
      </c>
      <c r="B61" s="35"/>
      <c r="C61" s="35"/>
      <c r="D61" s="35"/>
      <c r="E61" s="35"/>
      <c r="F61" s="35"/>
      <c r="G61" s="35"/>
      <c r="H61" s="35"/>
      <c r="I61" s="35"/>
      <c r="J61" s="35"/>
      <c r="K61" s="35"/>
      <c r="L61" s="35"/>
      <c r="M61" s="35"/>
      <c r="N61" s="35"/>
      <c r="O61" s="35"/>
      <c r="P61" s="35"/>
      <c r="Q61" s="35"/>
      <c r="R61" s="35"/>
      <c r="S61" s="35"/>
      <c r="T61" s="35"/>
    </row>
    <row r="62" spans="1:20" ht="6" customHeight="1" x14ac:dyDescent="0.25"/>
    <row r="63" spans="1:20" ht="18" customHeight="1" x14ac:dyDescent="0.25">
      <c r="A63" s="41" t="s">
        <v>130</v>
      </c>
      <c r="B63" s="35"/>
      <c r="C63" s="35"/>
      <c r="D63" s="35"/>
      <c r="E63" s="35"/>
      <c r="F63" s="35"/>
      <c r="G63" s="35"/>
      <c r="H63" s="35"/>
      <c r="I63" s="35"/>
      <c r="J63" s="35"/>
      <c r="K63" s="35"/>
      <c r="L63" s="35"/>
      <c r="M63" s="35"/>
      <c r="N63" s="35"/>
      <c r="O63" s="35"/>
      <c r="P63" s="35"/>
      <c r="Q63" s="35"/>
      <c r="R63" s="35"/>
      <c r="S63" s="35"/>
      <c r="T63" s="35"/>
    </row>
    <row r="64" spans="1:20" ht="36" customHeight="1" x14ac:dyDescent="0.25">
      <c r="A64" s="42" t="s">
        <v>392</v>
      </c>
      <c r="B64" s="35"/>
      <c r="C64" s="35"/>
      <c r="D64" s="35"/>
      <c r="E64" s="35"/>
      <c r="F64" s="35"/>
      <c r="G64" s="35"/>
      <c r="H64" s="35"/>
      <c r="I64" s="35"/>
      <c r="J64" s="35"/>
      <c r="K64" s="35"/>
      <c r="L64" s="35"/>
      <c r="M64" s="35"/>
      <c r="N64" s="35"/>
      <c r="O64" s="35"/>
      <c r="P64" s="35"/>
      <c r="Q64" s="35"/>
      <c r="R64" s="35"/>
      <c r="S64" s="35"/>
      <c r="T64" s="35"/>
    </row>
    <row r="65" spans="1:20" ht="6" customHeight="1" x14ac:dyDescent="0.25"/>
    <row r="66" spans="1:20" ht="18" customHeight="1" x14ac:dyDescent="0.25">
      <c r="A66" s="41" t="s">
        <v>355</v>
      </c>
      <c r="B66" s="35"/>
      <c r="C66" s="35"/>
      <c r="D66" s="35"/>
      <c r="E66" s="35"/>
      <c r="F66" s="35"/>
      <c r="G66" s="35"/>
      <c r="H66" s="35"/>
      <c r="I66" s="35"/>
      <c r="J66" s="35"/>
      <c r="K66" s="35"/>
      <c r="L66" s="35"/>
      <c r="M66" s="35"/>
      <c r="N66" s="35"/>
      <c r="O66" s="35"/>
      <c r="P66" s="35"/>
      <c r="Q66" s="35"/>
      <c r="R66" s="35"/>
      <c r="S66" s="35"/>
      <c r="T66" s="35"/>
    </row>
    <row r="67" spans="1:20" ht="21" customHeight="1" x14ac:dyDescent="0.25">
      <c r="A67" s="42" t="s">
        <v>393</v>
      </c>
      <c r="B67" s="35"/>
      <c r="C67" s="35"/>
      <c r="D67" s="35"/>
      <c r="E67" s="35"/>
      <c r="F67" s="35"/>
      <c r="G67" s="35"/>
      <c r="H67" s="35"/>
      <c r="I67" s="35"/>
      <c r="J67" s="35"/>
      <c r="K67" s="35"/>
      <c r="L67" s="35"/>
      <c r="M67" s="35"/>
      <c r="N67" s="35"/>
      <c r="O67" s="35"/>
      <c r="P67" s="35"/>
      <c r="Q67" s="35"/>
      <c r="R67" s="35"/>
      <c r="S67" s="35"/>
      <c r="T67" s="35"/>
    </row>
    <row r="68" spans="1:20" ht="6" customHeight="1" x14ac:dyDescent="0.25"/>
    <row r="69" spans="1:20" ht="18" customHeight="1" x14ac:dyDescent="0.25">
      <c r="A69" s="41" t="s">
        <v>357</v>
      </c>
      <c r="B69" s="35"/>
      <c r="C69" s="35"/>
      <c r="D69" s="35"/>
      <c r="E69" s="35"/>
      <c r="F69" s="35"/>
      <c r="G69" s="35"/>
      <c r="H69" s="35"/>
      <c r="I69" s="35"/>
      <c r="J69" s="35"/>
      <c r="K69" s="35"/>
      <c r="L69" s="35"/>
      <c r="M69" s="35"/>
      <c r="N69" s="35"/>
      <c r="O69" s="35"/>
      <c r="P69" s="35"/>
      <c r="Q69" s="35"/>
      <c r="R69" s="35"/>
      <c r="S69" s="35"/>
      <c r="T69" s="35"/>
    </row>
    <row r="70" spans="1:20" ht="36" customHeight="1" x14ac:dyDescent="0.25">
      <c r="A70" s="42" t="s">
        <v>394</v>
      </c>
      <c r="B70" s="35"/>
      <c r="C70" s="35"/>
      <c r="D70" s="35"/>
      <c r="E70" s="35"/>
      <c r="F70" s="35"/>
      <c r="G70" s="35"/>
      <c r="H70" s="35"/>
      <c r="I70" s="35"/>
      <c r="J70" s="35"/>
      <c r="K70" s="35"/>
      <c r="L70" s="35"/>
      <c r="M70" s="35"/>
      <c r="N70" s="35"/>
      <c r="O70" s="35"/>
      <c r="P70" s="35"/>
      <c r="Q70" s="35"/>
      <c r="R70" s="35"/>
      <c r="S70" s="35"/>
      <c r="T70" s="35"/>
    </row>
    <row r="71" spans="1:20" ht="6" customHeight="1" x14ac:dyDescent="0.25"/>
    <row r="72" spans="1:20" ht="18" customHeight="1" x14ac:dyDescent="0.25">
      <c r="A72" s="41" t="s">
        <v>360</v>
      </c>
      <c r="B72" s="35"/>
      <c r="C72" s="35"/>
      <c r="D72" s="35"/>
      <c r="E72" s="35"/>
      <c r="F72" s="35"/>
      <c r="G72" s="35"/>
      <c r="H72" s="35"/>
      <c r="I72" s="35"/>
      <c r="J72" s="35"/>
      <c r="K72" s="35"/>
      <c r="L72" s="35"/>
      <c r="M72" s="35"/>
      <c r="N72" s="35"/>
      <c r="O72" s="35"/>
      <c r="P72" s="35"/>
      <c r="Q72" s="35"/>
      <c r="R72" s="35"/>
      <c r="S72" s="35"/>
      <c r="T72" s="35"/>
    </row>
    <row r="73" spans="1:20" ht="21" customHeight="1" x14ac:dyDescent="0.25">
      <c r="A73" s="42" t="s">
        <v>483</v>
      </c>
      <c r="B73" s="35"/>
      <c r="C73" s="35"/>
      <c r="D73" s="35"/>
      <c r="E73" s="35"/>
      <c r="F73" s="35"/>
      <c r="G73" s="35"/>
      <c r="H73" s="35"/>
      <c r="I73" s="35"/>
      <c r="J73" s="35"/>
      <c r="K73" s="35"/>
      <c r="L73" s="35"/>
      <c r="M73" s="35"/>
      <c r="N73" s="35"/>
      <c r="O73" s="35"/>
      <c r="P73" s="35"/>
      <c r="Q73" s="35"/>
      <c r="R73" s="35"/>
      <c r="S73" s="35"/>
      <c r="T73" s="35"/>
    </row>
    <row r="74" spans="1:20" ht="6" customHeight="1" x14ac:dyDescent="0.25"/>
    <row r="75" spans="1:20" ht="18" customHeight="1" x14ac:dyDescent="0.25">
      <c r="A75" s="41" t="s">
        <v>416</v>
      </c>
      <c r="B75" s="35"/>
      <c r="C75" s="35"/>
      <c r="D75" s="35"/>
      <c r="E75" s="35"/>
      <c r="F75" s="35"/>
      <c r="G75" s="35"/>
      <c r="H75" s="35"/>
      <c r="I75" s="35"/>
      <c r="J75" s="35"/>
      <c r="K75" s="35"/>
      <c r="L75" s="35"/>
      <c r="M75" s="35"/>
      <c r="N75" s="35"/>
      <c r="O75" s="35"/>
      <c r="P75" s="35"/>
      <c r="Q75" s="35"/>
      <c r="R75" s="35"/>
      <c r="S75" s="35"/>
      <c r="T75" s="35"/>
    </row>
    <row r="76" spans="1:20" ht="36" customHeight="1" x14ac:dyDescent="0.25">
      <c r="A76" s="42" t="s">
        <v>438</v>
      </c>
      <c r="B76" s="35"/>
      <c r="C76" s="35"/>
      <c r="D76" s="35"/>
      <c r="E76" s="35"/>
      <c r="F76" s="35"/>
      <c r="G76" s="35"/>
      <c r="H76" s="35"/>
      <c r="I76" s="35"/>
      <c r="J76" s="35"/>
      <c r="K76" s="35"/>
      <c r="L76" s="35"/>
      <c r="M76" s="35"/>
      <c r="N76" s="35"/>
      <c r="O76" s="35"/>
      <c r="P76" s="35"/>
      <c r="Q76" s="35"/>
      <c r="R76" s="35"/>
      <c r="S76" s="35"/>
      <c r="T76" s="35"/>
    </row>
    <row r="77" spans="1:20" ht="6" customHeight="1" x14ac:dyDescent="0.25"/>
    <row r="78" spans="1:20" ht="18" customHeight="1" x14ac:dyDescent="0.25">
      <c r="A78" s="41" t="s">
        <v>136</v>
      </c>
      <c r="B78" s="35"/>
      <c r="C78" s="35"/>
      <c r="D78" s="35"/>
      <c r="E78" s="35"/>
      <c r="F78" s="35"/>
      <c r="G78" s="35"/>
      <c r="H78" s="35"/>
      <c r="I78" s="35"/>
      <c r="J78" s="35"/>
      <c r="K78" s="35"/>
      <c r="L78" s="35"/>
      <c r="M78" s="35"/>
      <c r="N78" s="35"/>
      <c r="O78" s="35"/>
      <c r="P78" s="35"/>
      <c r="Q78" s="35"/>
      <c r="R78" s="35"/>
      <c r="S78" s="35"/>
      <c r="T78" s="35"/>
    </row>
    <row r="79" spans="1:20" ht="21" customHeight="1" x14ac:dyDescent="0.25">
      <c r="A79" s="42" t="s">
        <v>439</v>
      </c>
      <c r="B79" s="35"/>
      <c r="C79" s="35"/>
      <c r="D79" s="35"/>
      <c r="E79" s="35"/>
      <c r="F79" s="35"/>
      <c r="G79" s="35"/>
      <c r="H79" s="35"/>
      <c r="I79" s="35"/>
      <c r="J79" s="35"/>
      <c r="K79" s="35"/>
      <c r="L79" s="35"/>
      <c r="M79" s="35"/>
      <c r="N79" s="35"/>
      <c r="O79" s="35"/>
      <c r="P79" s="35"/>
      <c r="Q79" s="35"/>
      <c r="R79" s="35"/>
      <c r="S79" s="35"/>
      <c r="T79" s="35"/>
    </row>
    <row r="80" spans="1:20" ht="6" customHeight="1" x14ac:dyDescent="0.25"/>
    <row r="81" spans="1:20" ht="18" customHeight="1" x14ac:dyDescent="0.25">
      <c r="A81" s="41" t="s">
        <v>419</v>
      </c>
      <c r="B81" s="35"/>
      <c r="C81" s="35"/>
      <c r="D81" s="35"/>
      <c r="E81" s="35"/>
      <c r="F81" s="35"/>
      <c r="G81" s="35"/>
      <c r="H81" s="35"/>
      <c r="I81" s="35"/>
      <c r="J81" s="35"/>
      <c r="K81" s="35"/>
      <c r="L81" s="35"/>
      <c r="M81" s="35"/>
      <c r="N81" s="35"/>
      <c r="O81" s="35"/>
      <c r="P81" s="35"/>
      <c r="Q81" s="35"/>
      <c r="R81" s="35"/>
      <c r="S81" s="35"/>
      <c r="T81" s="35"/>
    </row>
    <row r="82" spans="1:20" ht="21" customHeight="1" x14ac:dyDescent="0.25">
      <c r="A82" s="42" t="s">
        <v>440</v>
      </c>
      <c r="B82" s="35"/>
      <c r="C82" s="35"/>
      <c r="D82" s="35"/>
      <c r="E82" s="35"/>
      <c r="F82" s="35"/>
      <c r="G82" s="35"/>
      <c r="H82" s="35"/>
      <c r="I82" s="35"/>
      <c r="J82" s="35"/>
      <c r="K82" s="35"/>
      <c r="L82" s="35"/>
      <c r="M82" s="35"/>
      <c r="N82" s="35"/>
      <c r="O82" s="35"/>
      <c r="P82" s="35"/>
      <c r="Q82" s="35"/>
      <c r="R82" s="35"/>
      <c r="S82" s="35"/>
      <c r="T82" s="35"/>
    </row>
    <row r="83" spans="1:20" ht="6" customHeight="1" x14ac:dyDescent="0.25"/>
    <row r="84" spans="1:20" ht="18" customHeight="1" x14ac:dyDescent="0.25">
      <c r="A84" s="41" t="s">
        <v>366</v>
      </c>
      <c r="B84" s="35"/>
      <c r="C84" s="35"/>
      <c r="D84" s="35"/>
      <c r="E84" s="35"/>
      <c r="F84" s="35"/>
      <c r="G84" s="35"/>
      <c r="H84" s="35"/>
      <c r="I84" s="35"/>
      <c r="J84" s="35"/>
      <c r="K84" s="35"/>
      <c r="L84" s="35"/>
      <c r="M84" s="35"/>
      <c r="N84" s="35"/>
      <c r="O84" s="35"/>
      <c r="P84" s="35"/>
      <c r="Q84" s="35"/>
      <c r="R84" s="35"/>
      <c r="S84" s="35"/>
      <c r="T84" s="35"/>
    </row>
    <row r="85" spans="1:20" ht="21" customHeight="1" x14ac:dyDescent="0.25">
      <c r="A85" s="42" t="s">
        <v>399</v>
      </c>
      <c r="B85" s="35"/>
      <c r="C85" s="35"/>
      <c r="D85" s="35"/>
      <c r="E85" s="35"/>
      <c r="F85" s="35"/>
      <c r="G85" s="35"/>
      <c r="H85" s="35"/>
      <c r="I85" s="35"/>
      <c r="J85" s="35"/>
      <c r="K85" s="35"/>
      <c r="L85" s="35"/>
      <c r="M85" s="35"/>
      <c r="N85" s="35"/>
      <c r="O85" s="35"/>
      <c r="P85" s="35"/>
      <c r="Q85" s="35"/>
      <c r="R85" s="35"/>
      <c r="S85" s="35"/>
      <c r="T85" s="35"/>
    </row>
    <row r="86" spans="1:20" ht="6" customHeight="1" x14ac:dyDescent="0.25"/>
    <row r="89" spans="1:20" x14ac:dyDescent="0.25">
      <c r="A89" s="43" t="s">
        <v>400</v>
      </c>
      <c r="B89" s="35"/>
      <c r="C89" s="35"/>
      <c r="D89" s="35"/>
      <c r="E89" s="35"/>
      <c r="F89" s="35"/>
      <c r="G89" s="35"/>
      <c r="H89" s="35"/>
      <c r="I89" s="35"/>
      <c r="J89" s="35"/>
      <c r="K89" s="35"/>
      <c r="L89" s="35"/>
      <c r="M89" s="35"/>
      <c r="N89" s="35"/>
      <c r="O89" s="35"/>
      <c r="P89" s="35"/>
      <c r="Q89" s="35"/>
      <c r="R89" s="35"/>
      <c r="S89" s="35"/>
      <c r="T89" s="35"/>
    </row>
  </sheetData>
  <mergeCells count="37">
    <mergeCell ref="A29:T29"/>
    <mergeCell ref="A81:T81"/>
    <mergeCell ref="A38:T38"/>
    <mergeCell ref="A63:T63"/>
    <mergeCell ref="A72:T72"/>
    <mergeCell ref="A44:T44"/>
    <mergeCell ref="A84:T84"/>
    <mergeCell ref="A66:T66"/>
    <mergeCell ref="A37:T37"/>
    <mergeCell ref="A75:T75"/>
    <mergeCell ref="A89:T89"/>
    <mergeCell ref="A50:T50"/>
    <mergeCell ref="A47:T47"/>
    <mergeCell ref="A42:T42"/>
    <mergeCell ref="A85:T85"/>
    <mergeCell ref="A76:T76"/>
    <mergeCell ref="A53:T53"/>
    <mergeCell ref="A73:T73"/>
    <mergeCell ref="A51:T51"/>
    <mergeCell ref="A82:T82"/>
    <mergeCell ref="A60:T60"/>
    <mergeCell ref="A45:T45"/>
    <mergeCell ref="A79:T79"/>
    <mergeCell ref="A61:T61"/>
    <mergeCell ref="A70:T70"/>
    <mergeCell ref="A78:T78"/>
    <mergeCell ref="A69:T69"/>
    <mergeCell ref="A54:T54"/>
    <mergeCell ref="A67:T67"/>
    <mergeCell ref="A31:T31"/>
    <mergeCell ref="A58:T58"/>
    <mergeCell ref="A34:T34"/>
    <mergeCell ref="A48:T48"/>
    <mergeCell ref="A64:T64"/>
    <mergeCell ref="A41:T41"/>
    <mergeCell ref="A32:T32"/>
    <mergeCell ref="A35:T35"/>
  </mergeCells>
  <dataValidations count="9">
    <dataValidation type="list" allowBlank="1" errorTitle="Valore non valido" error="Selezionare dalla lista." promptTitle="Author" prompt="Autore della codifica." sqref="B6:B26" xr:uid="{00000000-0002-0000-0700-000000000000}">
      <formula1>Author_Name</formula1>
    </dataValidation>
    <dataValidation type="list" allowBlank="1" errorTitle="Valore non valido" error="Selezionare dalla lista, oppure lasciare vuoto." promptTitle="In Place" prompt="Facoltativo. Si compila solo quando l’elemento è modellato in place dentro il progetto, non caricato da una libreria né tipo di una famiglia di sistema. Nel nome diventa (I) attaccato al codice di categoria, senza separatore. Cella vuota = caso normale." sqref="D6:D26" xr:uid="{00000000-0002-0000-0700-000001000000}">
      <formula1>InPl_Name</formula1>
    </dataValidation>
    <dataValidation type="list" allowBlank="1" errorTitle="Valore non valido" error="Selezionare dalla lista." promptTitle="Categoria" prompt="Categoria Revit dell’elemento." sqref="F6:F26" xr:uid="{00000000-0002-0000-0700-000002000000}">
      <formula1>TR_Cat_Name</formula1>
    </dataValidation>
    <dataValidation type="list" allowBlank="1" errorTitle="Valore non valido" error="Selezionare dalla lista." promptTitle="Group1 — materiale" sqref="H6:H26" xr:uid="{00000000-0002-0000-0700-000003000000}">
      <formula1>STR_G1_Name</formula1>
    </dataValidation>
    <dataValidation type="list" allowBlank="1" errorTitle="Valore non valido" error="Selezionare dalla lista." promptTitle="Group2 — geometria del traliccio" prompt="Geometria del traliccio: Warren, Pratt, Howe, Fink, K-truss, Vierendeel, ad arco. È la caratteristica che distingue una famiglia di capriata da un’altra." sqref="J6:J26" xr:uid="{00000000-0002-0000-0700-000004000000}">
      <formula1>TR_G2_Name</formula1>
    </dataValidation>
    <dataValidation type="list" allowBlank="1" errorTitle="Valore non valido" error="Selezionare dalla lista." promptTitle="Family role" prompt="Facoltativo. CM Component = componente minore, destinato a essere annidato dentro un’altra famiglia: sui nodi è il caso normale. SY Symbolic = famiglia che contiene un simbolo, non la geometria reale. Vuoto = famiglia completa e autonoma." sqref="L6:L26" xr:uid="{00000000-0002-0000-0700-000005000000}">
      <formula1>Role_Name</formula1>
    </dataValidation>
    <dataValidation type="list" allowBlank="1" errorTitle="Valore non valido" error="Selezionare dalla lista." promptTitle="Custom" prompt="Facoltativo. Sezione o elemento disegnato su misura, non corrispondente a un profilo di normativa o a un prodotto di mercato. Vuoto → si assume un profilo commerciale. Non compatibile con Manufacturer." sqref="N6:N26" xr:uid="{00000000-0002-0000-0700-000006000000}">
      <formula1>Cst_Name</formula1>
    </dataValidation>
    <dataValidation type="custom" allowBlank="1" errorTitle="Non valido" error="Massimo 24 caratteri, senza spazi, e non compatibile con Custom." promptTitle="Manufacturer" prompt="Facoltativo. Azienda produttrice. Campo libero: senza spazi, iniziali maiuscole. Non compatibile con Custom." sqref="P6:P26" xr:uid="{00000000-0002-0000-0700-000007000000}">
      <formula1>AND(LEN($P6)&lt;=24,ISERROR(FIND(" ",$P6)),OR($P6="",$O6=""))</formula1>
    </dataValidation>
    <dataValidation type="textLength" operator="lessThanOrEqual" allowBlank="1" errorTitle="Troppo lunga" error="Massimo 40 caratteri." promptTitle="Description" prompt="Facoltativa. Solo se aggiunge un’informazione non già nei codici. Senza spazi, iniziali maiuscole, massimo 40 caratteri, senza accenti." sqref="Q6:Q26" xr:uid="{00000000-0002-0000-0700-000008000000}">
      <formula1>40</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F6B4F"/>
  </sheetPr>
  <dimension ref="A1:T94"/>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21" customWidth="1"/>
    <col min="7" max="7" width="4" customWidth="1"/>
    <col min="8" max="8" width="20" customWidth="1"/>
    <col min="9" max="9" width="4" customWidth="1"/>
    <col min="10" max="10" width="17" customWidth="1"/>
    <col min="11" max="11" width="4" customWidth="1"/>
    <col min="12" max="12" width="12" customWidth="1"/>
    <col min="13" max="13" width="5" customWidth="1"/>
    <col min="14" max="14" width="9" customWidth="1"/>
    <col min="15" max="15" width="4" customWidth="1"/>
    <col min="16" max="16" width="15" customWidth="1"/>
    <col min="17" max="17" width="22" customWidth="1"/>
    <col min="18" max="18" width="12" customWidth="1"/>
    <col min="19" max="19" width="38" customWidth="1"/>
    <col min="20" max="20" width="26" customWidth="1"/>
  </cols>
  <sheetData>
    <row r="1" spans="1:20" ht="19.5" x14ac:dyDescent="0.3">
      <c r="A1" s="6" t="s">
        <v>319</v>
      </c>
    </row>
    <row r="2" spans="1:20" x14ac:dyDescent="0.25">
      <c r="A2" s="7" t="s">
        <v>350</v>
      </c>
    </row>
    <row r="3" spans="1:20" x14ac:dyDescent="0.25">
      <c r="A3" s="8" t="s">
        <v>414</v>
      </c>
    </row>
    <row r="4" spans="1:20" ht="17.100000000000001" customHeight="1" x14ac:dyDescent="0.25">
      <c r="A4" s="25" t="s">
        <v>484</v>
      </c>
      <c r="B4" s="26"/>
      <c r="C4" s="26"/>
      <c r="D4" s="26"/>
      <c r="E4" s="26"/>
      <c r="F4" s="26"/>
      <c r="G4" s="26"/>
      <c r="H4" s="26"/>
      <c r="I4" s="26"/>
      <c r="J4" s="26"/>
      <c r="K4" s="26"/>
      <c r="L4" s="26"/>
      <c r="M4" s="26"/>
      <c r="N4" s="26"/>
      <c r="O4" s="26"/>
      <c r="P4" s="26"/>
      <c r="Q4" s="26"/>
      <c r="R4" s="26"/>
      <c r="S4" s="26"/>
      <c r="T4" s="26"/>
    </row>
    <row r="5" spans="1:20" ht="30" customHeight="1" x14ac:dyDescent="0.25">
      <c r="A5" s="9" t="s">
        <v>353</v>
      </c>
      <c r="B5" s="9" t="s">
        <v>91</v>
      </c>
      <c r="C5" s="9" t="s">
        <v>354</v>
      </c>
      <c r="D5" s="10" t="s">
        <v>130</v>
      </c>
      <c r="E5" s="9" t="s">
        <v>129</v>
      </c>
      <c r="F5" s="9" t="s">
        <v>355</v>
      </c>
      <c r="G5" s="9" t="s">
        <v>356</v>
      </c>
      <c r="H5" s="9" t="s">
        <v>357</v>
      </c>
      <c r="I5" s="9" t="s">
        <v>358</v>
      </c>
      <c r="J5" s="9" t="s">
        <v>360</v>
      </c>
      <c r="K5" s="9" t="s">
        <v>361</v>
      </c>
      <c r="L5" s="10" t="s">
        <v>416</v>
      </c>
      <c r="M5" s="9" t="s">
        <v>417</v>
      </c>
      <c r="N5" s="10" t="s">
        <v>136</v>
      </c>
      <c r="O5" s="9" t="s">
        <v>418</v>
      </c>
      <c r="P5" s="10" t="s">
        <v>419</v>
      </c>
      <c r="Q5" s="10" t="s">
        <v>366</v>
      </c>
      <c r="R5" s="9" t="s">
        <v>367</v>
      </c>
      <c r="S5" s="9" t="s">
        <v>368</v>
      </c>
      <c r="T5" s="9" t="s">
        <v>420</v>
      </c>
    </row>
    <row r="6" spans="1:20" x14ac:dyDescent="0.25">
      <c r="A6" s="11" t="s">
        <v>369</v>
      </c>
      <c r="B6" s="12" t="s">
        <v>100</v>
      </c>
      <c r="C6" s="13" t="str">
        <f t="shared" ref="C6:C28" si="0">IFERROR(INDEX(Author_Code,MATCH($B6,Author_Name,0)),"")</f>
        <v>e</v>
      </c>
      <c r="D6" s="14"/>
      <c r="E6" s="13" t="str">
        <f t="shared" ref="E6:E28" si="1">IFERROR(INDEX(InPl_Code,MATCH($D6,InPl_Name,0)),"")</f>
        <v/>
      </c>
      <c r="F6" s="12" t="s">
        <v>325</v>
      </c>
      <c r="G6" s="13" t="str">
        <f t="shared" ref="G6:G28" si="2">IFERROR(INDEX(CN_Cat_Code,MATCH($F6,CN_Cat_Name,0)),"")</f>
        <v>CN</v>
      </c>
      <c r="H6" s="12" t="s">
        <v>123</v>
      </c>
      <c r="I6" s="13" t="str">
        <f t="shared" ref="I6:I28" si="3">IFERROR(INDEX(STR_G1_Code,MATCH($H6,STR_G1_Name,0)),"")</f>
        <v>ST</v>
      </c>
      <c r="J6" s="12" t="s">
        <v>327</v>
      </c>
      <c r="K6" s="13" t="str">
        <f t="shared" ref="K6:K28" si="4">IFERROR(INDEX(CN_G2_Code,MATCH($J6,CN_G2_Name,0)),"")</f>
        <v>BP</v>
      </c>
      <c r="L6" s="14" t="s">
        <v>106</v>
      </c>
      <c r="M6" s="13" t="str">
        <f t="shared" ref="M6:M28" si="5">IFERROR(INDEX(Role_Code,MATCH($L6,Role_Name,0)),"")</f>
        <v>CM</v>
      </c>
      <c r="N6" s="14"/>
      <c r="O6" s="13" t="str">
        <f t="shared" ref="O6:O28" si="6">IFERROR(INDEX(Cst_Code,MATCH($N6,Cst_Name,0)),"")</f>
        <v/>
      </c>
      <c r="P6" s="16" t="s">
        <v>485</v>
      </c>
      <c r="Q6" s="16"/>
      <c r="R6" s="13" t="str">
        <f t="shared" ref="R6:R28" si="7">$G6&amp;IF($I6&lt;&gt;"","."&amp;$I6,"")&amp;IF($K6&lt;&gt;"","."&amp;$K6,"")</f>
        <v>CN.ST.BP</v>
      </c>
      <c r="S6" s="17" t="str">
        <f t="shared" ref="S6:S28" si="8">IF(AND($F6&lt;&gt;"",$H6&lt;&gt;"",$J6&lt;&gt;""),$C6&amp;"_"&amp;$E6&amp;$R6&amp;IF($M6&lt;&gt;"","_"&amp;$M6,"")&amp;IF($O6&lt;&gt;"","_"&amp;$O6,"")&amp;IF($P6&lt;&gt;"","_"&amp;$P6,"")&amp;IF($Q6&lt;&gt;"","_"&amp;$Q6,""),"")</f>
        <v>e_CN.ST.BP_CM_Peikko</v>
      </c>
      <c r="T6" s="27" t="str">
        <f t="shared" ref="T6:T28" si="9">IFERROR(IF(OR($G6="",$H6=""),"",$G6&amp;"-"&amp;LEFT(INDEX(STR_G1_TM,MATCH($H6,STR_G1_Name,0)),1)&amp;"xx_{misure o sigla di catalogo}"),"")</f>
        <v>CN-3xx_{misure o sigla di catalogo}</v>
      </c>
    </row>
    <row r="7" spans="1:20" x14ac:dyDescent="0.25">
      <c r="A7" s="11" t="s">
        <v>370</v>
      </c>
      <c r="B7" s="12" t="s">
        <v>100</v>
      </c>
      <c r="C7" s="13" t="str">
        <f t="shared" si="0"/>
        <v>e</v>
      </c>
      <c r="D7" s="14"/>
      <c r="E7" s="13" t="str">
        <f t="shared" si="1"/>
        <v/>
      </c>
      <c r="F7" s="12" t="s">
        <v>325</v>
      </c>
      <c r="G7" s="13" t="str">
        <f t="shared" si="2"/>
        <v>CN</v>
      </c>
      <c r="H7" s="12" t="s">
        <v>123</v>
      </c>
      <c r="I7" s="13" t="str">
        <f t="shared" si="3"/>
        <v>ST</v>
      </c>
      <c r="J7" s="12" t="s">
        <v>330</v>
      </c>
      <c r="K7" s="13" t="str">
        <f t="shared" si="4"/>
        <v>BC</v>
      </c>
      <c r="L7" s="14" t="s">
        <v>106</v>
      </c>
      <c r="M7" s="13" t="str">
        <f t="shared" si="5"/>
        <v>CM</v>
      </c>
      <c r="N7" s="14"/>
      <c r="O7" s="13" t="str">
        <f t="shared" si="6"/>
        <v/>
      </c>
      <c r="P7" s="16"/>
      <c r="Q7" s="16"/>
      <c r="R7" s="13" t="str">
        <f t="shared" si="7"/>
        <v>CN.ST.BC</v>
      </c>
      <c r="S7" s="17" t="str">
        <f t="shared" si="8"/>
        <v>e_CN.ST.BC_CM</v>
      </c>
      <c r="T7" s="27" t="str">
        <f t="shared" si="9"/>
        <v>CN-3xx_{misure o sigla di catalogo}</v>
      </c>
    </row>
    <row r="8" spans="1:20" x14ac:dyDescent="0.25">
      <c r="A8" s="11" t="s">
        <v>371</v>
      </c>
      <c r="B8" s="12" t="s">
        <v>100</v>
      </c>
      <c r="C8" s="13" t="str">
        <f t="shared" si="0"/>
        <v>e</v>
      </c>
      <c r="D8" s="14"/>
      <c r="E8" s="13" t="str">
        <f t="shared" si="1"/>
        <v/>
      </c>
      <c r="F8" s="12" t="s">
        <v>325</v>
      </c>
      <c r="G8" s="13" t="str">
        <f t="shared" si="2"/>
        <v>CN</v>
      </c>
      <c r="H8" s="12" t="s">
        <v>123</v>
      </c>
      <c r="I8" s="13" t="str">
        <f t="shared" si="3"/>
        <v>ST</v>
      </c>
      <c r="J8" s="12" t="s">
        <v>333</v>
      </c>
      <c r="K8" s="13" t="str">
        <f t="shared" si="4"/>
        <v>BB</v>
      </c>
      <c r="L8" s="14" t="s">
        <v>106</v>
      </c>
      <c r="M8" s="13" t="str">
        <f t="shared" si="5"/>
        <v>CM</v>
      </c>
      <c r="N8" s="14"/>
      <c r="O8" s="13" t="str">
        <f t="shared" si="6"/>
        <v/>
      </c>
      <c r="P8" s="16"/>
      <c r="Q8" s="16"/>
      <c r="R8" s="13" t="str">
        <f t="shared" si="7"/>
        <v>CN.ST.BB</v>
      </c>
      <c r="S8" s="17" t="str">
        <f t="shared" si="8"/>
        <v>e_CN.ST.BB_CM</v>
      </c>
      <c r="T8" s="27" t="str">
        <f t="shared" si="9"/>
        <v>CN-3xx_{misure o sigla di catalogo}</v>
      </c>
    </row>
    <row r="9" spans="1:20" x14ac:dyDescent="0.25">
      <c r="A9" s="11" t="s">
        <v>372</v>
      </c>
      <c r="B9" s="12" t="s">
        <v>100</v>
      </c>
      <c r="C9" s="13" t="str">
        <f t="shared" si="0"/>
        <v>e</v>
      </c>
      <c r="D9" s="14"/>
      <c r="E9" s="13" t="str">
        <f t="shared" si="1"/>
        <v/>
      </c>
      <c r="F9" s="12" t="s">
        <v>325</v>
      </c>
      <c r="G9" s="13" t="str">
        <f t="shared" si="2"/>
        <v>CN</v>
      </c>
      <c r="H9" s="12" t="s">
        <v>123</v>
      </c>
      <c r="I9" s="13" t="str">
        <f t="shared" si="3"/>
        <v>ST</v>
      </c>
      <c r="J9" s="12" t="s">
        <v>337</v>
      </c>
      <c r="K9" s="13" t="str">
        <f t="shared" si="4"/>
        <v>AN</v>
      </c>
      <c r="L9" s="14" t="s">
        <v>106</v>
      </c>
      <c r="M9" s="13" t="str">
        <f t="shared" si="5"/>
        <v>CM</v>
      </c>
      <c r="N9" s="14"/>
      <c r="O9" s="13" t="str">
        <f t="shared" si="6"/>
        <v/>
      </c>
      <c r="P9" s="16" t="s">
        <v>486</v>
      </c>
      <c r="Q9" s="16"/>
      <c r="R9" s="13" t="str">
        <f t="shared" si="7"/>
        <v>CN.ST.AN</v>
      </c>
      <c r="S9" s="17" t="str">
        <f t="shared" si="8"/>
        <v>e_CN.ST.AN_CM_Hilti</v>
      </c>
      <c r="T9" s="27" t="str">
        <f t="shared" si="9"/>
        <v>CN-3xx_{misure o sigla di catalogo}</v>
      </c>
    </row>
    <row r="10" spans="1:20" x14ac:dyDescent="0.25">
      <c r="A10" s="11" t="s">
        <v>373</v>
      </c>
      <c r="B10" s="12" t="s">
        <v>100</v>
      </c>
      <c r="C10" s="13" t="str">
        <f t="shared" si="0"/>
        <v>e</v>
      </c>
      <c r="D10" s="14"/>
      <c r="E10" s="13" t="str">
        <f t="shared" si="1"/>
        <v/>
      </c>
      <c r="F10" s="12" t="s">
        <v>325</v>
      </c>
      <c r="G10" s="13" t="str">
        <f t="shared" si="2"/>
        <v>CN</v>
      </c>
      <c r="H10" s="12" t="s">
        <v>117</v>
      </c>
      <c r="I10" s="13" t="str">
        <f t="shared" si="3"/>
        <v>PC</v>
      </c>
      <c r="J10" s="12" t="s">
        <v>339</v>
      </c>
      <c r="K10" s="13" t="str">
        <f t="shared" si="4"/>
        <v>CB</v>
      </c>
      <c r="L10" s="14" t="s">
        <v>106</v>
      </c>
      <c r="M10" s="13" t="str">
        <f t="shared" si="5"/>
        <v>CM</v>
      </c>
      <c r="N10" s="14"/>
      <c r="O10" s="13" t="str">
        <f t="shared" si="6"/>
        <v/>
      </c>
      <c r="P10" s="16" t="s">
        <v>485</v>
      </c>
      <c r="Q10" s="16"/>
      <c r="R10" s="13" t="str">
        <f t="shared" si="7"/>
        <v>CN.PC.CB</v>
      </c>
      <c r="S10" s="17" t="str">
        <f t="shared" si="8"/>
        <v>e_CN.PC.CB_CM_Peikko</v>
      </c>
      <c r="T10" s="27" t="str">
        <f t="shared" si="9"/>
        <v>CN-2xx_{misure o sigla di catalogo}</v>
      </c>
    </row>
    <row r="11" spans="1:20" x14ac:dyDescent="0.25">
      <c r="A11" s="11" t="s">
        <v>375</v>
      </c>
      <c r="B11" s="12" t="s">
        <v>100</v>
      </c>
      <c r="C11" s="13" t="str">
        <f t="shared" si="0"/>
        <v>e</v>
      </c>
      <c r="D11" s="14"/>
      <c r="E11" s="13" t="str">
        <f t="shared" si="1"/>
        <v/>
      </c>
      <c r="F11" s="12" t="s">
        <v>325</v>
      </c>
      <c r="G11" s="13" t="str">
        <f t="shared" si="2"/>
        <v>CN</v>
      </c>
      <c r="H11" s="12" t="s">
        <v>123</v>
      </c>
      <c r="I11" s="13" t="str">
        <f t="shared" si="3"/>
        <v>ST</v>
      </c>
      <c r="J11" s="12" t="s">
        <v>342</v>
      </c>
      <c r="K11" s="13" t="str">
        <f t="shared" si="4"/>
        <v>SS</v>
      </c>
      <c r="L11" s="14" t="s">
        <v>106</v>
      </c>
      <c r="M11" s="13" t="str">
        <f t="shared" si="5"/>
        <v>CM</v>
      </c>
      <c r="N11" s="14"/>
      <c r="O11" s="13" t="str">
        <f t="shared" si="6"/>
        <v/>
      </c>
      <c r="P11" s="16" t="s">
        <v>487</v>
      </c>
      <c r="Q11" s="16"/>
      <c r="R11" s="13" t="str">
        <f t="shared" si="7"/>
        <v>CN.ST.SS</v>
      </c>
      <c r="S11" s="17" t="str">
        <f t="shared" si="8"/>
        <v>e_CN.ST.SS_CM_Nelson</v>
      </c>
      <c r="T11" s="27" t="str">
        <f t="shared" si="9"/>
        <v>CN-3xx_{misure o sigla di catalogo}</v>
      </c>
    </row>
    <row r="12" spans="1:20" x14ac:dyDescent="0.25">
      <c r="A12" s="11" t="s">
        <v>377</v>
      </c>
      <c r="B12" s="12" t="s">
        <v>100</v>
      </c>
      <c r="C12" s="13" t="str">
        <f t="shared" si="0"/>
        <v>e</v>
      </c>
      <c r="D12" s="14"/>
      <c r="E12" s="13" t="str">
        <f t="shared" si="1"/>
        <v/>
      </c>
      <c r="F12" s="12" t="s">
        <v>325</v>
      </c>
      <c r="G12" s="13" t="str">
        <f t="shared" si="2"/>
        <v>CN</v>
      </c>
      <c r="H12" s="12" t="s">
        <v>123</v>
      </c>
      <c r="I12" s="13" t="str">
        <f t="shared" si="3"/>
        <v>ST</v>
      </c>
      <c r="J12" s="12" t="s">
        <v>345</v>
      </c>
      <c r="K12" s="13" t="str">
        <f t="shared" si="4"/>
        <v>SF</v>
      </c>
      <c r="L12" s="14" t="s">
        <v>106</v>
      </c>
      <c r="M12" s="13" t="str">
        <f t="shared" si="5"/>
        <v>CM</v>
      </c>
      <c r="N12" s="14" t="s">
        <v>136</v>
      </c>
      <c r="O12" s="13" t="str">
        <f t="shared" si="6"/>
        <v>CT</v>
      </c>
      <c r="P12" s="16"/>
      <c r="Q12" s="16"/>
      <c r="R12" s="13" t="str">
        <f t="shared" si="7"/>
        <v>CN.ST.SF</v>
      </c>
      <c r="S12" s="17" t="str">
        <f t="shared" si="8"/>
        <v>e_CN.ST.SF_CM_CT</v>
      </c>
      <c r="T12" s="27" t="str">
        <f t="shared" si="9"/>
        <v>CN-3xx_{misure o sigla di catalogo}</v>
      </c>
    </row>
    <row r="13" spans="1:20" x14ac:dyDescent="0.25">
      <c r="A13" s="11" t="s">
        <v>442</v>
      </c>
      <c r="B13" s="12" t="s">
        <v>100</v>
      </c>
      <c r="C13" s="13" t="str">
        <f t="shared" si="0"/>
        <v>e</v>
      </c>
      <c r="D13" s="14" t="s">
        <v>130</v>
      </c>
      <c r="E13" s="13" t="str">
        <f t="shared" si="1"/>
        <v>(I)</v>
      </c>
      <c r="F13" s="12" t="s">
        <v>325</v>
      </c>
      <c r="G13" s="13" t="str">
        <f t="shared" si="2"/>
        <v>CN</v>
      </c>
      <c r="H13" s="12" t="s">
        <v>123</v>
      </c>
      <c r="I13" s="13" t="str">
        <f t="shared" si="3"/>
        <v>ST</v>
      </c>
      <c r="J13" s="12" t="s">
        <v>327</v>
      </c>
      <c r="K13" s="13" t="str">
        <f t="shared" si="4"/>
        <v>BP</v>
      </c>
      <c r="L13" s="14" t="s">
        <v>106</v>
      </c>
      <c r="M13" s="13" t="str">
        <f t="shared" si="5"/>
        <v>CM</v>
      </c>
      <c r="N13" s="14"/>
      <c r="O13" s="13" t="str">
        <f t="shared" si="6"/>
        <v/>
      </c>
      <c r="P13" s="16" t="s">
        <v>485</v>
      </c>
      <c r="Q13" s="16"/>
      <c r="R13" s="13" t="str">
        <f t="shared" si="7"/>
        <v>CN.ST.BP</v>
      </c>
      <c r="S13" s="17" t="str">
        <f t="shared" si="8"/>
        <v>e_(I)CN.ST.BP_CM_Peikko</v>
      </c>
      <c r="T13" s="27" t="str">
        <f t="shared" si="9"/>
        <v>CN-3xx_{misure o sigla di catalogo}</v>
      </c>
    </row>
    <row r="14" spans="1:20" x14ac:dyDescent="0.25">
      <c r="A14" s="18">
        <v>1</v>
      </c>
      <c r="B14" s="19"/>
      <c r="C14" s="20" t="str">
        <f t="shared" si="0"/>
        <v/>
      </c>
      <c r="D14" s="21"/>
      <c r="E14" s="20" t="str">
        <f t="shared" si="1"/>
        <v/>
      </c>
      <c r="F14" s="19"/>
      <c r="G14" s="20" t="str">
        <f t="shared" si="2"/>
        <v/>
      </c>
      <c r="H14" s="19"/>
      <c r="I14" s="20" t="str">
        <f t="shared" si="3"/>
        <v/>
      </c>
      <c r="J14" s="19"/>
      <c r="K14" s="20" t="str">
        <f t="shared" si="4"/>
        <v/>
      </c>
      <c r="L14" s="21"/>
      <c r="M14" s="20" t="str">
        <f t="shared" si="5"/>
        <v/>
      </c>
      <c r="N14" s="21"/>
      <c r="O14" s="20" t="str">
        <f t="shared" si="6"/>
        <v/>
      </c>
      <c r="P14" s="23"/>
      <c r="Q14" s="23"/>
      <c r="R14" s="20" t="str">
        <f t="shared" si="7"/>
        <v/>
      </c>
      <c r="S14" s="24" t="str">
        <f t="shared" si="8"/>
        <v/>
      </c>
      <c r="T14" s="28" t="str">
        <f t="shared" si="9"/>
        <v/>
      </c>
    </row>
    <row r="15" spans="1:20" x14ac:dyDescent="0.25">
      <c r="A15" s="18">
        <v>2</v>
      </c>
      <c r="B15" s="19"/>
      <c r="C15" s="20" t="str">
        <f t="shared" si="0"/>
        <v/>
      </c>
      <c r="D15" s="21"/>
      <c r="E15" s="20" t="str">
        <f t="shared" si="1"/>
        <v/>
      </c>
      <c r="F15" s="19"/>
      <c r="G15" s="20" t="str">
        <f t="shared" si="2"/>
        <v/>
      </c>
      <c r="H15" s="19"/>
      <c r="I15" s="20" t="str">
        <f t="shared" si="3"/>
        <v/>
      </c>
      <c r="J15" s="19"/>
      <c r="K15" s="20" t="str">
        <f t="shared" si="4"/>
        <v/>
      </c>
      <c r="L15" s="21"/>
      <c r="M15" s="20" t="str">
        <f t="shared" si="5"/>
        <v/>
      </c>
      <c r="N15" s="21"/>
      <c r="O15" s="20" t="str">
        <f t="shared" si="6"/>
        <v/>
      </c>
      <c r="P15" s="23"/>
      <c r="Q15" s="23"/>
      <c r="R15" s="20" t="str">
        <f t="shared" si="7"/>
        <v/>
      </c>
      <c r="S15" s="24" t="str">
        <f t="shared" si="8"/>
        <v/>
      </c>
      <c r="T15" s="28" t="str">
        <f t="shared" si="9"/>
        <v/>
      </c>
    </row>
    <row r="16" spans="1:20" x14ac:dyDescent="0.25">
      <c r="A16" s="18">
        <v>3</v>
      </c>
      <c r="B16" s="19"/>
      <c r="C16" s="20" t="str">
        <f t="shared" si="0"/>
        <v/>
      </c>
      <c r="D16" s="21"/>
      <c r="E16" s="20" t="str">
        <f t="shared" si="1"/>
        <v/>
      </c>
      <c r="F16" s="19"/>
      <c r="G16" s="20" t="str">
        <f t="shared" si="2"/>
        <v/>
      </c>
      <c r="H16" s="19"/>
      <c r="I16" s="20" t="str">
        <f t="shared" si="3"/>
        <v/>
      </c>
      <c r="J16" s="19"/>
      <c r="K16" s="20" t="str">
        <f t="shared" si="4"/>
        <v/>
      </c>
      <c r="L16" s="21"/>
      <c r="M16" s="20" t="str">
        <f t="shared" si="5"/>
        <v/>
      </c>
      <c r="N16" s="21"/>
      <c r="O16" s="20" t="str">
        <f t="shared" si="6"/>
        <v/>
      </c>
      <c r="P16" s="23"/>
      <c r="Q16" s="23"/>
      <c r="R16" s="20" t="str">
        <f t="shared" si="7"/>
        <v/>
      </c>
      <c r="S16" s="24" t="str">
        <f t="shared" si="8"/>
        <v/>
      </c>
      <c r="T16" s="28" t="str">
        <f t="shared" si="9"/>
        <v/>
      </c>
    </row>
    <row r="17" spans="1:20" x14ac:dyDescent="0.25">
      <c r="A17" s="18">
        <v>4</v>
      </c>
      <c r="B17" s="19"/>
      <c r="C17" s="20" t="str">
        <f t="shared" si="0"/>
        <v/>
      </c>
      <c r="D17" s="21"/>
      <c r="E17" s="20" t="str">
        <f t="shared" si="1"/>
        <v/>
      </c>
      <c r="F17" s="19"/>
      <c r="G17" s="20" t="str">
        <f t="shared" si="2"/>
        <v/>
      </c>
      <c r="H17" s="19"/>
      <c r="I17" s="20" t="str">
        <f t="shared" si="3"/>
        <v/>
      </c>
      <c r="J17" s="19"/>
      <c r="K17" s="20" t="str">
        <f t="shared" si="4"/>
        <v/>
      </c>
      <c r="L17" s="21"/>
      <c r="M17" s="20" t="str">
        <f t="shared" si="5"/>
        <v/>
      </c>
      <c r="N17" s="21"/>
      <c r="O17" s="20" t="str">
        <f t="shared" si="6"/>
        <v/>
      </c>
      <c r="P17" s="23"/>
      <c r="Q17" s="23"/>
      <c r="R17" s="20" t="str">
        <f t="shared" si="7"/>
        <v/>
      </c>
      <c r="S17" s="24" t="str">
        <f t="shared" si="8"/>
        <v/>
      </c>
      <c r="T17" s="28" t="str">
        <f t="shared" si="9"/>
        <v/>
      </c>
    </row>
    <row r="18" spans="1:20" x14ac:dyDescent="0.25">
      <c r="A18" s="18">
        <v>5</v>
      </c>
      <c r="B18" s="19"/>
      <c r="C18" s="20" t="str">
        <f t="shared" si="0"/>
        <v/>
      </c>
      <c r="D18" s="21"/>
      <c r="E18" s="20" t="str">
        <f t="shared" si="1"/>
        <v/>
      </c>
      <c r="F18" s="19"/>
      <c r="G18" s="20" t="str">
        <f t="shared" si="2"/>
        <v/>
      </c>
      <c r="H18" s="19"/>
      <c r="I18" s="20" t="str">
        <f t="shared" si="3"/>
        <v/>
      </c>
      <c r="J18" s="19"/>
      <c r="K18" s="20" t="str">
        <f t="shared" si="4"/>
        <v/>
      </c>
      <c r="L18" s="21"/>
      <c r="M18" s="20" t="str">
        <f t="shared" si="5"/>
        <v/>
      </c>
      <c r="N18" s="21"/>
      <c r="O18" s="20" t="str">
        <f t="shared" si="6"/>
        <v/>
      </c>
      <c r="P18" s="23"/>
      <c r="Q18" s="23"/>
      <c r="R18" s="20" t="str">
        <f t="shared" si="7"/>
        <v/>
      </c>
      <c r="S18" s="24" t="str">
        <f t="shared" si="8"/>
        <v/>
      </c>
      <c r="T18" s="28" t="str">
        <f t="shared" si="9"/>
        <v/>
      </c>
    </row>
    <row r="19" spans="1:20" x14ac:dyDescent="0.25">
      <c r="A19" s="18">
        <v>6</v>
      </c>
      <c r="B19" s="19"/>
      <c r="C19" s="20" t="str">
        <f t="shared" si="0"/>
        <v/>
      </c>
      <c r="D19" s="21"/>
      <c r="E19" s="20" t="str">
        <f t="shared" si="1"/>
        <v/>
      </c>
      <c r="F19" s="19"/>
      <c r="G19" s="20" t="str">
        <f t="shared" si="2"/>
        <v/>
      </c>
      <c r="H19" s="19"/>
      <c r="I19" s="20" t="str">
        <f t="shared" si="3"/>
        <v/>
      </c>
      <c r="J19" s="19"/>
      <c r="K19" s="20" t="str">
        <f t="shared" si="4"/>
        <v/>
      </c>
      <c r="L19" s="21"/>
      <c r="M19" s="20" t="str">
        <f t="shared" si="5"/>
        <v/>
      </c>
      <c r="N19" s="21"/>
      <c r="O19" s="20" t="str">
        <f t="shared" si="6"/>
        <v/>
      </c>
      <c r="P19" s="23"/>
      <c r="Q19" s="23"/>
      <c r="R19" s="20" t="str">
        <f t="shared" si="7"/>
        <v/>
      </c>
      <c r="S19" s="24" t="str">
        <f t="shared" si="8"/>
        <v/>
      </c>
      <c r="T19" s="28" t="str">
        <f t="shared" si="9"/>
        <v/>
      </c>
    </row>
    <row r="20" spans="1:20" x14ac:dyDescent="0.25">
      <c r="A20" s="18">
        <v>7</v>
      </c>
      <c r="B20" s="19"/>
      <c r="C20" s="20" t="str">
        <f t="shared" si="0"/>
        <v/>
      </c>
      <c r="D20" s="21"/>
      <c r="E20" s="20" t="str">
        <f t="shared" si="1"/>
        <v/>
      </c>
      <c r="F20" s="19"/>
      <c r="G20" s="20" t="str">
        <f t="shared" si="2"/>
        <v/>
      </c>
      <c r="H20" s="19"/>
      <c r="I20" s="20" t="str">
        <f t="shared" si="3"/>
        <v/>
      </c>
      <c r="J20" s="19"/>
      <c r="K20" s="20" t="str">
        <f t="shared" si="4"/>
        <v/>
      </c>
      <c r="L20" s="21"/>
      <c r="M20" s="20" t="str">
        <f t="shared" si="5"/>
        <v/>
      </c>
      <c r="N20" s="21"/>
      <c r="O20" s="20" t="str">
        <f t="shared" si="6"/>
        <v/>
      </c>
      <c r="P20" s="23"/>
      <c r="Q20" s="23"/>
      <c r="R20" s="20" t="str">
        <f t="shared" si="7"/>
        <v/>
      </c>
      <c r="S20" s="24" t="str">
        <f t="shared" si="8"/>
        <v/>
      </c>
      <c r="T20" s="28" t="str">
        <f t="shared" si="9"/>
        <v/>
      </c>
    </row>
    <row r="21" spans="1:20" x14ac:dyDescent="0.25">
      <c r="A21" s="18">
        <v>8</v>
      </c>
      <c r="B21" s="19"/>
      <c r="C21" s="20" t="str">
        <f t="shared" si="0"/>
        <v/>
      </c>
      <c r="D21" s="21"/>
      <c r="E21" s="20" t="str">
        <f t="shared" si="1"/>
        <v/>
      </c>
      <c r="F21" s="19"/>
      <c r="G21" s="20" t="str">
        <f t="shared" si="2"/>
        <v/>
      </c>
      <c r="H21" s="19"/>
      <c r="I21" s="20" t="str">
        <f t="shared" si="3"/>
        <v/>
      </c>
      <c r="J21" s="19"/>
      <c r="K21" s="20" t="str">
        <f t="shared" si="4"/>
        <v/>
      </c>
      <c r="L21" s="21"/>
      <c r="M21" s="20" t="str">
        <f t="shared" si="5"/>
        <v/>
      </c>
      <c r="N21" s="21"/>
      <c r="O21" s="20" t="str">
        <f t="shared" si="6"/>
        <v/>
      </c>
      <c r="P21" s="23"/>
      <c r="Q21" s="23"/>
      <c r="R21" s="20" t="str">
        <f t="shared" si="7"/>
        <v/>
      </c>
      <c r="S21" s="24" t="str">
        <f t="shared" si="8"/>
        <v/>
      </c>
      <c r="T21" s="28" t="str">
        <f t="shared" si="9"/>
        <v/>
      </c>
    </row>
    <row r="22" spans="1:20" x14ac:dyDescent="0.25">
      <c r="A22" s="18">
        <v>9</v>
      </c>
      <c r="B22" s="19"/>
      <c r="C22" s="20" t="str">
        <f t="shared" si="0"/>
        <v/>
      </c>
      <c r="D22" s="21"/>
      <c r="E22" s="20" t="str">
        <f t="shared" si="1"/>
        <v/>
      </c>
      <c r="F22" s="19"/>
      <c r="G22" s="20" t="str">
        <f t="shared" si="2"/>
        <v/>
      </c>
      <c r="H22" s="19"/>
      <c r="I22" s="20" t="str">
        <f t="shared" si="3"/>
        <v/>
      </c>
      <c r="J22" s="19"/>
      <c r="K22" s="20" t="str">
        <f t="shared" si="4"/>
        <v/>
      </c>
      <c r="L22" s="21"/>
      <c r="M22" s="20" t="str">
        <f t="shared" si="5"/>
        <v/>
      </c>
      <c r="N22" s="21"/>
      <c r="O22" s="20" t="str">
        <f t="shared" si="6"/>
        <v/>
      </c>
      <c r="P22" s="23"/>
      <c r="Q22" s="23"/>
      <c r="R22" s="20" t="str">
        <f t="shared" si="7"/>
        <v/>
      </c>
      <c r="S22" s="24" t="str">
        <f t="shared" si="8"/>
        <v/>
      </c>
      <c r="T22" s="28" t="str">
        <f t="shared" si="9"/>
        <v/>
      </c>
    </row>
    <row r="23" spans="1:20" x14ac:dyDescent="0.25">
      <c r="A23" s="18">
        <v>10</v>
      </c>
      <c r="B23" s="19"/>
      <c r="C23" s="20" t="str">
        <f t="shared" si="0"/>
        <v/>
      </c>
      <c r="D23" s="21"/>
      <c r="E23" s="20" t="str">
        <f t="shared" si="1"/>
        <v/>
      </c>
      <c r="F23" s="19"/>
      <c r="G23" s="20" t="str">
        <f t="shared" si="2"/>
        <v/>
      </c>
      <c r="H23" s="19"/>
      <c r="I23" s="20" t="str">
        <f t="shared" si="3"/>
        <v/>
      </c>
      <c r="J23" s="19"/>
      <c r="K23" s="20" t="str">
        <f t="shared" si="4"/>
        <v/>
      </c>
      <c r="L23" s="21"/>
      <c r="M23" s="20" t="str">
        <f t="shared" si="5"/>
        <v/>
      </c>
      <c r="N23" s="21"/>
      <c r="O23" s="20" t="str">
        <f t="shared" si="6"/>
        <v/>
      </c>
      <c r="P23" s="23"/>
      <c r="Q23" s="23"/>
      <c r="R23" s="20" t="str">
        <f t="shared" si="7"/>
        <v/>
      </c>
      <c r="S23" s="24" t="str">
        <f t="shared" si="8"/>
        <v/>
      </c>
      <c r="T23" s="28" t="str">
        <f t="shared" si="9"/>
        <v/>
      </c>
    </row>
    <row r="24" spans="1:20" x14ac:dyDescent="0.25">
      <c r="A24" s="18">
        <v>11</v>
      </c>
      <c r="B24" s="19"/>
      <c r="C24" s="20" t="str">
        <f t="shared" si="0"/>
        <v/>
      </c>
      <c r="D24" s="21"/>
      <c r="E24" s="20" t="str">
        <f t="shared" si="1"/>
        <v/>
      </c>
      <c r="F24" s="19"/>
      <c r="G24" s="20" t="str">
        <f t="shared" si="2"/>
        <v/>
      </c>
      <c r="H24" s="19"/>
      <c r="I24" s="20" t="str">
        <f t="shared" si="3"/>
        <v/>
      </c>
      <c r="J24" s="19"/>
      <c r="K24" s="20" t="str">
        <f t="shared" si="4"/>
        <v/>
      </c>
      <c r="L24" s="21"/>
      <c r="M24" s="20" t="str">
        <f t="shared" si="5"/>
        <v/>
      </c>
      <c r="N24" s="21"/>
      <c r="O24" s="20" t="str">
        <f t="shared" si="6"/>
        <v/>
      </c>
      <c r="P24" s="23"/>
      <c r="Q24" s="23"/>
      <c r="R24" s="20" t="str">
        <f t="shared" si="7"/>
        <v/>
      </c>
      <c r="S24" s="24" t="str">
        <f t="shared" si="8"/>
        <v/>
      </c>
      <c r="T24" s="28" t="str">
        <f t="shared" si="9"/>
        <v/>
      </c>
    </row>
    <row r="25" spans="1:20" x14ac:dyDescent="0.25">
      <c r="A25" s="18">
        <v>12</v>
      </c>
      <c r="B25" s="19"/>
      <c r="C25" s="20" t="str">
        <f t="shared" si="0"/>
        <v/>
      </c>
      <c r="D25" s="21"/>
      <c r="E25" s="20" t="str">
        <f t="shared" si="1"/>
        <v/>
      </c>
      <c r="F25" s="19"/>
      <c r="G25" s="20" t="str">
        <f t="shared" si="2"/>
        <v/>
      </c>
      <c r="H25" s="19"/>
      <c r="I25" s="20" t="str">
        <f t="shared" si="3"/>
        <v/>
      </c>
      <c r="J25" s="19"/>
      <c r="K25" s="20" t="str">
        <f t="shared" si="4"/>
        <v/>
      </c>
      <c r="L25" s="21"/>
      <c r="M25" s="20" t="str">
        <f t="shared" si="5"/>
        <v/>
      </c>
      <c r="N25" s="21"/>
      <c r="O25" s="20" t="str">
        <f t="shared" si="6"/>
        <v/>
      </c>
      <c r="P25" s="23"/>
      <c r="Q25" s="23"/>
      <c r="R25" s="20" t="str">
        <f t="shared" si="7"/>
        <v/>
      </c>
      <c r="S25" s="24" t="str">
        <f t="shared" si="8"/>
        <v/>
      </c>
      <c r="T25" s="28" t="str">
        <f t="shared" si="9"/>
        <v/>
      </c>
    </row>
    <row r="26" spans="1:20" x14ac:dyDescent="0.25">
      <c r="A26" s="18">
        <v>13</v>
      </c>
      <c r="B26" s="19"/>
      <c r="C26" s="20" t="str">
        <f t="shared" si="0"/>
        <v/>
      </c>
      <c r="D26" s="21"/>
      <c r="E26" s="20" t="str">
        <f t="shared" si="1"/>
        <v/>
      </c>
      <c r="F26" s="19"/>
      <c r="G26" s="20" t="str">
        <f t="shared" si="2"/>
        <v/>
      </c>
      <c r="H26" s="19"/>
      <c r="I26" s="20" t="str">
        <f t="shared" si="3"/>
        <v/>
      </c>
      <c r="J26" s="19"/>
      <c r="K26" s="20" t="str">
        <f t="shared" si="4"/>
        <v/>
      </c>
      <c r="L26" s="21"/>
      <c r="M26" s="20" t="str">
        <f t="shared" si="5"/>
        <v/>
      </c>
      <c r="N26" s="21"/>
      <c r="O26" s="20" t="str">
        <f t="shared" si="6"/>
        <v/>
      </c>
      <c r="P26" s="23"/>
      <c r="Q26" s="23"/>
      <c r="R26" s="20" t="str">
        <f t="shared" si="7"/>
        <v/>
      </c>
      <c r="S26" s="24" t="str">
        <f t="shared" si="8"/>
        <v/>
      </c>
      <c r="T26" s="28" t="str">
        <f t="shared" si="9"/>
        <v/>
      </c>
    </row>
    <row r="27" spans="1:20" x14ac:dyDescent="0.25">
      <c r="A27" s="18">
        <v>14</v>
      </c>
      <c r="B27" s="19"/>
      <c r="C27" s="20" t="str">
        <f t="shared" si="0"/>
        <v/>
      </c>
      <c r="D27" s="21"/>
      <c r="E27" s="20" t="str">
        <f t="shared" si="1"/>
        <v/>
      </c>
      <c r="F27" s="19"/>
      <c r="G27" s="20" t="str">
        <f t="shared" si="2"/>
        <v/>
      </c>
      <c r="H27" s="19"/>
      <c r="I27" s="20" t="str">
        <f t="shared" si="3"/>
        <v/>
      </c>
      <c r="J27" s="19"/>
      <c r="K27" s="20" t="str">
        <f t="shared" si="4"/>
        <v/>
      </c>
      <c r="L27" s="21"/>
      <c r="M27" s="20" t="str">
        <f t="shared" si="5"/>
        <v/>
      </c>
      <c r="N27" s="21"/>
      <c r="O27" s="20" t="str">
        <f t="shared" si="6"/>
        <v/>
      </c>
      <c r="P27" s="23"/>
      <c r="Q27" s="23"/>
      <c r="R27" s="20" t="str">
        <f t="shared" si="7"/>
        <v/>
      </c>
      <c r="S27" s="24" t="str">
        <f t="shared" si="8"/>
        <v/>
      </c>
      <c r="T27" s="28" t="str">
        <f t="shared" si="9"/>
        <v/>
      </c>
    </row>
    <row r="28" spans="1:20" x14ac:dyDescent="0.25">
      <c r="A28" s="18">
        <v>15</v>
      </c>
      <c r="B28" s="19"/>
      <c r="C28" s="20" t="str">
        <f t="shared" si="0"/>
        <v/>
      </c>
      <c r="D28" s="21"/>
      <c r="E28" s="20" t="str">
        <f t="shared" si="1"/>
        <v/>
      </c>
      <c r="F28" s="19"/>
      <c r="G28" s="20" t="str">
        <f t="shared" si="2"/>
        <v/>
      </c>
      <c r="H28" s="19"/>
      <c r="I28" s="20" t="str">
        <f t="shared" si="3"/>
        <v/>
      </c>
      <c r="J28" s="19"/>
      <c r="K28" s="20" t="str">
        <f t="shared" si="4"/>
        <v/>
      </c>
      <c r="L28" s="21"/>
      <c r="M28" s="20" t="str">
        <f t="shared" si="5"/>
        <v/>
      </c>
      <c r="N28" s="21"/>
      <c r="O28" s="20" t="str">
        <f t="shared" si="6"/>
        <v/>
      </c>
      <c r="P28" s="23"/>
      <c r="Q28" s="23"/>
      <c r="R28" s="20" t="str">
        <f t="shared" si="7"/>
        <v/>
      </c>
      <c r="S28" s="24" t="str">
        <f t="shared" si="8"/>
        <v/>
      </c>
      <c r="T28" s="28" t="str">
        <f t="shared" si="9"/>
        <v/>
      </c>
    </row>
    <row r="31" spans="1:20" ht="21.95" customHeight="1" x14ac:dyDescent="0.25">
      <c r="A31" s="44" t="s">
        <v>422</v>
      </c>
      <c r="B31" s="45"/>
      <c r="C31" s="45"/>
      <c r="D31" s="45"/>
      <c r="E31" s="45"/>
      <c r="F31" s="45"/>
      <c r="G31" s="45"/>
      <c r="H31" s="45"/>
      <c r="I31" s="45"/>
      <c r="J31" s="45"/>
      <c r="K31" s="45"/>
      <c r="L31" s="45"/>
      <c r="M31" s="45"/>
      <c r="N31" s="45"/>
      <c r="O31" s="45"/>
      <c r="P31" s="45"/>
      <c r="Q31" s="45"/>
      <c r="R31" s="45"/>
      <c r="S31" s="45"/>
      <c r="T31" s="45"/>
    </row>
    <row r="33" spans="1:20" ht="24" customHeight="1" x14ac:dyDescent="0.25">
      <c r="A33" s="46" t="s">
        <v>488</v>
      </c>
      <c r="B33" s="35"/>
      <c r="C33" s="35"/>
      <c r="D33" s="35"/>
      <c r="E33" s="35"/>
      <c r="F33" s="35"/>
      <c r="G33" s="35"/>
      <c r="H33" s="35"/>
      <c r="I33" s="35"/>
      <c r="J33" s="35"/>
      <c r="K33" s="35"/>
      <c r="L33" s="35"/>
      <c r="M33" s="35"/>
      <c r="N33" s="35"/>
      <c r="O33" s="35"/>
      <c r="P33" s="35"/>
      <c r="Q33" s="35"/>
      <c r="R33" s="35"/>
      <c r="S33" s="35"/>
      <c r="T33" s="35"/>
    </row>
    <row r="34" spans="1:20" ht="36" customHeight="1" x14ac:dyDescent="0.25">
      <c r="A34" s="42" t="s">
        <v>424</v>
      </c>
      <c r="B34" s="35"/>
      <c r="C34" s="35"/>
      <c r="D34" s="35"/>
      <c r="E34" s="35"/>
      <c r="F34" s="35"/>
      <c r="G34" s="35"/>
      <c r="H34" s="35"/>
      <c r="I34" s="35"/>
      <c r="J34" s="35"/>
      <c r="K34" s="35"/>
      <c r="L34" s="35"/>
      <c r="M34" s="35"/>
      <c r="N34" s="35"/>
      <c r="O34" s="35"/>
      <c r="P34" s="35"/>
      <c r="Q34" s="35"/>
      <c r="R34" s="35"/>
      <c r="S34" s="35"/>
      <c r="T34" s="35"/>
    </row>
    <row r="36" spans="1:20" ht="18" customHeight="1" x14ac:dyDescent="0.25">
      <c r="A36" s="41" t="s">
        <v>425</v>
      </c>
      <c r="B36" s="35"/>
      <c r="C36" s="35"/>
      <c r="D36" s="35"/>
      <c r="E36" s="35"/>
      <c r="F36" s="35"/>
      <c r="G36" s="35"/>
      <c r="H36" s="35"/>
      <c r="I36" s="35"/>
      <c r="J36" s="35"/>
      <c r="K36" s="35"/>
      <c r="L36" s="35"/>
      <c r="M36" s="35"/>
      <c r="N36" s="35"/>
      <c r="O36" s="35"/>
      <c r="P36" s="35"/>
      <c r="Q36" s="35"/>
      <c r="R36" s="35"/>
      <c r="S36" s="35"/>
      <c r="T36" s="35"/>
    </row>
    <row r="37" spans="1:20" ht="21" customHeight="1" x14ac:dyDescent="0.25">
      <c r="A37" s="42" t="s">
        <v>426</v>
      </c>
      <c r="B37" s="35"/>
      <c r="C37" s="35"/>
      <c r="D37" s="35"/>
      <c r="E37" s="35"/>
      <c r="F37" s="35"/>
      <c r="G37" s="35"/>
      <c r="H37" s="35"/>
      <c r="I37" s="35"/>
      <c r="J37" s="35"/>
      <c r="K37" s="35"/>
      <c r="L37" s="35"/>
      <c r="M37" s="35"/>
      <c r="N37" s="35"/>
      <c r="O37" s="35"/>
      <c r="P37" s="35"/>
      <c r="Q37" s="35"/>
      <c r="R37" s="35"/>
      <c r="S37" s="35"/>
      <c r="T37" s="35"/>
    </row>
    <row r="39" spans="1:20" ht="18" customHeight="1" x14ac:dyDescent="0.25">
      <c r="A39" s="41" t="s">
        <v>427</v>
      </c>
      <c r="B39" s="35"/>
      <c r="C39" s="35"/>
      <c r="D39" s="35"/>
      <c r="E39" s="35"/>
      <c r="F39" s="35"/>
      <c r="G39" s="35"/>
      <c r="H39" s="35"/>
      <c r="I39" s="35"/>
      <c r="J39" s="35"/>
      <c r="K39" s="35"/>
      <c r="L39" s="35"/>
      <c r="M39" s="35"/>
      <c r="N39" s="35"/>
      <c r="O39" s="35"/>
      <c r="P39" s="35"/>
      <c r="Q39" s="35"/>
      <c r="R39" s="35"/>
      <c r="S39" s="35"/>
      <c r="T39" s="35"/>
    </row>
    <row r="40" spans="1:20" ht="21" customHeight="1" x14ac:dyDescent="0.25">
      <c r="A40" s="42" t="s">
        <v>489</v>
      </c>
      <c r="B40" s="35"/>
      <c r="C40" s="35"/>
      <c r="D40" s="35"/>
      <c r="E40" s="35"/>
      <c r="F40" s="35"/>
      <c r="G40" s="35"/>
      <c r="H40" s="35"/>
      <c r="I40" s="35"/>
      <c r="J40" s="35"/>
      <c r="K40" s="35"/>
      <c r="L40" s="35"/>
      <c r="M40" s="35"/>
      <c r="N40" s="35"/>
      <c r="O40" s="35"/>
      <c r="P40" s="35"/>
      <c r="Q40" s="35"/>
      <c r="R40" s="35"/>
      <c r="S40" s="35"/>
      <c r="T40" s="35"/>
    </row>
    <row r="43" spans="1:20" ht="21.95" customHeight="1" x14ac:dyDescent="0.25">
      <c r="A43" s="44" t="s">
        <v>490</v>
      </c>
      <c r="B43" s="45"/>
      <c r="C43" s="45"/>
      <c r="D43" s="45"/>
      <c r="E43" s="45"/>
      <c r="F43" s="45"/>
      <c r="G43" s="45"/>
      <c r="H43" s="45"/>
      <c r="I43" s="45"/>
      <c r="J43" s="45"/>
      <c r="K43" s="45"/>
      <c r="L43" s="45"/>
      <c r="M43" s="45"/>
      <c r="N43" s="45"/>
      <c r="O43" s="45"/>
      <c r="P43" s="45"/>
      <c r="Q43" s="45"/>
      <c r="R43" s="45"/>
      <c r="S43" s="45"/>
      <c r="T43" s="45"/>
    </row>
    <row r="44" spans="1:20" ht="15.95" customHeight="1" x14ac:dyDescent="0.25">
      <c r="A44" s="43" t="s">
        <v>430</v>
      </c>
      <c r="B44" s="35"/>
      <c r="C44" s="35"/>
      <c r="D44" s="35"/>
      <c r="E44" s="35"/>
      <c r="F44" s="35"/>
      <c r="G44" s="35"/>
      <c r="H44" s="35"/>
      <c r="I44" s="35"/>
      <c r="J44" s="35"/>
      <c r="K44" s="35"/>
      <c r="L44" s="35"/>
      <c r="M44" s="35"/>
      <c r="N44" s="35"/>
      <c r="O44" s="35"/>
      <c r="P44" s="35"/>
      <c r="Q44" s="35"/>
      <c r="R44" s="35"/>
      <c r="S44" s="35"/>
      <c r="T44" s="35"/>
    </row>
    <row r="46" spans="1:20" ht="18" customHeight="1" x14ac:dyDescent="0.25">
      <c r="A46" s="41" t="s">
        <v>491</v>
      </c>
      <c r="B46" s="35"/>
      <c r="C46" s="35"/>
      <c r="D46" s="35"/>
      <c r="E46" s="35"/>
      <c r="F46" s="35"/>
      <c r="G46" s="35"/>
      <c r="H46" s="35"/>
      <c r="I46" s="35"/>
      <c r="J46" s="35"/>
      <c r="K46" s="35"/>
      <c r="L46" s="35"/>
      <c r="M46" s="35"/>
      <c r="N46" s="35"/>
      <c r="O46" s="35"/>
      <c r="P46" s="35"/>
      <c r="Q46" s="35"/>
      <c r="R46" s="35"/>
      <c r="S46" s="35"/>
      <c r="T46" s="35"/>
    </row>
    <row r="47" spans="1:20" ht="21" customHeight="1" x14ac:dyDescent="0.25">
      <c r="A47" s="42" t="s">
        <v>492</v>
      </c>
      <c r="B47" s="35"/>
      <c r="C47" s="35"/>
      <c r="D47" s="35"/>
      <c r="E47" s="35"/>
      <c r="F47" s="35"/>
      <c r="G47" s="35"/>
      <c r="H47" s="35"/>
      <c r="I47" s="35"/>
      <c r="J47" s="35"/>
      <c r="K47" s="35"/>
      <c r="L47" s="35"/>
      <c r="M47" s="35"/>
      <c r="N47" s="35"/>
      <c r="O47" s="35"/>
      <c r="P47" s="35"/>
      <c r="Q47" s="35"/>
      <c r="R47" s="35"/>
      <c r="S47" s="35"/>
      <c r="T47" s="35"/>
    </row>
    <row r="48" spans="1:20" ht="6" customHeight="1" x14ac:dyDescent="0.25"/>
    <row r="49" spans="1:20" ht="18" customHeight="1" x14ac:dyDescent="0.25">
      <c r="A49" s="41" t="s">
        <v>493</v>
      </c>
      <c r="B49" s="35"/>
      <c r="C49" s="35"/>
      <c r="D49" s="35"/>
      <c r="E49" s="35"/>
      <c r="F49" s="35"/>
      <c r="G49" s="35"/>
      <c r="H49" s="35"/>
      <c r="I49" s="35"/>
      <c r="J49" s="35"/>
      <c r="K49" s="35"/>
      <c r="L49" s="35"/>
      <c r="M49" s="35"/>
      <c r="N49" s="35"/>
      <c r="O49" s="35"/>
      <c r="P49" s="35"/>
      <c r="Q49" s="35"/>
      <c r="R49" s="35"/>
      <c r="S49" s="35"/>
      <c r="T49" s="35"/>
    </row>
    <row r="50" spans="1:20" ht="21" customHeight="1" x14ac:dyDescent="0.25">
      <c r="A50" s="42" t="s">
        <v>494</v>
      </c>
      <c r="B50" s="35"/>
      <c r="C50" s="35"/>
      <c r="D50" s="35"/>
      <c r="E50" s="35"/>
      <c r="F50" s="35"/>
      <c r="G50" s="35"/>
      <c r="H50" s="35"/>
      <c r="I50" s="35"/>
      <c r="J50" s="35"/>
      <c r="K50" s="35"/>
      <c r="L50" s="35"/>
      <c r="M50" s="35"/>
      <c r="N50" s="35"/>
      <c r="O50" s="35"/>
      <c r="P50" s="35"/>
      <c r="Q50" s="35"/>
      <c r="R50" s="35"/>
      <c r="S50" s="35"/>
      <c r="T50" s="35"/>
    </row>
    <row r="51" spans="1:20" ht="6" customHeight="1" x14ac:dyDescent="0.25"/>
    <row r="52" spans="1:20" ht="18" customHeight="1" x14ac:dyDescent="0.25">
      <c r="A52" s="41" t="s">
        <v>419</v>
      </c>
      <c r="B52" s="35"/>
      <c r="C52" s="35"/>
      <c r="D52" s="35"/>
      <c r="E52" s="35"/>
      <c r="F52" s="35"/>
      <c r="G52" s="35"/>
      <c r="H52" s="35"/>
      <c r="I52" s="35"/>
      <c r="J52" s="35"/>
      <c r="K52" s="35"/>
      <c r="L52" s="35"/>
      <c r="M52" s="35"/>
      <c r="N52" s="35"/>
      <c r="O52" s="35"/>
      <c r="P52" s="35"/>
      <c r="Q52" s="35"/>
      <c r="R52" s="35"/>
      <c r="S52" s="35"/>
      <c r="T52" s="35"/>
    </row>
    <row r="53" spans="1:20" ht="21" customHeight="1" x14ac:dyDescent="0.25">
      <c r="A53" s="42" t="s">
        <v>495</v>
      </c>
      <c r="B53" s="35"/>
      <c r="C53" s="35"/>
      <c r="D53" s="35"/>
      <c r="E53" s="35"/>
      <c r="F53" s="35"/>
      <c r="G53" s="35"/>
      <c r="H53" s="35"/>
      <c r="I53" s="35"/>
      <c r="J53" s="35"/>
      <c r="K53" s="35"/>
      <c r="L53" s="35"/>
      <c r="M53" s="35"/>
      <c r="N53" s="35"/>
      <c r="O53" s="35"/>
      <c r="P53" s="35"/>
      <c r="Q53" s="35"/>
      <c r="R53" s="35"/>
      <c r="S53" s="35"/>
      <c r="T53" s="35"/>
    </row>
    <row r="54" spans="1:20" ht="6" customHeight="1" x14ac:dyDescent="0.25"/>
    <row r="55" spans="1:20" ht="18" customHeight="1" x14ac:dyDescent="0.25">
      <c r="A55" s="41" t="s">
        <v>496</v>
      </c>
      <c r="B55" s="35"/>
      <c r="C55" s="35"/>
      <c r="D55" s="35"/>
      <c r="E55" s="35"/>
      <c r="F55" s="35"/>
      <c r="G55" s="35"/>
      <c r="H55" s="35"/>
      <c r="I55" s="35"/>
      <c r="J55" s="35"/>
      <c r="K55" s="35"/>
      <c r="L55" s="35"/>
      <c r="M55" s="35"/>
      <c r="N55" s="35"/>
      <c r="O55" s="35"/>
      <c r="P55" s="35"/>
      <c r="Q55" s="35"/>
      <c r="R55" s="35"/>
      <c r="S55" s="35"/>
      <c r="T55" s="35"/>
    </row>
    <row r="56" spans="1:20" ht="21" customHeight="1" x14ac:dyDescent="0.25">
      <c r="A56" s="42" t="s">
        <v>497</v>
      </c>
      <c r="B56" s="35"/>
      <c r="C56" s="35"/>
      <c r="D56" s="35"/>
      <c r="E56" s="35"/>
      <c r="F56" s="35"/>
      <c r="G56" s="35"/>
      <c r="H56" s="35"/>
      <c r="I56" s="35"/>
      <c r="J56" s="35"/>
      <c r="K56" s="35"/>
      <c r="L56" s="35"/>
      <c r="M56" s="35"/>
      <c r="N56" s="35"/>
      <c r="O56" s="35"/>
      <c r="P56" s="35"/>
      <c r="Q56" s="35"/>
      <c r="R56" s="35"/>
      <c r="S56" s="35"/>
      <c r="T56" s="35"/>
    </row>
    <row r="57" spans="1:20" ht="6" customHeight="1" x14ac:dyDescent="0.25"/>
    <row r="58" spans="1:20" ht="18" customHeight="1" x14ac:dyDescent="0.25">
      <c r="A58" s="41" t="s">
        <v>388</v>
      </c>
      <c r="B58" s="35"/>
      <c r="C58" s="35"/>
      <c r="D58" s="35"/>
      <c r="E58" s="35"/>
      <c r="F58" s="35"/>
      <c r="G58" s="35"/>
      <c r="H58" s="35"/>
      <c r="I58" s="35"/>
      <c r="J58" s="35"/>
      <c r="K58" s="35"/>
      <c r="L58" s="35"/>
      <c r="M58" s="35"/>
      <c r="N58" s="35"/>
      <c r="O58" s="35"/>
      <c r="P58" s="35"/>
      <c r="Q58" s="35"/>
      <c r="R58" s="35"/>
      <c r="S58" s="35"/>
      <c r="T58" s="35"/>
    </row>
    <row r="59" spans="1:20" ht="51" customHeight="1" x14ac:dyDescent="0.25">
      <c r="A59" s="42" t="s">
        <v>389</v>
      </c>
      <c r="B59" s="35"/>
      <c r="C59" s="35"/>
      <c r="D59" s="35"/>
      <c r="E59" s="35"/>
      <c r="F59" s="35"/>
      <c r="G59" s="35"/>
      <c r="H59" s="35"/>
      <c r="I59" s="35"/>
      <c r="J59" s="35"/>
      <c r="K59" s="35"/>
      <c r="L59" s="35"/>
      <c r="M59" s="35"/>
      <c r="N59" s="35"/>
      <c r="O59" s="35"/>
      <c r="P59" s="35"/>
      <c r="Q59" s="35"/>
      <c r="R59" s="35"/>
      <c r="S59" s="35"/>
      <c r="T59" s="35"/>
    </row>
    <row r="60" spans="1:20" ht="6" customHeight="1" x14ac:dyDescent="0.25"/>
    <row r="63" spans="1:20" ht="21.95" customHeight="1" x14ac:dyDescent="0.25">
      <c r="A63" s="44" t="s">
        <v>390</v>
      </c>
      <c r="B63" s="45"/>
      <c r="C63" s="45"/>
      <c r="D63" s="45"/>
      <c r="E63" s="45"/>
      <c r="F63" s="45"/>
      <c r="G63" s="45"/>
      <c r="H63" s="45"/>
      <c r="I63" s="45"/>
      <c r="J63" s="45"/>
      <c r="K63" s="45"/>
      <c r="L63" s="45"/>
      <c r="M63" s="45"/>
      <c r="N63" s="45"/>
      <c r="O63" s="45"/>
      <c r="P63" s="45"/>
      <c r="Q63" s="45"/>
      <c r="R63" s="45"/>
      <c r="S63" s="45"/>
      <c r="T63" s="45"/>
    </row>
    <row r="65" spans="1:20" ht="18" customHeight="1" x14ac:dyDescent="0.25">
      <c r="A65" s="41" t="s">
        <v>91</v>
      </c>
      <c r="B65" s="35"/>
      <c r="C65" s="35"/>
      <c r="D65" s="35"/>
      <c r="E65" s="35"/>
      <c r="F65" s="35"/>
      <c r="G65" s="35"/>
      <c r="H65" s="35"/>
      <c r="I65" s="35"/>
      <c r="J65" s="35"/>
      <c r="K65" s="35"/>
      <c r="L65" s="35"/>
      <c r="M65" s="35"/>
      <c r="N65" s="35"/>
      <c r="O65" s="35"/>
      <c r="P65" s="35"/>
      <c r="Q65" s="35"/>
      <c r="R65" s="35"/>
      <c r="S65" s="35"/>
      <c r="T65" s="35"/>
    </row>
    <row r="66" spans="1:20" ht="21" customHeight="1" x14ac:dyDescent="0.25">
      <c r="A66" s="42" t="s">
        <v>391</v>
      </c>
      <c r="B66" s="35"/>
      <c r="C66" s="35"/>
      <c r="D66" s="35"/>
      <c r="E66" s="35"/>
      <c r="F66" s="35"/>
      <c r="G66" s="35"/>
      <c r="H66" s="35"/>
      <c r="I66" s="35"/>
      <c r="J66" s="35"/>
      <c r="K66" s="35"/>
      <c r="L66" s="35"/>
      <c r="M66" s="35"/>
      <c r="N66" s="35"/>
      <c r="O66" s="35"/>
      <c r="P66" s="35"/>
      <c r="Q66" s="35"/>
      <c r="R66" s="35"/>
      <c r="S66" s="35"/>
      <c r="T66" s="35"/>
    </row>
    <row r="67" spans="1:20" ht="6" customHeight="1" x14ac:dyDescent="0.25"/>
    <row r="68" spans="1:20" ht="18" customHeight="1" x14ac:dyDescent="0.25">
      <c r="A68" s="41" t="s">
        <v>130</v>
      </c>
      <c r="B68" s="35"/>
      <c r="C68" s="35"/>
      <c r="D68" s="35"/>
      <c r="E68" s="35"/>
      <c r="F68" s="35"/>
      <c r="G68" s="35"/>
      <c r="H68" s="35"/>
      <c r="I68" s="35"/>
      <c r="J68" s="35"/>
      <c r="K68" s="35"/>
      <c r="L68" s="35"/>
      <c r="M68" s="35"/>
      <c r="N68" s="35"/>
      <c r="O68" s="35"/>
      <c r="P68" s="35"/>
      <c r="Q68" s="35"/>
      <c r="R68" s="35"/>
      <c r="S68" s="35"/>
      <c r="T68" s="35"/>
    </row>
    <row r="69" spans="1:20" ht="36" customHeight="1" x14ac:dyDescent="0.25">
      <c r="A69" s="42" t="s">
        <v>392</v>
      </c>
      <c r="B69" s="35"/>
      <c r="C69" s="35"/>
      <c r="D69" s="35"/>
      <c r="E69" s="35"/>
      <c r="F69" s="35"/>
      <c r="G69" s="35"/>
      <c r="H69" s="35"/>
      <c r="I69" s="35"/>
      <c r="J69" s="35"/>
      <c r="K69" s="35"/>
      <c r="L69" s="35"/>
      <c r="M69" s="35"/>
      <c r="N69" s="35"/>
      <c r="O69" s="35"/>
      <c r="P69" s="35"/>
      <c r="Q69" s="35"/>
      <c r="R69" s="35"/>
      <c r="S69" s="35"/>
      <c r="T69" s="35"/>
    </row>
    <row r="70" spans="1:20" ht="6" customHeight="1" x14ac:dyDescent="0.25"/>
    <row r="71" spans="1:20" ht="18" customHeight="1" x14ac:dyDescent="0.25">
      <c r="A71" s="41" t="s">
        <v>355</v>
      </c>
      <c r="B71" s="35"/>
      <c r="C71" s="35"/>
      <c r="D71" s="35"/>
      <c r="E71" s="35"/>
      <c r="F71" s="35"/>
      <c r="G71" s="35"/>
      <c r="H71" s="35"/>
      <c r="I71" s="35"/>
      <c r="J71" s="35"/>
      <c r="K71" s="35"/>
      <c r="L71" s="35"/>
      <c r="M71" s="35"/>
      <c r="N71" s="35"/>
      <c r="O71" s="35"/>
      <c r="P71" s="35"/>
      <c r="Q71" s="35"/>
      <c r="R71" s="35"/>
      <c r="S71" s="35"/>
      <c r="T71" s="35"/>
    </row>
    <row r="72" spans="1:20" ht="21" customHeight="1" x14ac:dyDescent="0.25">
      <c r="A72" s="42" t="s">
        <v>393</v>
      </c>
      <c r="B72" s="35"/>
      <c r="C72" s="35"/>
      <c r="D72" s="35"/>
      <c r="E72" s="35"/>
      <c r="F72" s="35"/>
      <c r="G72" s="35"/>
      <c r="H72" s="35"/>
      <c r="I72" s="35"/>
      <c r="J72" s="35"/>
      <c r="K72" s="35"/>
      <c r="L72" s="35"/>
      <c r="M72" s="35"/>
      <c r="N72" s="35"/>
      <c r="O72" s="35"/>
      <c r="P72" s="35"/>
      <c r="Q72" s="35"/>
      <c r="R72" s="35"/>
      <c r="S72" s="35"/>
      <c r="T72" s="35"/>
    </row>
    <row r="73" spans="1:20" ht="6" customHeight="1" x14ac:dyDescent="0.25"/>
    <row r="74" spans="1:20" ht="18" customHeight="1" x14ac:dyDescent="0.25">
      <c r="A74" s="41" t="s">
        <v>357</v>
      </c>
      <c r="B74" s="35"/>
      <c r="C74" s="35"/>
      <c r="D74" s="35"/>
      <c r="E74" s="35"/>
      <c r="F74" s="35"/>
      <c r="G74" s="35"/>
      <c r="H74" s="35"/>
      <c r="I74" s="35"/>
      <c r="J74" s="35"/>
      <c r="K74" s="35"/>
      <c r="L74" s="35"/>
      <c r="M74" s="35"/>
      <c r="N74" s="35"/>
      <c r="O74" s="35"/>
      <c r="P74" s="35"/>
      <c r="Q74" s="35"/>
      <c r="R74" s="35"/>
      <c r="S74" s="35"/>
      <c r="T74" s="35"/>
    </row>
    <row r="75" spans="1:20" ht="36" customHeight="1" x14ac:dyDescent="0.25">
      <c r="A75" s="42" t="s">
        <v>394</v>
      </c>
      <c r="B75" s="35"/>
      <c r="C75" s="35"/>
      <c r="D75" s="35"/>
      <c r="E75" s="35"/>
      <c r="F75" s="35"/>
      <c r="G75" s="35"/>
      <c r="H75" s="35"/>
      <c r="I75" s="35"/>
      <c r="J75" s="35"/>
      <c r="K75" s="35"/>
      <c r="L75" s="35"/>
      <c r="M75" s="35"/>
      <c r="N75" s="35"/>
      <c r="O75" s="35"/>
      <c r="P75" s="35"/>
      <c r="Q75" s="35"/>
      <c r="R75" s="35"/>
      <c r="S75" s="35"/>
      <c r="T75" s="35"/>
    </row>
    <row r="76" spans="1:20" ht="6" customHeight="1" x14ac:dyDescent="0.25"/>
    <row r="77" spans="1:20" ht="18" customHeight="1" x14ac:dyDescent="0.25">
      <c r="A77" s="41" t="s">
        <v>360</v>
      </c>
      <c r="B77" s="35"/>
      <c r="C77" s="35"/>
      <c r="D77" s="35"/>
      <c r="E77" s="35"/>
      <c r="F77" s="35"/>
      <c r="G77" s="35"/>
      <c r="H77" s="35"/>
      <c r="I77" s="35"/>
      <c r="J77" s="35"/>
      <c r="K77" s="35"/>
      <c r="L77" s="35"/>
      <c r="M77" s="35"/>
      <c r="N77" s="35"/>
      <c r="O77" s="35"/>
      <c r="P77" s="35"/>
      <c r="Q77" s="35"/>
      <c r="R77" s="35"/>
      <c r="S77" s="35"/>
      <c r="T77" s="35"/>
    </row>
    <row r="78" spans="1:20" ht="21" customHeight="1" x14ac:dyDescent="0.25">
      <c r="A78" s="42" t="s">
        <v>498</v>
      </c>
      <c r="B78" s="35"/>
      <c r="C78" s="35"/>
      <c r="D78" s="35"/>
      <c r="E78" s="35"/>
      <c r="F78" s="35"/>
      <c r="G78" s="35"/>
      <c r="H78" s="35"/>
      <c r="I78" s="35"/>
      <c r="J78" s="35"/>
      <c r="K78" s="35"/>
      <c r="L78" s="35"/>
      <c r="M78" s="35"/>
      <c r="N78" s="35"/>
      <c r="O78" s="35"/>
      <c r="P78" s="35"/>
      <c r="Q78" s="35"/>
      <c r="R78" s="35"/>
      <c r="S78" s="35"/>
      <c r="T78" s="35"/>
    </row>
    <row r="79" spans="1:20" ht="6" customHeight="1" x14ac:dyDescent="0.25"/>
    <row r="80" spans="1:20" ht="18" customHeight="1" x14ac:dyDescent="0.25">
      <c r="A80" s="41" t="s">
        <v>416</v>
      </c>
      <c r="B80" s="35"/>
      <c r="C80" s="35"/>
      <c r="D80" s="35"/>
      <c r="E80" s="35"/>
      <c r="F80" s="35"/>
      <c r="G80" s="35"/>
      <c r="H80" s="35"/>
      <c r="I80" s="35"/>
      <c r="J80" s="35"/>
      <c r="K80" s="35"/>
      <c r="L80" s="35"/>
      <c r="M80" s="35"/>
      <c r="N80" s="35"/>
      <c r="O80" s="35"/>
      <c r="P80" s="35"/>
      <c r="Q80" s="35"/>
      <c r="R80" s="35"/>
      <c r="S80" s="35"/>
      <c r="T80" s="35"/>
    </row>
    <row r="81" spans="1:20" ht="36" customHeight="1" x14ac:dyDescent="0.25">
      <c r="A81" s="42" t="s">
        <v>438</v>
      </c>
      <c r="B81" s="35"/>
      <c r="C81" s="35"/>
      <c r="D81" s="35"/>
      <c r="E81" s="35"/>
      <c r="F81" s="35"/>
      <c r="G81" s="35"/>
      <c r="H81" s="35"/>
      <c r="I81" s="35"/>
      <c r="J81" s="35"/>
      <c r="K81" s="35"/>
      <c r="L81" s="35"/>
      <c r="M81" s="35"/>
      <c r="N81" s="35"/>
      <c r="O81" s="35"/>
      <c r="P81" s="35"/>
      <c r="Q81" s="35"/>
      <c r="R81" s="35"/>
      <c r="S81" s="35"/>
      <c r="T81" s="35"/>
    </row>
    <row r="82" spans="1:20" ht="6" customHeight="1" x14ac:dyDescent="0.25"/>
    <row r="83" spans="1:20" ht="18" customHeight="1" x14ac:dyDescent="0.25">
      <c r="A83" s="41" t="s">
        <v>136</v>
      </c>
      <c r="B83" s="35"/>
      <c r="C83" s="35"/>
      <c r="D83" s="35"/>
      <c r="E83" s="35"/>
      <c r="F83" s="35"/>
      <c r="G83" s="35"/>
      <c r="H83" s="35"/>
      <c r="I83" s="35"/>
      <c r="J83" s="35"/>
      <c r="K83" s="35"/>
      <c r="L83" s="35"/>
      <c r="M83" s="35"/>
      <c r="N83" s="35"/>
      <c r="O83" s="35"/>
      <c r="P83" s="35"/>
      <c r="Q83" s="35"/>
      <c r="R83" s="35"/>
      <c r="S83" s="35"/>
      <c r="T83" s="35"/>
    </row>
    <row r="84" spans="1:20" ht="21" customHeight="1" x14ac:dyDescent="0.25">
      <c r="A84" s="42" t="s">
        <v>439</v>
      </c>
      <c r="B84" s="35"/>
      <c r="C84" s="35"/>
      <c r="D84" s="35"/>
      <c r="E84" s="35"/>
      <c r="F84" s="35"/>
      <c r="G84" s="35"/>
      <c r="H84" s="35"/>
      <c r="I84" s="35"/>
      <c r="J84" s="35"/>
      <c r="K84" s="35"/>
      <c r="L84" s="35"/>
      <c r="M84" s="35"/>
      <c r="N84" s="35"/>
      <c r="O84" s="35"/>
      <c r="P84" s="35"/>
      <c r="Q84" s="35"/>
      <c r="R84" s="35"/>
      <c r="S84" s="35"/>
      <c r="T84" s="35"/>
    </row>
    <row r="85" spans="1:20" ht="6" customHeight="1" x14ac:dyDescent="0.25"/>
    <row r="86" spans="1:20" ht="18" customHeight="1" x14ac:dyDescent="0.25">
      <c r="A86" s="41" t="s">
        <v>419</v>
      </c>
      <c r="B86" s="35"/>
      <c r="C86" s="35"/>
      <c r="D86" s="35"/>
      <c r="E86" s="35"/>
      <c r="F86" s="35"/>
      <c r="G86" s="35"/>
      <c r="H86" s="35"/>
      <c r="I86" s="35"/>
      <c r="J86" s="35"/>
      <c r="K86" s="35"/>
      <c r="L86" s="35"/>
      <c r="M86" s="35"/>
      <c r="N86" s="35"/>
      <c r="O86" s="35"/>
      <c r="P86" s="35"/>
      <c r="Q86" s="35"/>
      <c r="R86" s="35"/>
      <c r="S86" s="35"/>
      <c r="T86" s="35"/>
    </row>
    <row r="87" spans="1:20" ht="21" customHeight="1" x14ac:dyDescent="0.25">
      <c r="A87" s="42" t="s">
        <v>440</v>
      </c>
      <c r="B87" s="35"/>
      <c r="C87" s="35"/>
      <c r="D87" s="35"/>
      <c r="E87" s="35"/>
      <c r="F87" s="35"/>
      <c r="G87" s="35"/>
      <c r="H87" s="35"/>
      <c r="I87" s="35"/>
      <c r="J87" s="35"/>
      <c r="K87" s="35"/>
      <c r="L87" s="35"/>
      <c r="M87" s="35"/>
      <c r="N87" s="35"/>
      <c r="O87" s="35"/>
      <c r="P87" s="35"/>
      <c r="Q87" s="35"/>
      <c r="R87" s="35"/>
      <c r="S87" s="35"/>
      <c r="T87" s="35"/>
    </row>
    <row r="88" spans="1:20" ht="6" customHeight="1" x14ac:dyDescent="0.25"/>
    <row r="89" spans="1:20" ht="18" customHeight="1" x14ac:dyDescent="0.25">
      <c r="A89" s="41" t="s">
        <v>366</v>
      </c>
      <c r="B89" s="35"/>
      <c r="C89" s="35"/>
      <c r="D89" s="35"/>
      <c r="E89" s="35"/>
      <c r="F89" s="35"/>
      <c r="G89" s="35"/>
      <c r="H89" s="35"/>
      <c r="I89" s="35"/>
      <c r="J89" s="35"/>
      <c r="K89" s="35"/>
      <c r="L89" s="35"/>
      <c r="M89" s="35"/>
      <c r="N89" s="35"/>
      <c r="O89" s="35"/>
      <c r="P89" s="35"/>
      <c r="Q89" s="35"/>
      <c r="R89" s="35"/>
      <c r="S89" s="35"/>
      <c r="T89" s="35"/>
    </row>
    <row r="90" spans="1:20" ht="21" customHeight="1" x14ac:dyDescent="0.25">
      <c r="A90" s="42" t="s">
        <v>399</v>
      </c>
      <c r="B90" s="35"/>
      <c r="C90" s="35"/>
      <c r="D90" s="35"/>
      <c r="E90" s="35"/>
      <c r="F90" s="35"/>
      <c r="G90" s="35"/>
      <c r="H90" s="35"/>
      <c r="I90" s="35"/>
      <c r="J90" s="35"/>
      <c r="K90" s="35"/>
      <c r="L90" s="35"/>
      <c r="M90" s="35"/>
      <c r="N90" s="35"/>
      <c r="O90" s="35"/>
      <c r="P90" s="35"/>
      <c r="Q90" s="35"/>
      <c r="R90" s="35"/>
      <c r="S90" s="35"/>
      <c r="T90" s="35"/>
    </row>
    <row r="91" spans="1:20" ht="6" customHeight="1" x14ac:dyDescent="0.25"/>
    <row r="94" spans="1:20" x14ac:dyDescent="0.25">
      <c r="A94" s="43" t="s">
        <v>400</v>
      </c>
      <c r="B94" s="35"/>
      <c r="C94" s="35"/>
      <c r="D94" s="35"/>
      <c r="E94" s="35"/>
      <c r="F94" s="35"/>
      <c r="G94" s="35"/>
      <c r="H94" s="35"/>
      <c r="I94" s="35"/>
      <c r="J94" s="35"/>
      <c r="K94" s="35"/>
      <c r="L94" s="35"/>
      <c r="M94" s="35"/>
      <c r="N94" s="35"/>
      <c r="O94" s="35"/>
      <c r="P94" s="35"/>
      <c r="Q94" s="35"/>
      <c r="R94" s="35"/>
      <c r="S94" s="35"/>
      <c r="T94" s="35"/>
    </row>
  </sheetData>
  <mergeCells count="39">
    <mergeCell ref="A94:T94"/>
    <mergeCell ref="A78:T78"/>
    <mergeCell ref="A69:T69"/>
    <mergeCell ref="A87:T87"/>
    <mergeCell ref="A65:T65"/>
    <mergeCell ref="A84:T84"/>
    <mergeCell ref="A90:T90"/>
    <mergeCell ref="A66:T66"/>
    <mergeCell ref="A80:T80"/>
    <mergeCell ref="A75:T75"/>
    <mergeCell ref="A89:T89"/>
    <mergeCell ref="A74:T74"/>
    <mergeCell ref="A86:T86"/>
    <mergeCell ref="A71:T71"/>
    <mergeCell ref="A81:T81"/>
    <mergeCell ref="A72:T72"/>
    <mergeCell ref="A77:T77"/>
    <mergeCell ref="A83:T83"/>
    <mergeCell ref="A59:T59"/>
    <mergeCell ref="A49:T49"/>
    <mergeCell ref="A36:T36"/>
    <mergeCell ref="A37:T37"/>
    <mergeCell ref="A46:T46"/>
    <mergeCell ref="A50:T50"/>
    <mergeCell ref="A56:T56"/>
    <mergeCell ref="A55:T55"/>
    <mergeCell ref="A47:T47"/>
    <mergeCell ref="A53:T53"/>
    <mergeCell ref="A43:T43"/>
    <mergeCell ref="A63:T63"/>
    <mergeCell ref="A52:T52"/>
    <mergeCell ref="A68:T68"/>
    <mergeCell ref="A31:T31"/>
    <mergeCell ref="A58:T58"/>
    <mergeCell ref="A34:T34"/>
    <mergeCell ref="A40:T40"/>
    <mergeCell ref="A39:T39"/>
    <mergeCell ref="A33:T33"/>
    <mergeCell ref="A44:T44"/>
  </mergeCells>
  <dataValidations count="9">
    <dataValidation type="list" allowBlank="1" errorTitle="Valore non valido" error="Selezionare dalla lista." promptTitle="Author" prompt="Autore della codifica." sqref="B6:B28" xr:uid="{00000000-0002-0000-0800-000000000000}">
      <formula1>Author_Name</formula1>
    </dataValidation>
    <dataValidation type="list" allowBlank="1" errorTitle="Valore non valido" error="Selezionare dalla lista, oppure lasciare vuoto." promptTitle="In Place" prompt="Facoltativo. Si compila solo quando l’elemento è modellato in place dentro il progetto, non caricato da una libreria né tipo di una famiglia di sistema. Nel nome diventa (I) attaccato al codice di categoria, senza separatore. Cella vuota = caso normale." sqref="D6:D28" xr:uid="{00000000-0002-0000-0800-000001000000}">
      <formula1>InPl_Name</formula1>
    </dataValidation>
    <dataValidation type="list" allowBlank="1" errorTitle="Valore non valido" error="Selezionare dalla lista." promptTitle="Categoria" prompt="Categoria Revit dell’elemento." sqref="F6:F28" xr:uid="{00000000-0002-0000-0800-000002000000}">
      <formula1>CN_Cat_Name</formula1>
    </dataValidation>
    <dataValidation type="list" allowBlank="1" errorTitle="Valore non valido" error="Selezionare dalla lista." promptTitle="Group1 — materiale" sqref="H6:H28" xr:uid="{00000000-0002-0000-0800-000003000000}">
      <formula1>STR_G1_Name</formula1>
    </dataValidation>
    <dataValidation type="list" allowBlank="1" errorTitle="Valore non valido" error="Selezionare dalla lista." promptTitle="Group2 — che nodo è" prompt="Che nodo è: piastra di base, trave-pilastro, giunto di continuità, nodo di controvento, ancoraggio, mensola, connettore a taglio, irrigidimento." sqref="J6:J28" xr:uid="{00000000-0002-0000-0800-000004000000}">
      <formula1>CN_G2_Name</formula1>
    </dataValidation>
    <dataValidation type="list" allowBlank="1" errorTitle="Valore non valido" error="Selezionare dalla lista." promptTitle="Family role" prompt="Facoltativo. CM Component = componente minore, destinato a essere annidato dentro un’altra famiglia: sui nodi è il caso normale. SY Symbolic = famiglia che contiene un simbolo, non la geometria reale. Vuoto = famiglia completa e autonoma." sqref="L6:L28" xr:uid="{00000000-0002-0000-0800-000005000000}">
      <formula1>Role_Name</formula1>
    </dataValidation>
    <dataValidation type="list" allowBlank="1" errorTitle="Valore non valido" error="Selezionare dalla lista." promptTitle="Custom" prompt="Facoltativo. Sezione o elemento disegnato su misura, non corrispondente a un profilo di normativa o a un prodotto di mercato. Vuoto → si assume un profilo commerciale. Non compatibile con Manufacturer." sqref="N6:N28" xr:uid="{00000000-0002-0000-0800-000006000000}">
      <formula1>Cst_Name</formula1>
    </dataValidation>
    <dataValidation type="custom" allowBlank="1" errorTitle="Non valido" error="Massimo 24 caratteri, senza spazi, e non compatibile con Custom." promptTitle="Manufacturer" prompt="Facoltativo. Azienda produttrice. Campo libero: senza spazi, iniziali maiuscole. Non compatibile con Custom." sqref="P6:P28" xr:uid="{00000000-0002-0000-0800-000007000000}">
      <formula1>AND(LEN($P6)&lt;=24,ISERROR(FIND(" ",$P6)),OR($P6="",$O6=""))</formula1>
    </dataValidation>
    <dataValidation type="textLength" operator="lessThanOrEqual" allowBlank="1" errorTitle="Troppo lunga" error="Massimo 40 caratteri." promptTitle="Description" prompt="Facoltativa. Solo se aggiunge un’informazione non già nei codici. Senza spazi, iniziali maiuscole, massimo 40 caratteri, senza accenti." sqref="Q6:Q28" xr:uid="{00000000-0002-0000-0800-000008000000}">
      <formula1>40</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E1"/>
  <sheetViews>
    <sheetView workbookViewId="0"/>
  </sheetViews>
  <sheetFormatPr defaultRowHeight="15" x14ac:dyDescent="0.25"/>
  <sheetData>
    <row r="1" spans="5:5" x14ac:dyDescent="0.25">
      <c r="E1" s="5" t="s">
        <v>499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10</vt:i4>
      </vt:variant>
      <vt:variant>
        <vt:lpstr>Intervalli denominati</vt:lpstr>
      </vt:variant>
      <vt:variant>
        <vt:i4>41</vt:i4>
      </vt:variant>
    </vt:vector>
  </HeadingPairs>
  <TitlesOfParts>
    <vt:vector size="51" baseType="lpstr">
      <vt:lpstr>Istruzioni</vt:lpstr>
      <vt:lpstr>DV</vt:lpstr>
      <vt:lpstr>01_FS Foundation Slabs</vt:lpstr>
      <vt:lpstr>02_FW Wall Foundations</vt:lpstr>
      <vt:lpstr>03_FI Isolated Foundations</vt:lpstr>
      <vt:lpstr>04_SC Structural Columns</vt:lpstr>
      <vt:lpstr>05_FR Structural Framing</vt:lpstr>
      <vt:lpstr>06_TR Trusses</vt:lpstr>
      <vt:lpstr>07_CN Connections</vt:lpstr>
      <vt:lpstr>_src</vt:lpstr>
      <vt:lpstr>Author_Code</vt:lpstr>
      <vt:lpstr>Author_Name</vt:lpstr>
      <vt:lpstr>CN_Cat_Code</vt:lpstr>
      <vt:lpstr>CN_Cat_Name</vt:lpstr>
      <vt:lpstr>CN_G2_Code</vt:lpstr>
      <vt:lpstr>CN_G2_Name</vt:lpstr>
      <vt:lpstr>Cst_Code</vt:lpstr>
      <vt:lpstr>Cst_Name</vt:lpstr>
      <vt:lpstr>FI_Cat_Code</vt:lpstr>
      <vt:lpstr>FI_Cat_Name</vt:lpstr>
      <vt:lpstr>FI_G2_Code</vt:lpstr>
      <vt:lpstr>FI_G2_Name</vt:lpstr>
      <vt:lpstr>FR_Cat_Code</vt:lpstr>
      <vt:lpstr>FR_Cat_Name</vt:lpstr>
      <vt:lpstr>FR_G2_Code</vt:lpstr>
      <vt:lpstr>FR_G2_Name</vt:lpstr>
      <vt:lpstr>FS_Cat_Code</vt:lpstr>
      <vt:lpstr>FS_Cat_Name</vt:lpstr>
      <vt:lpstr>FS_G2_Code</vt:lpstr>
      <vt:lpstr>FS_G2_Name</vt:lpstr>
      <vt:lpstr>FW_Cat_Code</vt:lpstr>
      <vt:lpstr>FW_Cat_Name</vt:lpstr>
      <vt:lpstr>FW_G2_Code</vt:lpstr>
      <vt:lpstr>FW_G2_Name</vt:lpstr>
      <vt:lpstr>InPl_Code</vt:lpstr>
      <vt:lpstr>InPl_Name</vt:lpstr>
      <vt:lpstr>Role_Code</vt:lpstr>
      <vt:lpstr>Role_Name</vt:lpstr>
      <vt:lpstr>SC_Cat_Code</vt:lpstr>
      <vt:lpstr>SC_Cat_Name</vt:lpstr>
      <vt:lpstr>SC_G2_Code</vt:lpstr>
      <vt:lpstr>SC_G2_Name</vt:lpstr>
      <vt:lpstr>STR_G1_Code</vt:lpstr>
      <vt:lpstr>STR_G1_Name</vt:lpstr>
      <vt:lpstr>STR_G1_TM</vt:lpstr>
      <vt:lpstr>TR_Cat_Code</vt:lpstr>
      <vt:lpstr>TR_Cat_Name</vt:lpstr>
      <vt:lpstr>TR_G2_Code</vt:lpstr>
      <vt:lpstr>TR_G2_Name</vt:lpstr>
      <vt:lpstr>Use_Code</vt:lpstr>
      <vt:lpstr>Use_Name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Giulio Fazio - ESA engineering</cp:lastModifiedBy>
  <dcterms:created xsi:type="dcterms:W3CDTF">2026-09-07T09:56:09Z</dcterms:created>
  <dcterms:modified xsi:type="dcterms:W3CDTF">2026-09-07T13:16:04Z</dcterms:modified>
</cp:coreProperties>
</file>