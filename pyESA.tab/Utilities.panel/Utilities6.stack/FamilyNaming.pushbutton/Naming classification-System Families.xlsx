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xl/tables/table36.xml" ContentType="application/vnd.openxmlformats-officedocument.spreadsheetml.table+xml"/>
  <Override PartName="/xl/tables/table37.xml" ContentType="application/vnd.openxmlformats-officedocument.spreadsheetml.table+xml"/>
  <Override PartName="/xl/tables/table38.xml" ContentType="application/vnd.openxmlformats-officedocument.spreadsheetml.table+xml"/>
  <Override PartName="/xl/tables/table39.xml" ContentType="application/vnd.openxmlformats-officedocument.spreadsheetml.table+xml"/>
  <Override PartName="/xl/tables/table40.xml" ContentType="application/vnd.openxmlformats-officedocument.spreadsheetml.table+xml"/>
  <Override PartName="/xl/tables/table41.xml" ContentType="application/vnd.openxmlformats-officedocument.spreadsheetml.table+xml"/>
  <Override PartName="/xl/tables/table42.xml" ContentType="application/vnd.openxmlformats-officedocument.spreadsheetml.table+xml"/>
  <Override PartName="/xl/tables/table43.xml" ContentType="application/vnd.openxmlformats-officedocument.spreadsheetml.table+xml"/>
  <Override PartName="/xl/tables/table44.xml" ContentType="application/vnd.openxmlformats-officedocument.spreadsheetml.table+xml"/>
  <Override PartName="/xl/tables/table45.xml" ContentType="application/vnd.openxmlformats-officedocument.spreadsheetml.table+xml"/>
  <Override PartName="/xl/tables/table46.xml" ContentType="application/vnd.openxmlformats-officedocument.spreadsheetml.table+xml"/>
  <Override PartName="/xl/tables/table47.xml" ContentType="application/vnd.openxmlformats-officedocument.spreadsheetml.table+xml"/>
  <Override PartName="/xl/tables/table48.xml" ContentType="application/vnd.openxmlformats-officedocument.spreadsheetml.table+xml"/>
  <Override PartName="/xl/tables/table49.xml" ContentType="application/vnd.openxmlformats-officedocument.spreadsheetml.table+xml"/>
  <Override PartName="/xl/tables/table50.xml" ContentType="application/vnd.openxmlformats-officedocument.spreadsheetml.table+xml"/>
  <Override PartName="/xl/tables/table51.xml" ContentType="application/vnd.openxmlformats-officedocument.spreadsheetml.table+xml"/>
  <Override PartName="/xl/tables/table52.xml" ContentType="application/vnd.openxmlformats-officedocument.spreadsheetml.table+xml"/>
  <Override PartName="/xl/tables/table53.xml" ContentType="application/vnd.openxmlformats-officedocument.spreadsheetml.table+xml"/>
  <Override PartName="/xl/tables/table54.xml" ContentType="application/vnd.openxmlformats-officedocument.spreadsheetml.table+xml"/>
  <Override PartName="/xl/tables/table55.xml" ContentType="application/vnd.openxmlformats-officedocument.spreadsheetml.table+xml"/>
  <Override PartName="/xl/tables/table56.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esaengineeringsrl-my.sharepoint.com/personal/g_fazio_esa-engineering_com/Documents/00 Lavori/Standard ESA/Nomenclatura/"/>
    </mc:Choice>
  </mc:AlternateContent>
  <xr:revisionPtr revIDLastSave="6" documentId="11_96DD47BFA27C21D98DEB5753B4125F1C94513718" xr6:coauthVersionLast="47" xr6:coauthVersionMax="47" xr10:uidLastSave="{531EFF50-EF81-4D96-AD27-06D1535E4CB8}"/>
  <bookViews>
    <workbookView xWindow="-120" yWindow="-120" windowWidth="29040" windowHeight="15720" firstSheet="2" activeTab="3" xr2:uid="{00000000-000D-0000-FFFF-FFFF00000000}"/>
  </bookViews>
  <sheets>
    <sheet name="Istruzioni" sheetId="1" r:id="rId1"/>
    <sheet name="DV" sheetId="2" r:id="rId2"/>
    <sheet name="01_CL Ceilings" sheetId="3" r:id="rId3"/>
    <sheet name="02_FL Floors" sheetId="4" r:id="rId4"/>
    <sheet name="03_RF Roofs" sheetId="5" r:id="rId5"/>
    <sheet name="04_RL Railings" sheetId="6" r:id="rId6"/>
    <sheet name="05_RN Runs" sheetId="7" r:id="rId7"/>
    <sheet name="06_LN Landings" sheetId="8" r:id="rId8"/>
    <sheet name="07_ST Stairs" sheetId="9" r:id="rId9"/>
    <sheet name="08_RM Ramps" sheetId="10" r:id="rId10"/>
    <sheet name="09_WL Walls" sheetId="11" r:id="rId11"/>
    <sheet name="10_CN Mullions" sheetId="12" r:id="rId12"/>
    <sheet name="11_TR Top Rails" sheetId="13" r:id="rId13"/>
    <sheet name="12_HR Handrails" sheetId="14" r:id="rId14"/>
    <sheet name="13_CP Curtain Panels" sheetId="15" r:id="rId15"/>
    <sheet name="14_TS Toposolid" sheetId="16" r:id="rId16"/>
    <sheet name="_src" sheetId="17" state="hidden" r:id="rId17"/>
  </sheets>
  <definedNames>
    <definedName name="AS_G1_Code">Tbl_AS_G1[AS_Group1_Code]</definedName>
    <definedName name="AS_G1_Name">Tbl_AS_G1[AS_Group1]</definedName>
    <definedName name="AS_G1_TM">Tbl_AS_G1[TM Code]</definedName>
    <definedName name="Author_Code">Tbl_Author[Author_Code]</definedName>
    <definedName name="Author_Name">Tbl_Author[Author]</definedName>
    <definedName name="BR_G1_Code">Tbl_BR_G1[BR_Group1_Code]</definedName>
    <definedName name="BR_G1_Name">Tbl_BR_G1[BR_Group1]</definedName>
    <definedName name="BR_G1_TM">Tbl_BR_G1[TM Code]</definedName>
    <definedName name="BR_G2_Code">Tbl_BR_G2[BR_Group2_Code]</definedName>
    <definedName name="BR_G2_Name">Tbl_BR_G2[BR_Group2]</definedName>
    <definedName name="BW_G1_Code">Tbl_BW_G1[BW_Group1_Code]</definedName>
    <definedName name="BW_G1_Name">Tbl_BW_G1[BW_Group1]</definedName>
    <definedName name="BW_G1_TM">Tbl_BW_G1[TM Code]</definedName>
    <definedName name="BW_G2_Code">Tbl_BW_G2[BW_Group2_Code]</definedName>
    <definedName name="BW_G2_Name">Tbl_BW_G2[BW_Group2]</definedName>
    <definedName name="CL_Cat_Code">Tbl_CL_Cat[CL_Category_Code]</definedName>
    <definedName name="CL_Cat_Name">Tbl_CL_Cat[CL_Category]</definedName>
    <definedName name="CL_G1_Code">Tbl_CL_G1[CL_Group1_Code]</definedName>
    <definedName name="CL_G1_Name">Tbl_CL_G1[CL_Group1]</definedName>
    <definedName name="CL_G1_TM">Tbl_CL_G1[TM Code]</definedName>
    <definedName name="CL_G2_Code">Tbl_CL_G2[CL_Group2_Code]</definedName>
    <definedName name="CL_G2_Name">Tbl_CL_G2[CL_Group2]</definedName>
    <definedName name="CN_Cat_Code">Tbl_CN_Cat[CN_Category_Code]</definedName>
    <definedName name="CN_Cat_Name">Tbl_CN_Cat[CN_Category]</definedName>
    <definedName name="CN_G1_Code">Tbl_CN_G1[CN_Group1_Code]</definedName>
    <definedName name="CN_G1_Name">Tbl_CN_G1[CN_Group1]</definedName>
    <definedName name="CN_G1_TM">Tbl_CN_G1[TM Code]</definedName>
    <definedName name="CN_G2_Code">Tbl_CN_G2[CN_Group2_Code]</definedName>
    <definedName name="CN_G2_Name">Tbl_CN_G2[CN_Group2]</definedName>
    <definedName name="CP_Cat_Code">Tbl_CP_Cat[CP_Category_Code]</definedName>
    <definedName name="CP_Cat_Name">Tbl_CP_Cat[CP_Category]</definedName>
    <definedName name="CP_G1_Code">Tbl_CP_G1[CP_Group1_Code]</definedName>
    <definedName name="CP_G1_Name">Tbl_CP_G1[CP_Group1]</definedName>
    <definedName name="CP_G1_TM">Tbl_CP_G1[TM Code]</definedName>
    <definedName name="CP_G2_Code">Tbl_CP_G2[CP_Group2_Code]</definedName>
    <definedName name="CP_G2_Name">Tbl_CP_G2[CP_Group2]</definedName>
    <definedName name="CS_G1_Code">Tbl_CS_G1[CS_Group1_Code]</definedName>
    <definedName name="CS_G1_Name">Tbl_CS_G1[CS_Group1]</definedName>
    <definedName name="CS_G1_TM">Tbl_CS_G1[TM Code]</definedName>
    <definedName name="CW_G1_Code">Tbl_CW_G1[CW_Group1_Code]</definedName>
    <definedName name="CW_G1_Name">Tbl_CW_G1[CW_Group1]</definedName>
    <definedName name="CW_G1_TM">Tbl_CW_G1[TM Code]</definedName>
    <definedName name="CW_G2_Code">Tbl_CW_G2[CW_Group2_Code]</definedName>
    <definedName name="CW_G2_Name">Tbl_CW_G2[CW_Group2]</definedName>
    <definedName name="Fin_Code">Tbl_Fin[nFinishings_Code]</definedName>
    <definedName name="Fin_Name">Tbl_Fin[nFinishings]</definedName>
    <definedName name="Fin01_Code">Tbl_Fin01[nFin01_Code]</definedName>
    <definedName name="Fin01_Name">Tbl_Fin01[nFin01]</definedName>
    <definedName name="FL_Cat_Code">Tbl_FL_Cat[FL_Category_Code]</definedName>
    <definedName name="FL_Cat_Name">Tbl_FL_Cat[FL_Category]</definedName>
    <definedName name="FL_G1_Code">Tbl_FL_G1[FL_Group1_Code]</definedName>
    <definedName name="FL_G1_Name">Tbl_FL_G1[FL_Group1]</definedName>
    <definedName name="FL_G1_TM">Tbl_FL_G1[TM Code]</definedName>
    <definedName name="FL_G2_Code">Tbl_FL_G2[FL_Group2_Code]</definedName>
    <definedName name="FL_G2_Name">Tbl_FL_G2[FL_Group2]</definedName>
    <definedName name="HR_Cat_Code">Tbl_HR_Cat[HR_Category_Code]</definedName>
    <definedName name="HR_Cat_Name">Tbl_HR_Cat[HR_Category]</definedName>
    <definedName name="HR_G2_Code">Tbl_HR_G2[HR_Group2_Code]</definedName>
    <definedName name="HR_G2_Name">Tbl_HR_G2[HR_Group2]</definedName>
    <definedName name="InPl_Code">Tbl_InPl[InPl_Code]</definedName>
    <definedName name="InPl_Name">Tbl_InPl[InPl_Name]</definedName>
    <definedName name="LN_Cat_Code">Tbl_LN_Cat[LN_Category_Code]</definedName>
    <definedName name="LN_Cat_Name">Tbl_LN_Cat[LN_Category]</definedName>
    <definedName name="LN_G1_Code">Tbl_LN_G1[LN_Group1_Code]</definedName>
    <definedName name="LN_G1_Name">Tbl_LN_G1[LN_Group1]</definedName>
    <definedName name="LN_G1_TM">Tbl_LN_G1[TM Code]</definedName>
    <definedName name="LN_G2_Code">Tbl_LN_G2[LN_Group2_Code]</definedName>
    <definedName name="LN_G2_Name">Tbl_LN_G2[LN_Group2]</definedName>
    <definedName name="LNsh_Code">DV!$M$27:$M$28</definedName>
    <definedName name="LNsh_Name">DV!$N$27:$N$28</definedName>
    <definedName name="Rail_Code">DV!$M$16:$M$19</definedName>
    <definedName name="Rail_Name">DV!$N$16:$N$19</definedName>
    <definedName name="RF_Cat_Code">Tbl_RF_Cat[RF_Category_Code]</definedName>
    <definedName name="RF_Cat_Name">Tbl_RF_Cat[RF_Category]</definedName>
    <definedName name="RL_Cat_Code">Tbl_RL_Cat[RL_Category_Code]</definedName>
    <definedName name="RL_Cat_Name">Tbl_RL_Cat[RL_Category]</definedName>
    <definedName name="RL_G1_Code">Tbl_RL_G1[RL_Group1_Code]</definedName>
    <definedName name="RL_G1_Name">Tbl_RL_G1[RL_Group1]</definedName>
    <definedName name="RL_G1_TM">Tbl_RL_G1[TM Code]</definedName>
    <definedName name="RL_G2_Code">Tbl_RL_G2[RL_Group2_Code]</definedName>
    <definedName name="RL_G2_Name">Tbl_RL_G2[RL_Group2]</definedName>
    <definedName name="RM_Cat_Code">Tbl_RM_Cat[RM_Category_Code]</definedName>
    <definedName name="RM_Cat_Name">Tbl_RM_Cat[RM_Category]</definedName>
    <definedName name="RM_G1_Code">Tbl_RM_G1[RM_Group1_Code]</definedName>
    <definedName name="RM_G1_Name">Tbl_RM_G1[RM_Group1]</definedName>
    <definedName name="RM_G1_TM">Tbl_RM_G1[TM Code]</definedName>
    <definedName name="RM_G2_Code">Tbl_RM_G2[RM_Group2_Code]</definedName>
    <definedName name="RM_G2_Name">Tbl_RM_G2[RM_Group2]</definedName>
    <definedName name="RMsh_Code">DV!$M$32:$M$33</definedName>
    <definedName name="RMsh_Name">DV!$N$32:$N$33</definedName>
    <definedName name="RN_Cat_Code">Tbl_RN_Cat[RN_Category_Code]</definedName>
    <definedName name="RN_Cat_Name">Tbl_RN_Cat[RN_Category]</definedName>
    <definedName name="RN_G1_Code">Tbl_RN_G1[RN_Group1_Code]</definedName>
    <definedName name="RN_G1_Name">Tbl_RN_G1[RN_Group1]</definedName>
    <definedName name="RN_G1_TM">Tbl_RN_G1[TM Code]</definedName>
    <definedName name="RN_G2_Code">Tbl_RN_G2[RN_Group2_Code]</definedName>
    <definedName name="RN_G2_Name">Tbl_RN_G2[RN_Group2]</definedName>
    <definedName name="RS_G1_Code">Tbl_RS_G1[RS_Group1_Code]</definedName>
    <definedName name="RS_G1_Name">Tbl_RS_G1[RS_Group1]</definedName>
    <definedName name="RS_G1_TM">Tbl_RS_G1[TM Code]</definedName>
    <definedName name="ST_Cat_Code">Tbl_ST_Cat[ST_Category_Code]</definedName>
    <definedName name="ST_Cat_Name">Tbl_ST_Cat[ST_Category]</definedName>
    <definedName name="ST_G2_Code">Tbl_ST_G2[ST_Group2_Code]</definedName>
    <definedName name="ST_G2_Name">Tbl_ST_G2[ST_Group2]</definedName>
    <definedName name="SZ_G1_Code">Tbl_SZ_G1[SZ_Group1_Code]</definedName>
    <definedName name="SZ_G1_Name">Tbl_SZ_G1[SZ_Group1]</definedName>
    <definedName name="SZ_G1_TM">Tbl_SZ_G1[TM Code]</definedName>
    <definedName name="SZ_G2_Code">Tbl_SZ_G2[SZ_Group2_Code]</definedName>
    <definedName name="SZ_G2_Name">Tbl_SZ_G2[SZ_Group2]</definedName>
    <definedName name="TR_Cat_Code">Tbl_TR_Cat[TR_Category_Code]</definedName>
    <definedName name="TR_Cat_Name">Tbl_TR_Cat[TR_Category]</definedName>
    <definedName name="TR_G1_Code">Tbl_TR_G1[TR_Group1_Code]</definedName>
    <definedName name="TR_G1_Name">Tbl_TR_G1[TR_Group1]</definedName>
    <definedName name="TR_G1_TM">Tbl_TR_G1[TM Code]</definedName>
    <definedName name="TR_G2_Code">Tbl_TR_G2[TR_Group2_Code]</definedName>
    <definedName name="TR_G2_Name">Tbl_TR_G2[TR_Group2]</definedName>
    <definedName name="TS_Cat_Code">Tbl_TS_Cat[TS_Category_Code]</definedName>
    <definedName name="TS_Cat_Name">Tbl_TS_Cat[TS_Category]</definedName>
    <definedName name="TS_G1_Code">Tbl_TS_G1[TS_Group1_Code]</definedName>
    <definedName name="TS_G1_Name">Tbl_TS_G1[TS_Group1]</definedName>
    <definedName name="TS_G1_TM">Tbl_TS_G1[TM Code]</definedName>
    <definedName name="TS_G2_Code">Tbl_TS_G2[TS_Group2_Code]</definedName>
    <definedName name="TS_G2_Name">Tbl_TS_G2[TS_Group2]</definedName>
    <definedName name="Und_Code">DV!$M$22:$M$23</definedName>
    <definedName name="Und_Name">DV!$N$22:$N$23</definedName>
    <definedName name="WL_Cat_Code">Tbl_WL_Cat[WL_Category_Code]</definedName>
    <definedName name="WL_Cat_Name">Tbl_WL_Cat[WL_Category]</definedName>
  </definedNames>
  <calcPr calcId="191029"/>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30" i="16" l="1"/>
  <c r="J30" i="16"/>
  <c r="I30" i="16"/>
  <c r="O30" i="16" s="1"/>
  <c r="S30" i="16" s="1"/>
  <c r="G30" i="16"/>
  <c r="R30" i="16" s="1"/>
  <c r="E30" i="16"/>
  <c r="C30" i="16"/>
  <c r="O29" i="16"/>
  <c r="S29" i="16" s="1"/>
  <c r="L29" i="16"/>
  <c r="R29" i="16" s="1"/>
  <c r="J29" i="16"/>
  <c r="I29" i="16"/>
  <c r="G29" i="16"/>
  <c r="E29" i="16"/>
  <c r="C29" i="16"/>
  <c r="L28" i="16"/>
  <c r="J28" i="16"/>
  <c r="O28" i="16" s="1"/>
  <c r="S28" i="16" s="1"/>
  <c r="I28" i="16"/>
  <c r="G28" i="16"/>
  <c r="R28" i="16" s="1"/>
  <c r="E28" i="16"/>
  <c r="C28" i="16"/>
  <c r="L27" i="16"/>
  <c r="J27" i="16"/>
  <c r="I27" i="16"/>
  <c r="G27" i="16"/>
  <c r="R27" i="16" s="1"/>
  <c r="E27" i="16"/>
  <c r="C27" i="16"/>
  <c r="L26" i="16"/>
  <c r="J26" i="16"/>
  <c r="I26" i="16"/>
  <c r="G26" i="16"/>
  <c r="E26" i="16"/>
  <c r="C26" i="16"/>
  <c r="L25" i="16"/>
  <c r="J25" i="16"/>
  <c r="I25" i="16"/>
  <c r="G25" i="16"/>
  <c r="E25" i="16"/>
  <c r="C25" i="16"/>
  <c r="L24" i="16"/>
  <c r="J24" i="16"/>
  <c r="I24" i="16"/>
  <c r="G24" i="16"/>
  <c r="E24" i="16"/>
  <c r="C24" i="16"/>
  <c r="L23" i="16"/>
  <c r="J23" i="16"/>
  <c r="I23" i="16"/>
  <c r="G23" i="16"/>
  <c r="R23" i="16" s="1"/>
  <c r="E23" i="16"/>
  <c r="C23" i="16"/>
  <c r="R22" i="16"/>
  <c r="O22" i="16"/>
  <c r="S22" i="16" s="1"/>
  <c r="L22" i="16"/>
  <c r="J22" i="16"/>
  <c r="I22" i="16"/>
  <c r="G22" i="16"/>
  <c r="E22" i="16"/>
  <c r="C22" i="16"/>
  <c r="O21" i="16"/>
  <c r="S21" i="16" s="1"/>
  <c r="L21" i="16"/>
  <c r="R21" i="16" s="1"/>
  <c r="J21" i="16"/>
  <c r="I21" i="16"/>
  <c r="G21" i="16"/>
  <c r="E21" i="16"/>
  <c r="C21" i="16"/>
  <c r="L20" i="16"/>
  <c r="J20" i="16"/>
  <c r="I20" i="16"/>
  <c r="G20" i="16"/>
  <c r="R20" i="16" s="1"/>
  <c r="E20" i="16"/>
  <c r="C20" i="16"/>
  <c r="L19" i="16"/>
  <c r="J19" i="16"/>
  <c r="I19" i="16"/>
  <c r="G19" i="16"/>
  <c r="R19" i="16" s="1"/>
  <c r="E19" i="16"/>
  <c r="C19" i="16"/>
  <c r="R18" i="16"/>
  <c r="O18" i="16"/>
  <c r="S18" i="16" s="1"/>
  <c r="L18" i="16"/>
  <c r="J18" i="16"/>
  <c r="I18" i="16"/>
  <c r="G18" i="16"/>
  <c r="E18" i="16"/>
  <c r="C18" i="16"/>
  <c r="L17" i="16"/>
  <c r="J17" i="16"/>
  <c r="I17" i="16"/>
  <c r="R17" i="16" s="1"/>
  <c r="G17" i="16"/>
  <c r="E17" i="16"/>
  <c r="C17" i="16"/>
  <c r="L16" i="16"/>
  <c r="J16" i="16"/>
  <c r="I16" i="16"/>
  <c r="O16" i="16" s="1"/>
  <c r="S16" i="16" s="1"/>
  <c r="G16" i="16"/>
  <c r="R16" i="16" s="1"/>
  <c r="E16" i="16"/>
  <c r="C16" i="16"/>
  <c r="L15" i="16"/>
  <c r="J15" i="16"/>
  <c r="O15" i="16" s="1"/>
  <c r="I15" i="16"/>
  <c r="G15" i="16"/>
  <c r="E15" i="16"/>
  <c r="C15" i="16"/>
  <c r="R14" i="16"/>
  <c r="O14" i="16"/>
  <c r="L14" i="16"/>
  <c r="J14" i="16"/>
  <c r="I14" i="16"/>
  <c r="G14" i="16"/>
  <c r="E14" i="16"/>
  <c r="C14" i="16"/>
  <c r="L13" i="16"/>
  <c r="J13" i="16"/>
  <c r="I13" i="16"/>
  <c r="R13" i="16" s="1"/>
  <c r="G13" i="16"/>
  <c r="E13" i="16"/>
  <c r="C13" i="16"/>
  <c r="R12" i="16"/>
  <c r="L12" i="16"/>
  <c r="J12" i="16"/>
  <c r="I12" i="16"/>
  <c r="O12" i="16" s="1"/>
  <c r="S12" i="16" s="1"/>
  <c r="G12" i="16"/>
  <c r="E12" i="16"/>
  <c r="C12" i="16"/>
  <c r="L11" i="16"/>
  <c r="J11" i="16"/>
  <c r="I11" i="16"/>
  <c r="G11" i="16"/>
  <c r="R11" i="16" s="1"/>
  <c r="E11" i="16"/>
  <c r="C11" i="16"/>
  <c r="R10" i="16"/>
  <c r="L10" i="16"/>
  <c r="J10" i="16"/>
  <c r="I10" i="16"/>
  <c r="O10" i="16" s="1"/>
  <c r="S10" i="16" s="1"/>
  <c r="G10" i="16"/>
  <c r="E10" i="16"/>
  <c r="C10" i="16"/>
  <c r="R9" i="16"/>
  <c r="L9" i="16"/>
  <c r="J9" i="16"/>
  <c r="I9" i="16"/>
  <c r="O9" i="16" s="1"/>
  <c r="S9" i="16" s="1"/>
  <c r="G9" i="16"/>
  <c r="E9" i="16"/>
  <c r="C9" i="16"/>
  <c r="L8" i="16"/>
  <c r="J8" i="16"/>
  <c r="I8" i="16"/>
  <c r="O8" i="16" s="1"/>
  <c r="G8" i="16"/>
  <c r="E8" i="16"/>
  <c r="C8" i="16"/>
  <c r="L7" i="16"/>
  <c r="J7" i="16"/>
  <c r="I7" i="16"/>
  <c r="O7" i="16" s="1"/>
  <c r="G7" i="16"/>
  <c r="E7" i="16"/>
  <c r="C7" i="16"/>
  <c r="S6" i="16"/>
  <c r="R6" i="16"/>
  <c r="O6" i="16"/>
  <c r="L6" i="16"/>
  <c r="J6" i="16"/>
  <c r="I6" i="16"/>
  <c r="G6" i="16"/>
  <c r="E6" i="16"/>
  <c r="C6" i="16"/>
  <c r="O5" i="16"/>
  <c r="S5" i="16" s="1"/>
  <c r="L5" i="16"/>
  <c r="J5" i="16"/>
  <c r="I5" i="16"/>
  <c r="R5" i="16" s="1"/>
  <c r="G5" i="16"/>
  <c r="E5" i="16"/>
  <c r="C5" i="16"/>
  <c r="L30" i="15"/>
  <c r="R30" i="15" s="1"/>
  <c r="J30" i="15"/>
  <c r="O30" i="15" s="1"/>
  <c r="S30" i="15" s="1"/>
  <c r="I30" i="15"/>
  <c r="G30" i="15"/>
  <c r="E30" i="15"/>
  <c r="C30" i="15"/>
  <c r="L29" i="15"/>
  <c r="J29" i="15"/>
  <c r="I29" i="15"/>
  <c r="G29" i="15"/>
  <c r="R29" i="15" s="1"/>
  <c r="E29" i="15"/>
  <c r="C29" i="15"/>
  <c r="L28" i="15"/>
  <c r="J28" i="15"/>
  <c r="I28" i="15"/>
  <c r="G28" i="15"/>
  <c r="R28" i="15" s="1"/>
  <c r="E28" i="15"/>
  <c r="C28" i="15"/>
  <c r="L27" i="15"/>
  <c r="J27" i="15"/>
  <c r="I27" i="15"/>
  <c r="O27" i="15" s="1"/>
  <c r="S27" i="15" s="1"/>
  <c r="G27" i="15"/>
  <c r="E27" i="15"/>
  <c r="C27" i="15"/>
  <c r="L26" i="15"/>
  <c r="J26" i="15"/>
  <c r="I26" i="15"/>
  <c r="O26" i="15" s="1"/>
  <c r="S26" i="15" s="1"/>
  <c r="G26" i="15"/>
  <c r="E26" i="15"/>
  <c r="C26" i="15"/>
  <c r="L25" i="15"/>
  <c r="J25" i="15"/>
  <c r="I25" i="15"/>
  <c r="O25" i="15" s="1"/>
  <c r="S25" i="15" s="1"/>
  <c r="G25" i="15"/>
  <c r="E25" i="15"/>
  <c r="C25" i="15"/>
  <c r="R24" i="15"/>
  <c r="O24" i="15"/>
  <c r="S24" i="15" s="1"/>
  <c r="L24" i="15"/>
  <c r="J24" i="15"/>
  <c r="I24" i="15"/>
  <c r="G24" i="15"/>
  <c r="E24" i="15"/>
  <c r="C24" i="15"/>
  <c r="L23" i="15"/>
  <c r="J23" i="15"/>
  <c r="I23" i="15"/>
  <c r="R23" i="15" s="1"/>
  <c r="G23" i="15"/>
  <c r="E23" i="15"/>
  <c r="C23" i="15"/>
  <c r="L22" i="15"/>
  <c r="R22" i="15" s="1"/>
  <c r="J22" i="15"/>
  <c r="I22" i="15"/>
  <c r="O22" i="15" s="1"/>
  <c r="S22" i="15" s="1"/>
  <c r="G22" i="15"/>
  <c r="E22" i="15"/>
  <c r="C22" i="15"/>
  <c r="L21" i="15"/>
  <c r="J21" i="15"/>
  <c r="I21" i="15"/>
  <c r="O21" i="15" s="1"/>
  <c r="S21" i="15" s="1"/>
  <c r="G21" i="15"/>
  <c r="E21" i="15"/>
  <c r="C21" i="15"/>
  <c r="L20" i="15"/>
  <c r="J20" i="15"/>
  <c r="I20" i="15"/>
  <c r="O20" i="15" s="1"/>
  <c r="S20" i="15" s="1"/>
  <c r="G20" i="15"/>
  <c r="R20" i="15" s="1"/>
  <c r="E20" i="15"/>
  <c r="C20" i="15"/>
  <c r="R19" i="15"/>
  <c r="O19" i="15"/>
  <c r="S19" i="15" s="1"/>
  <c r="L19" i="15"/>
  <c r="J19" i="15"/>
  <c r="I19" i="15"/>
  <c r="G19" i="15"/>
  <c r="E19" i="15"/>
  <c r="C19" i="15"/>
  <c r="L18" i="15"/>
  <c r="J18" i="15"/>
  <c r="I18" i="15"/>
  <c r="G18" i="15"/>
  <c r="R18" i="15" s="1"/>
  <c r="E18" i="15"/>
  <c r="C18" i="15"/>
  <c r="L17" i="15"/>
  <c r="J17" i="15"/>
  <c r="I17" i="15"/>
  <c r="O17" i="15" s="1"/>
  <c r="S17" i="15" s="1"/>
  <c r="G17" i="15"/>
  <c r="E17" i="15"/>
  <c r="C17" i="15"/>
  <c r="R16" i="15"/>
  <c r="O16" i="15"/>
  <c r="S16" i="15" s="1"/>
  <c r="L16" i="15"/>
  <c r="J16" i="15"/>
  <c r="I16" i="15"/>
  <c r="G16" i="15"/>
  <c r="E16" i="15"/>
  <c r="C16" i="15"/>
  <c r="L15" i="15"/>
  <c r="J15" i="15"/>
  <c r="I15" i="15"/>
  <c r="G15" i="15"/>
  <c r="E15" i="15"/>
  <c r="C15" i="15"/>
  <c r="L14" i="15"/>
  <c r="J14" i="15"/>
  <c r="I14" i="15"/>
  <c r="G14" i="15"/>
  <c r="R14" i="15" s="1"/>
  <c r="E14" i="15"/>
  <c r="C14" i="15"/>
  <c r="L13" i="15"/>
  <c r="J13" i="15"/>
  <c r="I13" i="15"/>
  <c r="G13" i="15"/>
  <c r="R13" i="15" s="1"/>
  <c r="E13" i="15"/>
  <c r="C13" i="15"/>
  <c r="L12" i="15"/>
  <c r="J12" i="15"/>
  <c r="I12" i="15"/>
  <c r="O12" i="15" s="1"/>
  <c r="S12" i="15" s="1"/>
  <c r="G12" i="15"/>
  <c r="R12" i="15" s="1"/>
  <c r="E12" i="15"/>
  <c r="C12" i="15"/>
  <c r="L11" i="15"/>
  <c r="J11" i="15"/>
  <c r="I11" i="15"/>
  <c r="G11" i="15"/>
  <c r="E11" i="15"/>
  <c r="C11" i="15"/>
  <c r="L10" i="15"/>
  <c r="J10" i="15"/>
  <c r="I10" i="15"/>
  <c r="G10" i="15"/>
  <c r="E10" i="15"/>
  <c r="C10" i="15"/>
  <c r="O9" i="15"/>
  <c r="S9" i="15" s="1"/>
  <c r="L9" i="15"/>
  <c r="J9" i="15"/>
  <c r="I9" i="15"/>
  <c r="G9" i="15"/>
  <c r="R9" i="15" s="1"/>
  <c r="E9" i="15"/>
  <c r="C9" i="15"/>
  <c r="R8" i="15"/>
  <c r="O8" i="15"/>
  <c r="L8" i="15"/>
  <c r="J8" i="15"/>
  <c r="I8" i="15"/>
  <c r="G8" i="15"/>
  <c r="E8" i="15"/>
  <c r="C8" i="15"/>
  <c r="L7" i="15"/>
  <c r="R7" i="15" s="1"/>
  <c r="J7" i="15"/>
  <c r="O7" i="15" s="1"/>
  <c r="I7" i="15"/>
  <c r="G7" i="15"/>
  <c r="E7" i="15"/>
  <c r="C7" i="15"/>
  <c r="S6" i="15"/>
  <c r="L6" i="15"/>
  <c r="R6" i="15" s="1"/>
  <c r="J6" i="15"/>
  <c r="I6" i="15"/>
  <c r="O6" i="15" s="1"/>
  <c r="G6" i="15"/>
  <c r="E6" i="15"/>
  <c r="C6" i="15"/>
  <c r="L5" i="15"/>
  <c r="J5" i="15"/>
  <c r="I5" i="15"/>
  <c r="G5" i="15"/>
  <c r="R5" i="15" s="1"/>
  <c r="E5" i="15"/>
  <c r="C5" i="15"/>
  <c r="L30" i="14"/>
  <c r="J30" i="14"/>
  <c r="I30" i="14"/>
  <c r="G30" i="14"/>
  <c r="E30" i="14"/>
  <c r="C30" i="14"/>
  <c r="L29" i="14"/>
  <c r="S29" i="14" s="1"/>
  <c r="J29" i="14"/>
  <c r="I29" i="14"/>
  <c r="O29" i="14" s="1"/>
  <c r="T29" i="14" s="1"/>
  <c r="G29" i="14"/>
  <c r="E29" i="14"/>
  <c r="C29" i="14"/>
  <c r="L28" i="14"/>
  <c r="J28" i="14"/>
  <c r="I28" i="14"/>
  <c r="O28" i="14" s="1"/>
  <c r="T28" i="14" s="1"/>
  <c r="G28" i="14"/>
  <c r="E28" i="14"/>
  <c r="C28" i="14"/>
  <c r="L27" i="14"/>
  <c r="J27" i="14"/>
  <c r="I27" i="14"/>
  <c r="O27" i="14" s="1"/>
  <c r="T27" i="14" s="1"/>
  <c r="G27" i="14"/>
  <c r="S27" i="14" s="1"/>
  <c r="E27" i="14"/>
  <c r="C27" i="14"/>
  <c r="S26" i="14"/>
  <c r="O26" i="14"/>
  <c r="T26" i="14" s="1"/>
  <c r="L26" i="14"/>
  <c r="J26" i="14"/>
  <c r="I26" i="14"/>
  <c r="G26" i="14"/>
  <c r="E26" i="14"/>
  <c r="C26" i="14"/>
  <c r="L25" i="14"/>
  <c r="J25" i="14"/>
  <c r="I25" i="14"/>
  <c r="G25" i="14"/>
  <c r="E25" i="14"/>
  <c r="C25" i="14"/>
  <c r="L24" i="14"/>
  <c r="J24" i="14"/>
  <c r="I24" i="14"/>
  <c r="O24" i="14" s="1"/>
  <c r="T24" i="14" s="1"/>
  <c r="G24" i="14"/>
  <c r="S24" i="14" s="1"/>
  <c r="E24" i="14"/>
  <c r="C24" i="14"/>
  <c r="L23" i="14"/>
  <c r="J23" i="14"/>
  <c r="I23" i="14"/>
  <c r="O23" i="14" s="1"/>
  <c r="T23" i="14" s="1"/>
  <c r="G23" i="14"/>
  <c r="E23" i="14"/>
  <c r="C23" i="14"/>
  <c r="L22" i="14"/>
  <c r="J22" i="14"/>
  <c r="I22" i="14"/>
  <c r="G22" i="14"/>
  <c r="S22" i="14" s="1"/>
  <c r="E22" i="14"/>
  <c r="C22" i="14"/>
  <c r="L21" i="14"/>
  <c r="J21" i="14"/>
  <c r="I21" i="14"/>
  <c r="S21" i="14" s="1"/>
  <c r="G21" i="14"/>
  <c r="E21" i="14"/>
  <c r="C21" i="14"/>
  <c r="L20" i="14"/>
  <c r="J20" i="14"/>
  <c r="I20" i="14"/>
  <c r="O20" i="14" s="1"/>
  <c r="T20" i="14" s="1"/>
  <c r="G20" i="14"/>
  <c r="E20" i="14"/>
  <c r="C20" i="14"/>
  <c r="L19" i="14"/>
  <c r="J19" i="14"/>
  <c r="I19" i="14"/>
  <c r="O19" i="14" s="1"/>
  <c r="T19" i="14" s="1"/>
  <c r="G19" i="14"/>
  <c r="E19" i="14"/>
  <c r="C19" i="14"/>
  <c r="S18" i="14"/>
  <c r="O18" i="14"/>
  <c r="T18" i="14" s="1"/>
  <c r="L18" i="14"/>
  <c r="J18" i="14"/>
  <c r="I18" i="14"/>
  <c r="G18" i="14"/>
  <c r="E18" i="14"/>
  <c r="C18" i="14"/>
  <c r="S17" i="14"/>
  <c r="L17" i="14"/>
  <c r="J17" i="14"/>
  <c r="O17" i="14" s="1"/>
  <c r="T17" i="14" s="1"/>
  <c r="I17" i="14"/>
  <c r="G17" i="14"/>
  <c r="E17" i="14"/>
  <c r="C17" i="14"/>
  <c r="L16" i="14"/>
  <c r="J16" i="14"/>
  <c r="I16" i="14"/>
  <c r="O16" i="14" s="1"/>
  <c r="T16" i="14" s="1"/>
  <c r="G16" i="14"/>
  <c r="E16" i="14"/>
  <c r="C16" i="14"/>
  <c r="L15" i="14"/>
  <c r="J15" i="14"/>
  <c r="I15" i="14"/>
  <c r="O15" i="14" s="1"/>
  <c r="G15" i="14"/>
  <c r="E15" i="14"/>
  <c r="C15" i="14"/>
  <c r="T14" i="14"/>
  <c r="S14" i="14"/>
  <c r="O14" i="14"/>
  <c r="L14" i="14"/>
  <c r="J14" i="14"/>
  <c r="I14" i="14"/>
  <c r="G14" i="14"/>
  <c r="E14" i="14"/>
  <c r="C14" i="14"/>
  <c r="O13" i="14"/>
  <c r="T13" i="14" s="1"/>
  <c r="L13" i="14"/>
  <c r="J13" i="14"/>
  <c r="I13" i="14"/>
  <c r="S13" i="14" s="1"/>
  <c r="G13" i="14"/>
  <c r="E13" i="14"/>
  <c r="C13" i="14"/>
  <c r="L12" i="14"/>
  <c r="J12" i="14"/>
  <c r="I12" i="14"/>
  <c r="G12" i="14"/>
  <c r="S12" i="14" s="1"/>
  <c r="E12" i="14"/>
  <c r="C12" i="14"/>
  <c r="L11" i="14"/>
  <c r="J11" i="14"/>
  <c r="I11" i="14"/>
  <c r="O11" i="14" s="1"/>
  <c r="G11" i="14"/>
  <c r="E11" i="14"/>
  <c r="C11" i="14"/>
  <c r="S10" i="14"/>
  <c r="O10" i="14"/>
  <c r="T10" i="14" s="1"/>
  <c r="L10" i="14"/>
  <c r="J10" i="14"/>
  <c r="I10" i="14"/>
  <c r="G10" i="14"/>
  <c r="E10" i="14"/>
  <c r="C10" i="14"/>
  <c r="L9" i="14"/>
  <c r="J9" i="14"/>
  <c r="I9" i="14"/>
  <c r="G9" i="14"/>
  <c r="E9" i="14"/>
  <c r="C9" i="14"/>
  <c r="S8" i="14"/>
  <c r="T8" i="14" s="1"/>
  <c r="O8" i="14"/>
  <c r="L8" i="14"/>
  <c r="J8" i="14"/>
  <c r="I8" i="14"/>
  <c r="G8" i="14"/>
  <c r="E8" i="14"/>
  <c r="C8" i="14"/>
  <c r="L7" i="14"/>
  <c r="J7" i="14"/>
  <c r="I7" i="14"/>
  <c r="O7" i="14" s="1"/>
  <c r="G7" i="14"/>
  <c r="E7" i="14"/>
  <c r="C7" i="14"/>
  <c r="L6" i="14"/>
  <c r="J6" i="14"/>
  <c r="I6" i="14"/>
  <c r="G6" i="14"/>
  <c r="S6" i="14" s="1"/>
  <c r="E6" i="14"/>
  <c r="C6" i="14"/>
  <c r="S5" i="14"/>
  <c r="O5" i="14"/>
  <c r="T5" i="14" s="1"/>
  <c r="L5" i="14"/>
  <c r="J5" i="14"/>
  <c r="I5" i="14"/>
  <c r="G5" i="14"/>
  <c r="E5" i="14"/>
  <c r="C5" i="14"/>
  <c r="O30" i="13"/>
  <c r="T30" i="13" s="1"/>
  <c r="L30" i="13"/>
  <c r="J30" i="13"/>
  <c r="I30" i="13"/>
  <c r="G30" i="13"/>
  <c r="E30" i="13"/>
  <c r="C30" i="13"/>
  <c r="L29" i="13"/>
  <c r="J29" i="13"/>
  <c r="I29" i="13"/>
  <c r="G29" i="13"/>
  <c r="S29" i="13" s="1"/>
  <c r="E29" i="13"/>
  <c r="C29" i="13"/>
  <c r="S28" i="13"/>
  <c r="O28" i="13"/>
  <c r="T28" i="13" s="1"/>
  <c r="L28" i="13"/>
  <c r="J28" i="13"/>
  <c r="I28" i="13"/>
  <c r="G28" i="13"/>
  <c r="E28" i="13"/>
  <c r="C28" i="13"/>
  <c r="S27" i="13"/>
  <c r="O27" i="13"/>
  <c r="T27" i="13" s="1"/>
  <c r="L27" i="13"/>
  <c r="J27" i="13"/>
  <c r="I27" i="13"/>
  <c r="G27" i="13"/>
  <c r="E27" i="13"/>
  <c r="C27" i="13"/>
  <c r="L26" i="13"/>
  <c r="J26" i="13"/>
  <c r="I26" i="13"/>
  <c r="G26" i="13"/>
  <c r="S26" i="13" s="1"/>
  <c r="E26" i="13"/>
  <c r="C26" i="13"/>
  <c r="L25" i="13"/>
  <c r="J25" i="13"/>
  <c r="I25" i="13"/>
  <c r="G25" i="13"/>
  <c r="S25" i="13" s="1"/>
  <c r="E25" i="13"/>
  <c r="C25" i="13"/>
  <c r="T24" i="13"/>
  <c r="S24" i="13"/>
  <c r="O24" i="13"/>
  <c r="L24" i="13"/>
  <c r="J24" i="13"/>
  <c r="I24" i="13"/>
  <c r="G24" i="13"/>
  <c r="E24" i="13"/>
  <c r="C24" i="13"/>
  <c r="L23" i="13"/>
  <c r="J23" i="13"/>
  <c r="I23" i="13"/>
  <c r="G23" i="13"/>
  <c r="E23" i="13"/>
  <c r="C23" i="13"/>
  <c r="O22" i="13"/>
  <c r="T22" i="13" s="1"/>
  <c r="L22" i="13"/>
  <c r="J22" i="13"/>
  <c r="I22" i="13"/>
  <c r="G22" i="13"/>
  <c r="S22" i="13" s="1"/>
  <c r="E22" i="13"/>
  <c r="C22" i="13"/>
  <c r="O21" i="13"/>
  <c r="T21" i="13" s="1"/>
  <c r="L21" i="13"/>
  <c r="J21" i="13"/>
  <c r="I21" i="13"/>
  <c r="G21" i="13"/>
  <c r="E21" i="13"/>
  <c r="C21" i="13"/>
  <c r="S20" i="13"/>
  <c r="O20" i="13"/>
  <c r="T20" i="13" s="1"/>
  <c r="L20" i="13"/>
  <c r="J20" i="13"/>
  <c r="I20" i="13"/>
  <c r="G20" i="13"/>
  <c r="E20" i="13"/>
  <c r="C20" i="13"/>
  <c r="S19" i="13"/>
  <c r="L19" i="13"/>
  <c r="J19" i="13"/>
  <c r="I19" i="13"/>
  <c r="O19" i="13" s="1"/>
  <c r="T19" i="13" s="1"/>
  <c r="G19" i="13"/>
  <c r="E19" i="13"/>
  <c r="C19" i="13"/>
  <c r="T18" i="13"/>
  <c r="S18" i="13"/>
  <c r="L18" i="13"/>
  <c r="J18" i="13"/>
  <c r="I18" i="13"/>
  <c r="O18" i="13" s="1"/>
  <c r="G18" i="13"/>
  <c r="E18" i="13"/>
  <c r="C18" i="13"/>
  <c r="L17" i="13"/>
  <c r="J17" i="13"/>
  <c r="I17" i="13"/>
  <c r="G17" i="13"/>
  <c r="S17" i="13" s="1"/>
  <c r="E17" i="13"/>
  <c r="C17" i="13"/>
  <c r="S16" i="13"/>
  <c r="L16" i="13"/>
  <c r="J16" i="13"/>
  <c r="I16" i="13"/>
  <c r="O16" i="13" s="1"/>
  <c r="T16" i="13" s="1"/>
  <c r="G16" i="13"/>
  <c r="E16" i="13"/>
  <c r="C16" i="13"/>
  <c r="S15" i="13"/>
  <c r="O15" i="13"/>
  <c r="T15" i="13" s="1"/>
  <c r="L15" i="13"/>
  <c r="J15" i="13"/>
  <c r="I15" i="13"/>
  <c r="G15" i="13"/>
  <c r="E15" i="13"/>
  <c r="C15" i="13"/>
  <c r="L14" i="13"/>
  <c r="J14" i="13"/>
  <c r="I14" i="13"/>
  <c r="G14" i="13"/>
  <c r="S14" i="13" s="1"/>
  <c r="E14" i="13"/>
  <c r="C14" i="13"/>
  <c r="O13" i="13"/>
  <c r="T13" i="13" s="1"/>
  <c r="L13" i="13"/>
  <c r="J13" i="13"/>
  <c r="I13" i="13"/>
  <c r="G13" i="13"/>
  <c r="S13" i="13" s="1"/>
  <c r="E13" i="13"/>
  <c r="C13" i="13"/>
  <c r="S12" i="13"/>
  <c r="O12" i="13"/>
  <c r="T12" i="13" s="1"/>
  <c r="L12" i="13"/>
  <c r="J12" i="13"/>
  <c r="I12" i="13"/>
  <c r="G12" i="13"/>
  <c r="E12" i="13"/>
  <c r="C12" i="13"/>
  <c r="L11" i="13"/>
  <c r="J11" i="13"/>
  <c r="I11" i="13"/>
  <c r="G11" i="13"/>
  <c r="E11" i="13"/>
  <c r="C11" i="13"/>
  <c r="L10" i="13"/>
  <c r="J10" i="13"/>
  <c r="I10" i="13"/>
  <c r="G10" i="13"/>
  <c r="S10" i="13" s="1"/>
  <c r="E10" i="13"/>
  <c r="C10" i="13"/>
  <c r="L9" i="13"/>
  <c r="J9" i="13"/>
  <c r="I9" i="13"/>
  <c r="G9" i="13"/>
  <c r="S9" i="13" s="1"/>
  <c r="E9" i="13"/>
  <c r="C9" i="13"/>
  <c r="L8" i="13"/>
  <c r="J8" i="13"/>
  <c r="I8" i="13"/>
  <c r="O8" i="13" s="1"/>
  <c r="G8" i="13"/>
  <c r="S8" i="13" s="1"/>
  <c r="E8" i="13"/>
  <c r="C8" i="13"/>
  <c r="L7" i="13"/>
  <c r="J7" i="13"/>
  <c r="I7" i="13"/>
  <c r="G7" i="13"/>
  <c r="E7" i="13"/>
  <c r="C7" i="13"/>
  <c r="L6" i="13"/>
  <c r="J6" i="13"/>
  <c r="I6" i="13"/>
  <c r="O6" i="13" s="1"/>
  <c r="T6" i="13" s="1"/>
  <c r="G6" i="13"/>
  <c r="S6" i="13" s="1"/>
  <c r="E6" i="13"/>
  <c r="C6" i="13"/>
  <c r="L5" i="13"/>
  <c r="J5" i="13"/>
  <c r="I5" i="13"/>
  <c r="O5" i="13" s="1"/>
  <c r="G5" i="13"/>
  <c r="E5" i="13"/>
  <c r="C5" i="13"/>
  <c r="T30" i="12"/>
  <c r="S30" i="12"/>
  <c r="O30" i="12"/>
  <c r="L30" i="12"/>
  <c r="J30" i="12"/>
  <c r="I30" i="12"/>
  <c r="G30" i="12"/>
  <c r="E30" i="12"/>
  <c r="C30" i="12"/>
  <c r="L29" i="12"/>
  <c r="J29" i="12"/>
  <c r="I29" i="12"/>
  <c r="O29" i="12" s="1"/>
  <c r="T29" i="12" s="1"/>
  <c r="G29" i="12"/>
  <c r="E29" i="12"/>
  <c r="C29" i="12"/>
  <c r="L28" i="12"/>
  <c r="J28" i="12"/>
  <c r="I28" i="12"/>
  <c r="O28" i="12" s="1"/>
  <c r="T28" i="12" s="1"/>
  <c r="G28" i="12"/>
  <c r="S28" i="12" s="1"/>
  <c r="E28" i="12"/>
  <c r="C28" i="12"/>
  <c r="L27" i="12"/>
  <c r="J27" i="12"/>
  <c r="I27" i="12"/>
  <c r="G27" i="12"/>
  <c r="S27" i="12" s="1"/>
  <c r="E27" i="12"/>
  <c r="C27" i="12"/>
  <c r="L26" i="12"/>
  <c r="J26" i="12"/>
  <c r="I26" i="12"/>
  <c r="O26" i="12" s="1"/>
  <c r="T26" i="12" s="1"/>
  <c r="G26" i="12"/>
  <c r="S26" i="12" s="1"/>
  <c r="E26" i="12"/>
  <c r="C26" i="12"/>
  <c r="L25" i="12"/>
  <c r="J25" i="12"/>
  <c r="I25" i="12"/>
  <c r="S25" i="12" s="1"/>
  <c r="G25" i="12"/>
  <c r="E25" i="12"/>
  <c r="C25" i="12"/>
  <c r="L24" i="12"/>
  <c r="J24" i="12"/>
  <c r="I24" i="12"/>
  <c r="G24" i="12"/>
  <c r="S24" i="12" s="1"/>
  <c r="E24" i="12"/>
  <c r="C24" i="12"/>
  <c r="O23" i="12"/>
  <c r="T23" i="12" s="1"/>
  <c r="L23" i="12"/>
  <c r="J23" i="12"/>
  <c r="I23" i="12"/>
  <c r="G23" i="12"/>
  <c r="S23" i="12" s="1"/>
  <c r="E23" i="12"/>
  <c r="C23" i="12"/>
  <c r="T22" i="12"/>
  <c r="S22" i="12"/>
  <c r="O22" i="12"/>
  <c r="L22" i="12"/>
  <c r="J22" i="12"/>
  <c r="I22" i="12"/>
  <c r="G22" i="12"/>
  <c r="E22" i="12"/>
  <c r="C22" i="12"/>
  <c r="L21" i="12"/>
  <c r="J21" i="12"/>
  <c r="I21" i="12"/>
  <c r="G21" i="12"/>
  <c r="E21" i="12"/>
  <c r="C21" i="12"/>
  <c r="S20" i="12"/>
  <c r="O20" i="12"/>
  <c r="T20" i="12" s="1"/>
  <c r="L20" i="12"/>
  <c r="J20" i="12"/>
  <c r="I20" i="12"/>
  <c r="G20" i="12"/>
  <c r="E20" i="12"/>
  <c r="C20" i="12"/>
  <c r="L19" i="12"/>
  <c r="J19" i="12"/>
  <c r="I19" i="12"/>
  <c r="G19" i="12"/>
  <c r="S19" i="12" s="1"/>
  <c r="E19" i="12"/>
  <c r="C19" i="12"/>
  <c r="L18" i="12"/>
  <c r="J18" i="12"/>
  <c r="I18" i="12"/>
  <c r="G18" i="12"/>
  <c r="S18" i="12" s="1"/>
  <c r="E18" i="12"/>
  <c r="C18" i="12"/>
  <c r="L17" i="12"/>
  <c r="J17" i="12"/>
  <c r="I17" i="12"/>
  <c r="S17" i="12" s="1"/>
  <c r="G17" i="12"/>
  <c r="E17" i="12"/>
  <c r="C17" i="12"/>
  <c r="L16" i="12"/>
  <c r="J16" i="12"/>
  <c r="I16" i="12"/>
  <c r="O16" i="12" s="1"/>
  <c r="T16" i="12" s="1"/>
  <c r="G16" i="12"/>
  <c r="E16" i="12"/>
  <c r="C16" i="12"/>
  <c r="L15" i="12"/>
  <c r="J15" i="12"/>
  <c r="I15" i="12"/>
  <c r="G15" i="12"/>
  <c r="S15" i="12" s="1"/>
  <c r="E15" i="12"/>
  <c r="C15" i="12"/>
  <c r="S14" i="12"/>
  <c r="O14" i="12"/>
  <c r="T14" i="12" s="1"/>
  <c r="L14" i="12"/>
  <c r="J14" i="12"/>
  <c r="I14" i="12"/>
  <c r="G14" i="12"/>
  <c r="E14" i="12"/>
  <c r="C14" i="12"/>
  <c r="L13" i="12"/>
  <c r="J13" i="12"/>
  <c r="I13" i="12"/>
  <c r="G13" i="12"/>
  <c r="E13" i="12"/>
  <c r="C13" i="12"/>
  <c r="L12" i="12"/>
  <c r="J12" i="12"/>
  <c r="I12" i="12"/>
  <c r="O12" i="12" s="1"/>
  <c r="G12" i="12"/>
  <c r="S12" i="12" s="1"/>
  <c r="E12" i="12"/>
  <c r="C12" i="12"/>
  <c r="L11" i="12"/>
  <c r="J11" i="12"/>
  <c r="I11" i="12"/>
  <c r="G11" i="12"/>
  <c r="S11" i="12" s="1"/>
  <c r="E11" i="12"/>
  <c r="C11" i="12"/>
  <c r="S10" i="12"/>
  <c r="O10" i="12"/>
  <c r="T10" i="12" s="1"/>
  <c r="L10" i="12"/>
  <c r="J10" i="12"/>
  <c r="I10" i="12"/>
  <c r="G10" i="12"/>
  <c r="E10" i="12"/>
  <c r="C10" i="12"/>
  <c r="L9" i="12"/>
  <c r="J9" i="12"/>
  <c r="I9" i="12"/>
  <c r="S9" i="12" s="1"/>
  <c r="G9" i="12"/>
  <c r="E9" i="12"/>
  <c r="C9" i="12"/>
  <c r="L8" i="12"/>
  <c r="J8" i="12"/>
  <c r="I8" i="12"/>
  <c r="G8" i="12"/>
  <c r="S8" i="12" s="1"/>
  <c r="E8" i="12"/>
  <c r="C8" i="12"/>
  <c r="L7" i="12"/>
  <c r="J7" i="12"/>
  <c r="O7" i="12" s="1"/>
  <c r="I7" i="12"/>
  <c r="G7" i="12"/>
  <c r="E7" i="12"/>
  <c r="C7" i="12"/>
  <c r="S6" i="12"/>
  <c r="O6" i="12"/>
  <c r="L6" i="12"/>
  <c r="J6" i="12"/>
  <c r="I6" i="12"/>
  <c r="G6" i="12"/>
  <c r="E6" i="12"/>
  <c r="C6" i="12"/>
  <c r="T6" i="12" s="1"/>
  <c r="L5" i="12"/>
  <c r="J5" i="12"/>
  <c r="I5" i="12"/>
  <c r="G5" i="12"/>
  <c r="E5" i="12"/>
  <c r="C5" i="12"/>
  <c r="AB30" i="11"/>
  <c r="AA30" i="11"/>
  <c r="Z30" i="11"/>
  <c r="Y30" i="11"/>
  <c r="N30" i="11"/>
  <c r="L30" i="11"/>
  <c r="W30" i="11" s="1"/>
  <c r="I30" i="11"/>
  <c r="G30" i="11"/>
  <c r="J30" i="11" s="1"/>
  <c r="Q30" i="11" s="1"/>
  <c r="X30" i="11" s="1"/>
  <c r="E30" i="11"/>
  <c r="C30" i="11"/>
  <c r="N29" i="11"/>
  <c r="I29" i="11"/>
  <c r="G29" i="11"/>
  <c r="E29" i="11"/>
  <c r="C29" i="11"/>
  <c r="N28" i="11"/>
  <c r="G28" i="11"/>
  <c r="E28" i="11"/>
  <c r="C28" i="11"/>
  <c r="AB27" i="11"/>
  <c r="AA27" i="11"/>
  <c r="Z27" i="11"/>
  <c r="W27" i="11"/>
  <c r="N27" i="11"/>
  <c r="L27" i="11"/>
  <c r="J27" i="11"/>
  <c r="I27" i="11"/>
  <c r="Q27" i="11" s="1"/>
  <c r="X27" i="11" s="1"/>
  <c r="G27" i="11"/>
  <c r="Y27" i="11" s="1"/>
  <c r="E27" i="11"/>
  <c r="C27" i="11"/>
  <c r="N26" i="11"/>
  <c r="L26" i="11"/>
  <c r="G26" i="11"/>
  <c r="E26" i="11"/>
  <c r="C26" i="11"/>
  <c r="Z25" i="11"/>
  <c r="Y25" i="11"/>
  <c r="N25" i="11"/>
  <c r="L25" i="11"/>
  <c r="J25" i="11"/>
  <c r="Q25" i="11" s="1"/>
  <c r="X25" i="11" s="1"/>
  <c r="I25" i="11"/>
  <c r="G25" i="11"/>
  <c r="E25" i="11"/>
  <c r="C25" i="11"/>
  <c r="Z24" i="11"/>
  <c r="Y24" i="11"/>
  <c r="N24" i="11"/>
  <c r="G24" i="11"/>
  <c r="E24" i="11"/>
  <c r="C24" i="11"/>
  <c r="AB23" i="11"/>
  <c r="AA23" i="11"/>
  <c r="Z23" i="11"/>
  <c r="Y23" i="11"/>
  <c r="X23" i="11"/>
  <c r="W23" i="11"/>
  <c r="Q23" i="11"/>
  <c r="N23" i="11"/>
  <c r="L23" i="11"/>
  <c r="J23" i="11"/>
  <c r="I23" i="11"/>
  <c r="G23" i="11"/>
  <c r="E23" i="11"/>
  <c r="C23" i="11"/>
  <c r="Z22" i="11"/>
  <c r="Y22" i="11"/>
  <c r="N22" i="11"/>
  <c r="G22" i="11"/>
  <c r="J22" i="11" s="1"/>
  <c r="E22" i="11"/>
  <c r="C22" i="11"/>
  <c r="AB21" i="11"/>
  <c r="AA21" i="11"/>
  <c r="Z21" i="11"/>
  <c r="N21" i="11"/>
  <c r="L21" i="11"/>
  <c r="J21" i="11"/>
  <c r="I21" i="11"/>
  <c r="G21" i="11"/>
  <c r="E21" i="11"/>
  <c r="C21" i="11"/>
  <c r="AB20" i="11"/>
  <c r="Y20" i="11"/>
  <c r="N20" i="11"/>
  <c r="L20" i="11"/>
  <c r="AA20" i="11" s="1"/>
  <c r="J20" i="11"/>
  <c r="G20" i="11"/>
  <c r="Z20" i="11" s="1"/>
  <c r="E20" i="11"/>
  <c r="C20" i="11"/>
  <c r="Z19" i="11"/>
  <c r="Y19" i="11"/>
  <c r="N19" i="11"/>
  <c r="L19" i="11"/>
  <c r="J19" i="11"/>
  <c r="I19" i="11"/>
  <c r="W19" i="11" s="1"/>
  <c r="G19" i="11"/>
  <c r="E19" i="11"/>
  <c r="C19" i="11"/>
  <c r="AB18" i="11"/>
  <c r="AA18" i="11"/>
  <c r="Z18" i="11"/>
  <c r="Y18" i="11"/>
  <c r="W18" i="11"/>
  <c r="Q18" i="11"/>
  <c r="X18" i="11" s="1"/>
  <c r="N18" i="11"/>
  <c r="L18" i="11"/>
  <c r="I18" i="11"/>
  <c r="G18" i="11"/>
  <c r="J18" i="11" s="1"/>
  <c r="E18" i="11"/>
  <c r="C18" i="11"/>
  <c r="N17" i="11"/>
  <c r="G17" i="11"/>
  <c r="E17" i="11"/>
  <c r="C17" i="11"/>
  <c r="Z16" i="11"/>
  <c r="Y16" i="11"/>
  <c r="N16" i="11"/>
  <c r="G16" i="11"/>
  <c r="E16" i="11"/>
  <c r="C16" i="11"/>
  <c r="N15" i="11"/>
  <c r="G15" i="11"/>
  <c r="E15" i="11"/>
  <c r="C15" i="11"/>
  <c r="N14" i="11"/>
  <c r="L14" i="11"/>
  <c r="J14" i="11"/>
  <c r="Q14" i="11" s="1"/>
  <c r="I14" i="11"/>
  <c r="G14" i="11"/>
  <c r="E14" i="11"/>
  <c r="C14" i="11"/>
  <c r="N13" i="11"/>
  <c r="L13" i="11"/>
  <c r="J13" i="11"/>
  <c r="I13" i="11"/>
  <c r="G13" i="11"/>
  <c r="E13" i="11"/>
  <c r="C13" i="11"/>
  <c r="N12" i="11"/>
  <c r="G12" i="11"/>
  <c r="E12" i="11"/>
  <c r="C12" i="11"/>
  <c r="AB11" i="11"/>
  <c r="AA11" i="11"/>
  <c r="W11" i="11"/>
  <c r="Q11" i="11"/>
  <c r="N11" i="11"/>
  <c r="L11" i="11"/>
  <c r="J11" i="11"/>
  <c r="I11" i="11"/>
  <c r="G11" i="11"/>
  <c r="E11" i="11"/>
  <c r="C11" i="11"/>
  <c r="N10" i="11"/>
  <c r="L10" i="11"/>
  <c r="J10" i="11"/>
  <c r="I10" i="11"/>
  <c r="Q10" i="11" s="1"/>
  <c r="G10" i="11"/>
  <c r="E10" i="11"/>
  <c r="C10" i="11"/>
  <c r="N9" i="11"/>
  <c r="L9" i="11"/>
  <c r="G9" i="11"/>
  <c r="E9" i="11"/>
  <c r="C9" i="11"/>
  <c r="N8" i="11"/>
  <c r="G8" i="11"/>
  <c r="J8" i="11" s="1"/>
  <c r="E8" i="11"/>
  <c r="C8" i="11"/>
  <c r="N7" i="11"/>
  <c r="L7" i="11"/>
  <c r="J7" i="11"/>
  <c r="I7" i="11"/>
  <c r="G7" i="11"/>
  <c r="E7" i="11"/>
  <c r="C7" i="11"/>
  <c r="N6" i="11"/>
  <c r="L6" i="11"/>
  <c r="I6" i="11"/>
  <c r="G6" i="11"/>
  <c r="J6" i="11" s="1"/>
  <c r="Q6" i="11" s="1"/>
  <c r="E6" i="11"/>
  <c r="C6" i="11"/>
  <c r="N5" i="11"/>
  <c r="G5" i="11"/>
  <c r="E5" i="11"/>
  <c r="C5" i="11"/>
  <c r="T30" i="10"/>
  <c r="R30" i="10"/>
  <c r="U30" i="10" s="1"/>
  <c r="O30" i="10"/>
  <c r="L30" i="10"/>
  <c r="J30" i="10"/>
  <c r="I30" i="10"/>
  <c r="G30" i="10"/>
  <c r="E30" i="10"/>
  <c r="C30" i="10"/>
  <c r="T29" i="10"/>
  <c r="R29" i="10"/>
  <c r="L29" i="10"/>
  <c r="J29" i="10"/>
  <c r="I29" i="10"/>
  <c r="O29" i="10" s="1"/>
  <c r="U29" i="10" s="1"/>
  <c r="G29" i="10"/>
  <c r="E29" i="10"/>
  <c r="C29" i="10"/>
  <c r="R28" i="10"/>
  <c r="L28" i="10"/>
  <c r="J28" i="10"/>
  <c r="I28" i="10"/>
  <c r="G28" i="10"/>
  <c r="T28" i="10" s="1"/>
  <c r="E28" i="10"/>
  <c r="C28" i="10"/>
  <c r="R27" i="10"/>
  <c r="L27" i="10"/>
  <c r="J27" i="10"/>
  <c r="I27" i="10"/>
  <c r="G27" i="10"/>
  <c r="T27" i="10" s="1"/>
  <c r="E27" i="10"/>
  <c r="C27" i="10"/>
  <c r="R26" i="10"/>
  <c r="L26" i="10"/>
  <c r="J26" i="10"/>
  <c r="I26" i="10"/>
  <c r="G26" i="10"/>
  <c r="T26" i="10" s="1"/>
  <c r="E26" i="10"/>
  <c r="C26" i="10"/>
  <c r="U25" i="10"/>
  <c r="T25" i="10"/>
  <c r="R25" i="10"/>
  <c r="L25" i="10"/>
  <c r="J25" i="10"/>
  <c r="I25" i="10"/>
  <c r="O25" i="10" s="1"/>
  <c r="G25" i="10"/>
  <c r="E25" i="10"/>
  <c r="C25" i="10"/>
  <c r="T24" i="10"/>
  <c r="R24" i="10"/>
  <c r="O24" i="10"/>
  <c r="U24" i="10" s="1"/>
  <c r="L24" i="10"/>
  <c r="J24" i="10"/>
  <c r="I24" i="10"/>
  <c r="G24" i="10"/>
  <c r="E24" i="10"/>
  <c r="C24" i="10"/>
  <c r="R23" i="10"/>
  <c r="L23" i="10"/>
  <c r="J23" i="10"/>
  <c r="I23" i="10"/>
  <c r="T23" i="10" s="1"/>
  <c r="G23" i="10"/>
  <c r="E23" i="10"/>
  <c r="C23" i="10"/>
  <c r="R22" i="10"/>
  <c r="O22" i="10"/>
  <c r="L22" i="10"/>
  <c r="J22" i="10"/>
  <c r="I22" i="10"/>
  <c r="G22" i="10"/>
  <c r="E22" i="10"/>
  <c r="C22" i="10"/>
  <c r="R21" i="10"/>
  <c r="L21" i="10"/>
  <c r="J21" i="10"/>
  <c r="I21" i="10"/>
  <c r="G21" i="10"/>
  <c r="T21" i="10" s="1"/>
  <c r="E21" i="10"/>
  <c r="C21" i="10"/>
  <c r="R20" i="10"/>
  <c r="L20" i="10"/>
  <c r="J20" i="10"/>
  <c r="I20" i="10"/>
  <c r="G20" i="10"/>
  <c r="T20" i="10" s="1"/>
  <c r="E20" i="10"/>
  <c r="C20" i="10"/>
  <c r="T19" i="10"/>
  <c r="R19" i="10"/>
  <c r="L19" i="10"/>
  <c r="J19" i="10"/>
  <c r="I19" i="10"/>
  <c r="G19" i="10"/>
  <c r="E19" i="10"/>
  <c r="C19" i="10"/>
  <c r="R18" i="10"/>
  <c r="O18" i="10"/>
  <c r="U18" i="10" s="1"/>
  <c r="L18" i="10"/>
  <c r="T18" i="10" s="1"/>
  <c r="J18" i="10"/>
  <c r="I18" i="10"/>
  <c r="G18" i="10"/>
  <c r="E18" i="10"/>
  <c r="C18" i="10"/>
  <c r="R17" i="10"/>
  <c r="O17" i="10"/>
  <c r="U17" i="10" s="1"/>
  <c r="L17" i="10"/>
  <c r="T17" i="10" s="1"/>
  <c r="J17" i="10"/>
  <c r="I17" i="10"/>
  <c r="G17" i="10"/>
  <c r="E17" i="10"/>
  <c r="C17" i="10"/>
  <c r="U16" i="10"/>
  <c r="T16" i="10"/>
  <c r="R16" i="10"/>
  <c r="L16" i="10"/>
  <c r="J16" i="10"/>
  <c r="I16" i="10"/>
  <c r="O16" i="10" s="1"/>
  <c r="G16" i="10"/>
  <c r="E16" i="10"/>
  <c r="C16" i="10"/>
  <c r="R15" i="10"/>
  <c r="L15" i="10"/>
  <c r="J15" i="10"/>
  <c r="I15" i="10"/>
  <c r="G15" i="10"/>
  <c r="T15" i="10" s="1"/>
  <c r="E15" i="10"/>
  <c r="C15" i="10"/>
  <c r="R14" i="10"/>
  <c r="O14" i="10"/>
  <c r="U14" i="10" s="1"/>
  <c r="L14" i="10"/>
  <c r="J14" i="10"/>
  <c r="I14" i="10"/>
  <c r="G14" i="10"/>
  <c r="T14" i="10" s="1"/>
  <c r="E14" i="10"/>
  <c r="C14" i="10"/>
  <c r="T13" i="10"/>
  <c r="R13" i="10"/>
  <c r="L13" i="10"/>
  <c r="J13" i="10"/>
  <c r="I13" i="10"/>
  <c r="O13" i="10" s="1"/>
  <c r="G13" i="10"/>
  <c r="E13" i="10"/>
  <c r="C13" i="10"/>
  <c r="U13" i="10" s="1"/>
  <c r="R12" i="10"/>
  <c r="L12" i="10"/>
  <c r="J12" i="10"/>
  <c r="I12" i="10"/>
  <c r="G12" i="10"/>
  <c r="T12" i="10" s="1"/>
  <c r="E12" i="10"/>
  <c r="C12" i="10"/>
  <c r="T11" i="10"/>
  <c r="R11" i="10"/>
  <c r="O11" i="10"/>
  <c r="U11" i="10" s="1"/>
  <c r="L11" i="10"/>
  <c r="J11" i="10"/>
  <c r="I11" i="10"/>
  <c r="G11" i="10"/>
  <c r="E11" i="10"/>
  <c r="C11" i="10"/>
  <c r="R10" i="10"/>
  <c r="L10" i="10"/>
  <c r="J10" i="10"/>
  <c r="I10" i="10"/>
  <c r="G10" i="10"/>
  <c r="T10" i="10" s="1"/>
  <c r="E10" i="10"/>
  <c r="C10" i="10"/>
  <c r="R9" i="10"/>
  <c r="L9" i="10"/>
  <c r="J9" i="10"/>
  <c r="I9" i="10"/>
  <c r="G9" i="10"/>
  <c r="O9" i="10" s="1"/>
  <c r="E9" i="10"/>
  <c r="C9" i="10"/>
  <c r="R8" i="10"/>
  <c r="L8" i="10"/>
  <c r="J8" i="10"/>
  <c r="I8" i="10"/>
  <c r="G8" i="10"/>
  <c r="T8" i="10" s="1"/>
  <c r="E8" i="10"/>
  <c r="C8" i="10"/>
  <c r="R7" i="10"/>
  <c r="L7" i="10"/>
  <c r="J7" i="10"/>
  <c r="I7" i="10"/>
  <c r="G7" i="10"/>
  <c r="T7" i="10" s="1"/>
  <c r="E7" i="10"/>
  <c r="C7" i="10"/>
  <c r="R6" i="10"/>
  <c r="U6" i="10" s="1"/>
  <c r="O6" i="10"/>
  <c r="L6" i="10"/>
  <c r="T6" i="10" s="1"/>
  <c r="J6" i="10"/>
  <c r="I6" i="10"/>
  <c r="G6" i="10"/>
  <c r="E6" i="10"/>
  <c r="C6" i="10"/>
  <c r="R5" i="10"/>
  <c r="L5" i="10"/>
  <c r="J5" i="10"/>
  <c r="I5" i="10"/>
  <c r="G5" i="10"/>
  <c r="E5" i="10"/>
  <c r="C5" i="10"/>
  <c r="L30" i="9"/>
  <c r="G30" i="9"/>
  <c r="S30" i="9" s="1"/>
  <c r="E30" i="9"/>
  <c r="C30" i="9"/>
  <c r="L29" i="9"/>
  <c r="J29" i="9"/>
  <c r="I29" i="9"/>
  <c r="O29" i="9" s="1"/>
  <c r="R29" i="9" s="1"/>
  <c r="G29" i="9"/>
  <c r="E29" i="9"/>
  <c r="C29" i="9"/>
  <c r="L28" i="9"/>
  <c r="G28" i="9"/>
  <c r="E28" i="9"/>
  <c r="C28" i="9"/>
  <c r="S27" i="9"/>
  <c r="Q27" i="9"/>
  <c r="L27" i="9"/>
  <c r="J27" i="9"/>
  <c r="I27" i="9"/>
  <c r="O27" i="9" s="1"/>
  <c r="R27" i="9" s="1"/>
  <c r="G27" i="9"/>
  <c r="E27" i="9"/>
  <c r="C27" i="9"/>
  <c r="S26" i="9"/>
  <c r="L26" i="9"/>
  <c r="G26" i="9"/>
  <c r="E26" i="9"/>
  <c r="C26" i="9"/>
  <c r="S25" i="9"/>
  <c r="L25" i="9"/>
  <c r="J25" i="9"/>
  <c r="O25" i="9" s="1"/>
  <c r="R25" i="9" s="1"/>
  <c r="I25" i="9"/>
  <c r="Q25" i="9" s="1"/>
  <c r="G25" i="9"/>
  <c r="E25" i="9"/>
  <c r="C25" i="9"/>
  <c r="L24" i="9"/>
  <c r="G24" i="9"/>
  <c r="E24" i="9"/>
  <c r="C24" i="9"/>
  <c r="L23" i="9"/>
  <c r="G23" i="9"/>
  <c r="S23" i="9" s="1"/>
  <c r="E23" i="9"/>
  <c r="C23" i="9"/>
  <c r="L22" i="9"/>
  <c r="G22" i="9"/>
  <c r="E22" i="9"/>
  <c r="C22" i="9"/>
  <c r="L21" i="9"/>
  <c r="I21" i="9"/>
  <c r="G21" i="9"/>
  <c r="S21" i="9" s="1"/>
  <c r="E21" i="9"/>
  <c r="C21" i="9"/>
  <c r="S20" i="9"/>
  <c r="Q20" i="9"/>
  <c r="L20" i="9"/>
  <c r="I20" i="9"/>
  <c r="G20" i="9"/>
  <c r="J20" i="9" s="1"/>
  <c r="O20" i="9" s="1"/>
  <c r="R20" i="9" s="1"/>
  <c r="E20" i="9"/>
  <c r="C20" i="9"/>
  <c r="S19" i="9"/>
  <c r="L19" i="9"/>
  <c r="J19" i="9"/>
  <c r="O19" i="9" s="1"/>
  <c r="R19" i="9" s="1"/>
  <c r="I19" i="9"/>
  <c r="Q19" i="9" s="1"/>
  <c r="G19" i="9"/>
  <c r="E19" i="9"/>
  <c r="C19" i="9"/>
  <c r="S18" i="9"/>
  <c r="L18" i="9"/>
  <c r="J18" i="9"/>
  <c r="I18" i="9"/>
  <c r="O18" i="9" s="1"/>
  <c r="R18" i="9" s="1"/>
  <c r="G18" i="9"/>
  <c r="Q18" i="9" s="1"/>
  <c r="E18" i="9"/>
  <c r="C18" i="9"/>
  <c r="L17" i="9"/>
  <c r="G17" i="9"/>
  <c r="E17" i="9"/>
  <c r="C17" i="9"/>
  <c r="S16" i="9"/>
  <c r="L16" i="9"/>
  <c r="G16" i="9"/>
  <c r="I16" i="9" s="1"/>
  <c r="E16" i="9"/>
  <c r="C16" i="9"/>
  <c r="Q15" i="9"/>
  <c r="L15" i="9"/>
  <c r="J15" i="9"/>
  <c r="I15" i="9"/>
  <c r="O15" i="9" s="1"/>
  <c r="R15" i="9" s="1"/>
  <c r="G15" i="9"/>
  <c r="E15" i="9"/>
  <c r="C15" i="9"/>
  <c r="L14" i="9"/>
  <c r="G14" i="9"/>
  <c r="E14" i="9"/>
  <c r="C14" i="9"/>
  <c r="Q13" i="9"/>
  <c r="O13" i="9"/>
  <c r="R13" i="9" s="1"/>
  <c r="L13" i="9"/>
  <c r="J13" i="9"/>
  <c r="I13" i="9"/>
  <c r="G13" i="9"/>
  <c r="E13" i="9"/>
  <c r="C13" i="9"/>
  <c r="L12" i="9"/>
  <c r="J12" i="9"/>
  <c r="I12" i="9"/>
  <c r="G12" i="9"/>
  <c r="E12" i="9"/>
  <c r="C12" i="9"/>
  <c r="L11" i="9"/>
  <c r="J11" i="9"/>
  <c r="G11" i="9"/>
  <c r="E11" i="9"/>
  <c r="C11" i="9"/>
  <c r="L10" i="9"/>
  <c r="I10" i="9"/>
  <c r="G10" i="9"/>
  <c r="E10" i="9"/>
  <c r="C10" i="9"/>
  <c r="L9" i="9"/>
  <c r="J9" i="9"/>
  <c r="I9" i="9"/>
  <c r="G9" i="9"/>
  <c r="E9" i="9"/>
  <c r="C9" i="9"/>
  <c r="O8" i="9"/>
  <c r="L8" i="9"/>
  <c r="Q8" i="9" s="1"/>
  <c r="I8" i="9"/>
  <c r="G8" i="9"/>
  <c r="J8" i="9" s="1"/>
  <c r="E8" i="9"/>
  <c r="C8" i="9"/>
  <c r="R7" i="9"/>
  <c r="Q7" i="9"/>
  <c r="O7" i="9"/>
  <c r="L7" i="9"/>
  <c r="J7" i="9"/>
  <c r="I7" i="9"/>
  <c r="G7" i="9"/>
  <c r="E7" i="9"/>
  <c r="C7" i="9"/>
  <c r="L6" i="9"/>
  <c r="G6" i="9"/>
  <c r="E6" i="9"/>
  <c r="C6" i="9"/>
  <c r="L5" i="9"/>
  <c r="G5" i="9"/>
  <c r="I5" i="9" s="1"/>
  <c r="E5" i="9"/>
  <c r="C5" i="9"/>
  <c r="R30" i="8"/>
  <c r="L30" i="8"/>
  <c r="J30" i="8"/>
  <c r="I30" i="8"/>
  <c r="G30" i="8"/>
  <c r="T30" i="8" s="1"/>
  <c r="E30" i="8"/>
  <c r="C30" i="8"/>
  <c r="U29" i="8"/>
  <c r="T29" i="8"/>
  <c r="R29" i="8"/>
  <c r="L29" i="8"/>
  <c r="J29" i="8"/>
  <c r="I29" i="8"/>
  <c r="O29" i="8" s="1"/>
  <c r="G29" i="8"/>
  <c r="E29" i="8"/>
  <c r="C29" i="8"/>
  <c r="R28" i="8"/>
  <c r="L28" i="8"/>
  <c r="J28" i="8"/>
  <c r="I28" i="8"/>
  <c r="G28" i="8"/>
  <c r="T28" i="8" s="1"/>
  <c r="E28" i="8"/>
  <c r="C28" i="8"/>
  <c r="T27" i="8"/>
  <c r="R27" i="8"/>
  <c r="U27" i="8" s="1"/>
  <c r="O27" i="8"/>
  <c r="L27" i="8"/>
  <c r="J27" i="8"/>
  <c r="I27" i="8"/>
  <c r="G27" i="8"/>
  <c r="E27" i="8"/>
  <c r="C27" i="8"/>
  <c r="R26" i="8"/>
  <c r="L26" i="8"/>
  <c r="J26" i="8"/>
  <c r="I26" i="8"/>
  <c r="G26" i="8"/>
  <c r="T26" i="8" s="1"/>
  <c r="E26" i="8"/>
  <c r="C26" i="8"/>
  <c r="R25" i="8"/>
  <c r="O25" i="8"/>
  <c r="U25" i="8" s="1"/>
  <c r="L25" i="8"/>
  <c r="T25" i="8" s="1"/>
  <c r="J25" i="8"/>
  <c r="I25" i="8"/>
  <c r="G25" i="8"/>
  <c r="E25" i="8"/>
  <c r="C25" i="8"/>
  <c r="R24" i="8"/>
  <c r="L24" i="8"/>
  <c r="J24" i="8"/>
  <c r="I24" i="8"/>
  <c r="G24" i="8"/>
  <c r="T24" i="8" s="1"/>
  <c r="E24" i="8"/>
  <c r="C24" i="8"/>
  <c r="R23" i="8"/>
  <c r="L23" i="8"/>
  <c r="J23" i="8"/>
  <c r="I23" i="8"/>
  <c r="G23" i="8"/>
  <c r="T23" i="8" s="1"/>
  <c r="E23" i="8"/>
  <c r="C23" i="8"/>
  <c r="R22" i="8"/>
  <c r="O22" i="8"/>
  <c r="U22" i="8" s="1"/>
  <c r="L22" i="8"/>
  <c r="T22" i="8" s="1"/>
  <c r="J22" i="8"/>
  <c r="I22" i="8"/>
  <c r="G22" i="8"/>
  <c r="E22" i="8"/>
  <c r="C22" i="8"/>
  <c r="R21" i="8"/>
  <c r="L21" i="8"/>
  <c r="J21" i="8"/>
  <c r="I21" i="8"/>
  <c r="G21" i="8"/>
  <c r="E21" i="8"/>
  <c r="C21" i="8"/>
  <c r="R20" i="8"/>
  <c r="L20" i="8"/>
  <c r="J20" i="8"/>
  <c r="I20" i="8"/>
  <c r="O20" i="8" s="1"/>
  <c r="U20" i="8" s="1"/>
  <c r="G20" i="8"/>
  <c r="T20" i="8" s="1"/>
  <c r="E20" i="8"/>
  <c r="C20" i="8"/>
  <c r="R19" i="8"/>
  <c r="L19" i="8"/>
  <c r="J19" i="8"/>
  <c r="I19" i="8"/>
  <c r="O19" i="8" s="1"/>
  <c r="U19" i="8" s="1"/>
  <c r="G19" i="8"/>
  <c r="E19" i="8"/>
  <c r="C19" i="8"/>
  <c r="R18" i="8"/>
  <c r="L18" i="8"/>
  <c r="J18" i="8"/>
  <c r="I18" i="8"/>
  <c r="G18" i="8"/>
  <c r="T18" i="8" s="1"/>
  <c r="E18" i="8"/>
  <c r="C18" i="8"/>
  <c r="T17" i="8"/>
  <c r="R17" i="8"/>
  <c r="L17" i="8"/>
  <c r="J17" i="8"/>
  <c r="I17" i="8"/>
  <c r="O17" i="8" s="1"/>
  <c r="U17" i="8" s="1"/>
  <c r="G17" i="8"/>
  <c r="E17" i="8"/>
  <c r="C17" i="8"/>
  <c r="T16" i="8"/>
  <c r="R16" i="8"/>
  <c r="U16" i="8" s="1"/>
  <c r="L16" i="8"/>
  <c r="J16" i="8"/>
  <c r="I16" i="8"/>
  <c r="G16" i="8"/>
  <c r="O16" i="8" s="1"/>
  <c r="E16" i="8"/>
  <c r="C16" i="8"/>
  <c r="R15" i="8"/>
  <c r="L15" i="8"/>
  <c r="J15" i="8"/>
  <c r="I15" i="8"/>
  <c r="T15" i="8" s="1"/>
  <c r="G15" i="8"/>
  <c r="E15" i="8"/>
  <c r="C15" i="8"/>
  <c r="R14" i="8"/>
  <c r="L14" i="8"/>
  <c r="J14" i="8"/>
  <c r="I14" i="8"/>
  <c r="G14" i="8"/>
  <c r="T14" i="8" s="1"/>
  <c r="E14" i="8"/>
  <c r="C14" i="8"/>
  <c r="R13" i="8"/>
  <c r="L13" i="8"/>
  <c r="J13" i="8"/>
  <c r="I13" i="8"/>
  <c r="G13" i="8"/>
  <c r="T13" i="8" s="1"/>
  <c r="E13" i="8"/>
  <c r="C13" i="8"/>
  <c r="R12" i="8"/>
  <c r="L12" i="8"/>
  <c r="J12" i="8"/>
  <c r="I12" i="8"/>
  <c r="G12" i="8"/>
  <c r="T12" i="8" s="1"/>
  <c r="E12" i="8"/>
  <c r="C12" i="8"/>
  <c r="T11" i="8"/>
  <c r="R11" i="8"/>
  <c r="L11" i="8"/>
  <c r="J11" i="8"/>
  <c r="I11" i="8"/>
  <c r="G11" i="8"/>
  <c r="E11" i="8"/>
  <c r="C11" i="8"/>
  <c r="U10" i="8"/>
  <c r="R10" i="8"/>
  <c r="O10" i="8"/>
  <c r="L10" i="8"/>
  <c r="T10" i="8" s="1"/>
  <c r="J10" i="8"/>
  <c r="I10" i="8"/>
  <c r="G10" i="8"/>
  <c r="E10" i="8"/>
  <c r="C10" i="8"/>
  <c r="R9" i="8"/>
  <c r="L9" i="8"/>
  <c r="J9" i="8"/>
  <c r="I9" i="8"/>
  <c r="O9" i="8" s="1"/>
  <c r="G9" i="8"/>
  <c r="E9" i="8"/>
  <c r="C9" i="8"/>
  <c r="R8" i="8"/>
  <c r="L8" i="8"/>
  <c r="J8" i="8"/>
  <c r="I8" i="8"/>
  <c r="G8" i="8"/>
  <c r="T8" i="8" s="1"/>
  <c r="E8" i="8"/>
  <c r="C8" i="8"/>
  <c r="R7" i="8"/>
  <c r="L7" i="8"/>
  <c r="J7" i="8"/>
  <c r="I7" i="8"/>
  <c r="G7" i="8"/>
  <c r="E7" i="8"/>
  <c r="C7" i="8"/>
  <c r="R6" i="8"/>
  <c r="L6" i="8"/>
  <c r="J6" i="8"/>
  <c r="I6" i="8"/>
  <c r="O6" i="8" s="1"/>
  <c r="G6" i="8"/>
  <c r="T6" i="8" s="1"/>
  <c r="E6" i="8"/>
  <c r="C6" i="8"/>
  <c r="T5" i="8"/>
  <c r="R5" i="8"/>
  <c r="L5" i="8"/>
  <c r="J5" i="8"/>
  <c r="I5" i="8"/>
  <c r="O5" i="8" s="1"/>
  <c r="U5" i="8" s="1"/>
  <c r="G5" i="8"/>
  <c r="E5" i="8"/>
  <c r="C5" i="8"/>
  <c r="R30" i="7"/>
  <c r="L30" i="7"/>
  <c r="J30" i="7"/>
  <c r="I30" i="7"/>
  <c r="G30" i="7"/>
  <c r="E30" i="7"/>
  <c r="C30" i="7"/>
  <c r="V29" i="7"/>
  <c r="U29" i="7"/>
  <c r="T29" i="7"/>
  <c r="R29" i="7"/>
  <c r="L29" i="7"/>
  <c r="J29" i="7"/>
  <c r="I29" i="7"/>
  <c r="O29" i="7" s="1"/>
  <c r="G29" i="7"/>
  <c r="E29" i="7"/>
  <c r="C29" i="7"/>
  <c r="V28" i="7"/>
  <c r="R28" i="7"/>
  <c r="O28" i="7"/>
  <c r="U28" i="7" s="1"/>
  <c r="L28" i="7"/>
  <c r="T28" i="7" s="1"/>
  <c r="J28" i="7"/>
  <c r="I28" i="7"/>
  <c r="G28" i="7"/>
  <c r="E28" i="7"/>
  <c r="C28" i="7"/>
  <c r="V27" i="7"/>
  <c r="T27" i="7"/>
  <c r="R27" i="7"/>
  <c r="O27" i="7"/>
  <c r="U27" i="7" s="1"/>
  <c r="L27" i="7"/>
  <c r="J27" i="7"/>
  <c r="I27" i="7"/>
  <c r="G27" i="7"/>
  <c r="E27" i="7"/>
  <c r="C27" i="7"/>
  <c r="T26" i="7"/>
  <c r="R26" i="7"/>
  <c r="O26" i="7"/>
  <c r="U26" i="7" s="1"/>
  <c r="L26" i="7"/>
  <c r="J26" i="7"/>
  <c r="I26" i="7"/>
  <c r="G26" i="7"/>
  <c r="V26" i="7" s="1"/>
  <c r="E26" i="7"/>
  <c r="C26" i="7"/>
  <c r="R25" i="7"/>
  <c r="L25" i="7"/>
  <c r="T25" i="7" s="1"/>
  <c r="J25" i="7"/>
  <c r="O25" i="7" s="1"/>
  <c r="U25" i="7" s="1"/>
  <c r="I25" i="7"/>
  <c r="G25" i="7"/>
  <c r="V25" i="7" s="1"/>
  <c r="E25" i="7"/>
  <c r="C25" i="7"/>
  <c r="R24" i="7"/>
  <c r="L24" i="7"/>
  <c r="J24" i="7"/>
  <c r="I24" i="7"/>
  <c r="G24" i="7"/>
  <c r="E24" i="7"/>
  <c r="C24" i="7"/>
  <c r="R23" i="7"/>
  <c r="L23" i="7"/>
  <c r="J23" i="7"/>
  <c r="I23" i="7"/>
  <c r="G23" i="7"/>
  <c r="V23" i="7" s="1"/>
  <c r="E23" i="7"/>
  <c r="C23" i="7"/>
  <c r="V22" i="7"/>
  <c r="T22" i="7"/>
  <c r="R22" i="7"/>
  <c r="L22" i="7"/>
  <c r="J22" i="7"/>
  <c r="I22" i="7"/>
  <c r="G22" i="7"/>
  <c r="E22" i="7"/>
  <c r="C22" i="7"/>
  <c r="V21" i="7"/>
  <c r="R21" i="7"/>
  <c r="L21" i="7"/>
  <c r="J21" i="7"/>
  <c r="O21" i="7" s="1"/>
  <c r="U21" i="7" s="1"/>
  <c r="I21" i="7"/>
  <c r="G21" i="7"/>
  <c r="E21" i="7"/>
  <c r="C21" i="7"/>
  <c r="R20" i="7"/>
  <c r="L20" i="7"/>
  <c r="J20" i="7"/>
  <c r="I20" i="7"/>
  <c r="G20" i="7"/>
  <c r="O20" i="7" s="1"/>
  <c r="U20" i="7" s="1"/>
  <c r="E20" i="7"/>
  <c r="C20" i="7"/>
  <c r="R19" i="7"/>
  <c r="L19" i="7"/>
  <c r="J19" i="7"/>
  <c r="I19" i="7"/>
  <c r="G19" i="7"/>
  <c r="E19" i="7"/>
  <c r="C19" i="7"/>
  <c r="V18" i="7"/>
  <c r="T18" i="7"/>
  <c r="R18" i="7"/>
  <c r="O18" i="7"/>
  <c r="U18" i="7" s="1"/>
  <c r="L18" i="7"/>
  <c r="J18" i="7"/>
  <c r="I18" i="7"/>
  <c r="G18" i="7"/>
  <c r="E18" i="7"/>
  <c r="C18" i="7"/>
  <c r="R17" i="7"/>
  <c r="L17" i="7"/>
  <c r="J17" i="7"/>
  <c r="I17" i="7"/>
  <c r="G17" i="7"/>
  <c r="T17" i="7" s="1"/>
  <c r="E17" i="7"/>
  <c r="C17" i="7"/>
  <c r="V16" i="7"/>
  <c r="T16" i="7"/>
  <c r="R16" i="7"/>
  <c r="O16" i="7"/>
  <c r="U16" i="7" s="1"/>
  <c r="L16" i="7"/>
  <c r="J16" i="7"/>
  <c r="I16" i="7"/>
  <c r="G16" i="7"/>
  <c r="E16" i="7"/>
  <c r="C16" i="7"/>
  <c r="R15" i="7"/>
  <c r="L15" i="7"/>
  <c r="J15" i="7"/>
  <c r="I15" i="7"/>
  <c r="G15" i="7"/>
  <c r="E15" i="7"/>
  <c r="C15" i="7"/>
  <c r="V14" i="7"/>
  <c r="R14" i="7"/>
  <c r="L14" i="7"/>
  <c r="J14" i="7"/>
  <c r="I14" i="7"/>
  <c r="O14" i="7" s="1"/>
  <c r="G14" i="7"/>
  <c r="E14" i="7"/>
  <c r="C14" i="7"/>
  <c r="R13" i="7"/>
  <c r="L13" i="7"/>
  <c r="J13" i="7"/>
  <c r="I13" i="7"/>
  <c r="G13" i="7"/>
  <c r="E13" i="7"/>
  <c r="C13" i="7"/>
  <c r="R12" i="7"/>
  <c r="L12" i="7"/>
  <c r="J12" i="7"/>
  <c r="I12" i="7"/>
  <c r="O12" i="7" s="1"/>
  <c r="G12" i="7"/>
  <c r="E12" i="7"/>
  <c r="C12" i="7"/>
  <c r="R11" i="7"/>
  <c r="L11" i="7"/>
  <c r="J11" i="7"/>
  <c r="I11" i="7"/>
  <c r="O11" i="7" s="1"/>
  <c r="G11" i="7"/>
  <c r="E11" i="7"/>
  <c r="C11" i="7"/>
  <c r="V10" i="7"/>
  <c r="R10" i="7"/>
  <c r="O10" i="7"/>
  <c r="L10" i="7"/>
  <c r="J10" i="7"/>
  <c r="I10" i="7"/>
  <c r="G10" i="7"/>
  <c r="E10" i="7"/>
  <c r="C10" i="7"/>
  <c r="V9" i="7"/>
  <c r="R9" i="7"/>
  <c r="L9" i="7"/>
  <c r="J9" i="7"/>
  <c r="I9" i="7"/>
  <c r="G9" i="7"/>
  <c r="T9" i="7" s="1"/>
  <c r="E9" i="7"/>
  <c r="C9" i="7"/>
  <c r="T8" i="7"/>
  <c r="R8" i="7"/>
  <c r="L8" i="7"/>
  <c r="J8" i="7"/>
  <c r="I8" i="7"/>
  <c r="G8" i="7"/>
  <c r="E8" i="7"/>
  <c r="C8" i="7"/>
  <c r="R7" i="7"/>
  <c r="L7" i="7"/>
  <c r="T7" i="7" s="1"/>
  <c r="J7" i="7"/>
  <c r="I7" i="7"/>
  <c r="O7" i="7" s="1"/>
  <c r="G7" i="7"/>
  <c r="E7" i="7"/>
  <c r="C7" i="7"/>
  <c r="R6" i="7"/>
  <c r="L6" i="7"/>
  <c r="J6" i="7"/>
  <c r="I6" i="7"/>
  <c r="O6" i="7" s="1"/>
  <c r="G6" i="7"/>
  <c r="E6" i="7"/>
  <c r="C6" i="7"/>
  <c r="T5" i="7"/>
  <c r="R5" i="7"/>
  <c r="L5" i="7"/>
  <c r="J5" i="7"/>
  <c r="I5" i="7"/>
  <c r="O5" i="7" s="1"/>
  <c r="U5" i="7" s="1"/>
  <c r="G5" i="7"/>
  <c r="E5" i="7"/>
  <c r="C5" i="7"/>
  <c r="R30" i="6"/>
  <c r="L30" i="6"/>
  <c r="J30" i="6"/>
  <c r="O30" i="6" s="1"/>
  <c r="U30" i="6" s="1"/>
  <c r="I30" i="6"/>
  <c r="G30" i="6"/>
  <c r="E30" i="6"/>
  <c r="C30" i="6"/>
  <c r="U29" i="6"/>
  <c r="T29" i="6"/>
  <c r="R29" i="6"/>
  <c r="O29" i="6"/>
  <c r="L29" i="6"/>
  <c r="J29" i="6"/>
  <c r="I29" i="6"/>
  <c r="G29" i="6"/>
  <c r="E29" i="6"/>
  <c r="C29" i="6"/>
  <c r="R28" i="6"/>
  <c r="L28" i="6"/>
  <c r="J28" i="6"/>
  <c r="I28" i="6"/>
  <c r="G28" i="6"/>
  <c r="T28" i="6" s="1"/>
  <c r="E28" i="6"/>
  <c r="C28" i="6"/>
  <c r="R27" i="6"/>
  <c r="O27" i="6"/>
  <c r="U27" i="6" s="1"/>
  <c r="L27" i="6"/>
  <c r="J27" i="6"/>
  <c r="I27" i="6"/>
  <c r="G27" i="6"/>
  <c r="T27" i="6" s="1"/>
  <c r="E27" i="6"/>
  <c r="C27" i="6"/>
  <c r="U26" i="6"/>
  <c r="T26" i="6"/>
  <c r="R26" i="6"/>
  <c r="L26" i="6"/>
  <c r="J26" i="6"/>
  <c r="I26" i="6"/>
  <c r="O26" i="6" s="1"/>
  <c r="G26" i="6"/>
  <c r="E26" i="6"/>
  <c r="C26" i="6"/>
  <c r="R25" i="6"/>
  <c r="L25" i="6"/>
  <c r="J25" i="6"/>
  <c r="I25" i="6"/>
  <c r="G25" i="6"/>
  <c r="E25" i="6"/>
  <c r="C25" i="6"/>
  <c r="T24" i="6"/>
  <c r="R24" i="6"/>
  <c r="L24" i="6"/>
  <c r="J24" i="6"/>
  <c r="O24" i="6" s="1"/>
  <c r="U24" i="6" s="1"/>
  <c r="I24" i="6"/>
  <c r="G24" i="6"/>
  <c r="E24" i="6"/>
  <c r="C24" i="6"/>
  <c r="R23" i="6"/>
  <c r="L23" i="6"/>
  <c r="J23" i="6"/>
  <c r="I23" i="6"/>
  <c r="O23" i="6" s="1"/>
  <c r="U23" i="6" s="1"/>
  <c r="G23" i="6"/>
  <c r="E23" i="6"/>
  <c r="C23" i="6"/>
  <c r="R22" i="6"/>
  <c r="L22" i="6"/>
  <c r="J22" i="6"/>
  <c r="I22" i="6"/>
  <c r="G22" i="6"/>
  <c r="T22" i="6" s="1"/>
  <c r="E22" i="6"/>
  <c r="C22" i="6"/>
  <c r="U21" i="6"/>
  <c r="R21" i="6"/>
  <c r="L21" i="6"/>
  <c r="J21" i="6"/>
  <c r="I21" i="6"/>
  <c r="O21" i="6" s="1"/>
  <c r="G21" i="6"/>
  <c r="E21" i="6"/>
  <c r="C21" i="6"/>
  <c r="R20" i="6"/>
  <c r="L20" i="6"/>
  <c r="J20" i="6"/>
  <c r="I20" i="6"/>
  <c r="O20" i="6" s="1"/>
  <c r="U20" i="6" s="1"/>
  <c r="G20" i="6"/>
  <c r="E20" i="6"/>
  <c r="C20" i="6"/>
  <c r="R19" i="6"/>
  <c r="L19" i="6"/>
  <c r="J19" i="6"/>
  <c r="I19" i="6"/>
  <c r="T19" i="6" s="1"/>
  <c r="G19" i="6"/>
  <c r="E19" i="6"/>
  <c r="C19" i="6"/>
  <c r="U18" i="6"/>
  <c r="T18" i="6"/>
  <c r="R18" i="6"/>
  <c r="L18" i="6"/>
  <c r="J18" i="6"/>
  <c r="I18" i="6"/>
  <c r="O18" i="6" s="1"/>
  <c r="G18" i="6"/>
  <c r="E18" i="6"/>
  <c r="C18" i="6"/>
  <c r="R17" i="6"/>
  <c r="L17" i="6"/>
  <c r="J17" i="6"/>
  <c r="I17" i="6"/>
  <c r="O17" i="6" s="1"/>
  <c r="U17" i="6" s="1"/>
  <c r="G17" i="6"/>
  <c r="T17" i="6" s="1"/>
  <c r="E17" i="6"/>
  <c r="C17" i="6"/>
  <c r="R16" i="6"/>
  <c r="L16" i="6"/>
  <c r="J16" i="6"/>
  <c r="I16" i="6"/>
  <c r="G16" i="6"/>
  <c r="T16" i="6" s="1"/>
  <c r="E16" i="6"/>
  <c r="C16" i="6"/>
  <c r="R15" i="6"/>
  <c r="L15" i="6"/>
  <c r="J15" i="6"/>
  <c r="I15" i="6"/>
  <c r="G15" i="6"/>
  <c r="E15" i="6"/>
  <c r="C15" i="6"/>
  <c r="R14" i="6"/>
  <c r="L14" i="6"/>
  <c r="J14" i="6"/>
  <c r="I14" i="6"/>
  <c r="O14" i="6" s="1"/>
  <c r="G14" i="6"/>
  <c r="E14" i="6"/>
  <c r="C14" i="6"/>
  <c r="T13" i="6"/>
  <c r="R13" i="6"/>
  <c r="O13" i="6"/>
  <c r="U13" i="6" s="1"/>
  <c r="L13" i="6"/>
  <c r="J13" i="6"/>
  <c r="I13" i="6"/>
  <c r="G13" i="6"/>
  <c r="E13" i="6"/>
  <c r="C13" i="6"/>
  <c r="R12" i="6"/>
  <c r="L12" i="6"/>
  <c r="J12" i="6"/>
  <c r="I12" i="6"/>
  <c r="G12" i="6"/>
  <c r="E12" i="6"/>
  <c r="C12" i="6"/>
  <c r="R11" i="6"/>
  <c r="L11" i="6"/>
  <c r="J11" i="6"/>
  <c r="I11" i="6"/>
  <c r="G11" i="6"/>
  <c r="T11" i="6" s="1"/>
  <c r="E11" i="6"/>
  <c r="C11" i="6"/>
  <c r="R10" i="6"/>
  <c r="L10" i="6"/>
  <c r="J10" i="6"/>
  <c r="I10" i="6"/>
  <c r="O10" i="6" s="1"/>
  <c r="U10" i="6" s="1"/>
  <c r="G10" i="6"/>
  <c r="T10" i="6" s="1"/>
  <c r="E10" i="6"/>
  <c r="C10" i="6"/>
  <c r="R9" i="6"/>
  <c r="L9" i="6"/>
  <c r="J9" i="6"/>
  <c r="I9" i="6"/>
  <c r="O9" i="6" s="1"/>
  <c r="G9" i="6"/>
  <c r="E9" i="6"/>
  <c r="C9" i="6"/>
  <c r="R8" i="6"/>
  <c r="L8" i="6"/>
  <c r="J8" i="6"/>
  <c r="I8" i="6"/>
  <c r="O8" i="6" s="1"/>
  <c r="G8" i="6"/>
  <c r="E8" i="6"/>
  <c r="C8" i="6"/>
  <c r="R7" i="6"/>
  <c r="O7" i="6"/>
  <c r="L7" i="6"/>
  <c r="J7" i="6"/>
  <c r="I7" i="6"/>
  <c r="G7" i="6"/>
  <c r="E7" i="6"/>
  <c r="C7" i="6"/>
  <c r="T6" i="6"/>
  <c r="R6" i="6"/>
  <c r="L6" i="6"/>
  <c r="J6" i="6"/>
  <c r="I6" i="6"/>
  <c r="O6" i="6" s="1"/>
  <c r="U6" i="6" s="1"/>
  <c r="G6" i="6"/>
  <c r="E6" i="6"/>
  <c r="C6" i="6"/>
  <c r="R5" i="6"/>
  <c r="L5" i="6"/>
  <c r="J5" i="6"/>
  <c r="I5" i="6"/>
  <c r="O5" i="6" s="1"/>
  <c r="G5" i="6"/>
  <c r="E5" i="6"/>
  <c r="C5" i="6"/>
  <c r="N30" i="5"/>
  <c r="G30" i="5"/>
  <c r="J30" i="5" s="1"/>
  <c r="E30" i="5"/>
  <c r="C30" i="5"/>
  <c r="W29" i="5"/>
  <c r="N29" i="5"/>
  <c r="G29" i="5"/>
  <c r="E29" i="5"/>
  <c r="C29" i="5"/>
  <c r="X28" i="5"/>
  <c r="N28" i="5"/>
  <c r="G28" i="5"/>
  <c r="I28" i="5" s="1"/>
  <c r="E28" i="5"/>
  <c r="C28" i="5"/>
  <c r="W27" i="5"/>
  <c r="N27" i="5"/>
  <c r="L27" i="5"/>
  <c r="J27" i="5"/>
  <c r="I27" i="5"/>
  <c r="U27" i="5" s="1"/>
  <c r="G27" i="5"/>
  <c r="X27" i="5" s="1"/>
  <c r="E27" i="5"/>
  <c r="C27" i="5"/>
  <c r="X26" i="5"/>
  <c r="N26" i="5"/>
  <c r="L26" i="5"/>
  <c r="J26" i="5"/>
  <c r="Q26" i="5" s="1"/>
  <c r="V26" i="5" s="1"/>
  <c r="I26" i="5"/>
  <c r="G26" i="5"/>
  <c r="E26" i="5"/>
  <c r="C26" i="5"/>
  <c r="N25" i="5"/>
  <c r="L25" i="5"/>
  <c r="J25" i="5"/>
  <c r="I25" i="5"/>
  <c r="Q25" i="5" s="1"/>
  <c r="V25" i="5" s="1"/>
  <c r="G25" i="5"/>
  <c r="E25" i="5"/>
  <c r="C25" i="5"/>
  <c r="N24" i="5"/>
  <c r="G24" i="5"/>
  <c r="J24" i="5" s="1"/>
  <c r="E24" i="5"/>
  <c r="C24" i="5"/>
  <c r="W23" i="5"/>
  <c r="N23" i="5"/>
  <c r="L23" i="5"/>
  <c r="J23" i="5"/>
  <c r="G23" i="5"/>
  <c r="X23" i="5" s="1"/>
  <c r="E23" i="5"/>
  <c r="C23" i="5"/>
  <c r="N22" i="5"/>
  <c r="G22" i="5"/>
  <c r="I22" i="5" s="1"/>
  <c r="E22" i="5"/>
  <c r="C22" i="5"/>
  <c r="W21" i="5"/>
  <c r="N21" i="5"/>
  <c r="L21" i="5"/>
  <c r="U21" i="5" s="1"/>
  <c r="J21" i="5"/>
  <c r="Q21" i="5" s="1"/>
  <c r="V21" i="5" s="1"/>
  <c r="I21" i="5"/>
  <c r="G21" i="5"/>
  <c r="X21" i="5" s="1"/>
  <c r="E21" i="5"/>
  <c r="C21" i="5"/>
  <c r="X20" i="5"/>
  <c r="N20" i="5"/>
  <c r="L20" i="5"/>
  <c r="J20" i="5"/>
  <c r="Q20" i="5" s="1"/>
  <c r="V20" i="5" s="1"/>
  <c r="I20" i="5"/>
  <c r="G20" i="5"/>
  <c r="E20" i="5"/>
  <c r="C20" i="5"/>
  <c r="W19" i="5"/>
  <c r="N19" i="5"/>
  <c r="L19" i="5"/>
  <c r="J19" i="5"/>
  <c r="G19" i="5"/>
  <c r="X19" i="5" s="1"/>
  <c r="E19" i="5"/>
  <c r="C19" i="5"/>
  <c r="N18" i="5"/>
  <c r="G18" i="5"/>
  <c r="E18" i="5"/>
  <c r="C18" i="5"/>
  <c r="N17" i="5"/>
  <c r="G17" i="5"/>
  <c r="L17" i="5" s="1"/>
  <c r="E17" i="5"/>
  <c r="C17" i="5"/>
  <c r="X16" i="5"/>
  <c r="N16" i="5"/>
  <c r="G16" i="5"/>
  <c r="E16" i="5"/>
  <c r="C16" i="5"/>
  <c r="N15" i="5"/>
  <c r="G15" i="5"/>
  <c r="E15" i="5"/>
  <c r="C15" i="5"/>
  <c r="N14" i="5"/>
  <c r="G14" i="5"/>
  <c r="L14" i="5" s="1"/>
  <c r="E14" i="5"/>
  <c r="C14" i="5"/>
  <c r="N13" i="5"/>
  <c r="G13" i="5"/>
  <c r="E13" i="5"/>
  <c r="C13" i="5"/>
  <c r="N12" i="5"/>
  <c r="G12" i="5"/>
  <c r="L12" i="5" s="1"/>
  <c r="E12" i="5"/>
  <c r="C12" i="5"/>
  <c r="U11" i="5"/>
  <c r="Q11" i="5"/>
  <c r="V11" i="5" s="1"/>
  <c r="N11" i="5"/>
  <c r="L11" i="5"/>
  <c r="J11" i="5"/>
  <c r="I11" i="5"/>
  <c r="G11" i="5"/>
  <c r="E11" i="5"/>
  <c r="C11" i="5"/>
  <c r="N10" i="5"/>
  <c r="G10" i="5"/>
  <c r="E10" i="5"/>
  <c r="C10" i="5"/>
  <c r="U9" i="5"/>
  <c r="Q9" i="5"/>
  <c r="V9" i="5" s="1"/>
  <c r="N9" i="5"/>
  <c r="L9" i="5"/>
  <c r="J9" i="5"/>
  <c r="I9" i="5"/>
  <c r="G9" i="5"/>
  <c r="E9" i="5"/>
  <c r="C9" i="5"/>
  <c r="N8" i="5"/>
  <c r="G8" i="5"/>
  <c r="L8" i="5" s="1"/>
  <c r="E8" i="5"/>
  <c r="C8" i="5"/>
  <c r="N7" i="5"/>
  <c r="G7" i="5"/>
  <c r="J7" i="5" s="1"/>
  <c r="E7" i="5"/>
  <c r="C7" i="5"/>
  <c r="N6" i="5"/>
  <c r="G6" i="5"/>
  <c r="E6" i="5"/>
  <c r="C6" i="5"/>
  <c r="N5" i="5"/>
  <c r="G5" i="5"/>
  <c r="I5" i="5" s="1"/>
  <c r="E5" i="5"/>
  <c r="C5" i="5"/>
  <c r="N30" i="4"/>
  <c r="L30" i="4"/>
  <c r="Y30" i="4" s="1"/>
  <c r="J30" i="4"/>
  <c r="Q30" i="4" s="1"/>
  <c r="X30" i="4" s="1"/>
  <c r="I30" i="4"/>
  <c r="G30" i="4"/>
  <c r="E30" i="4"/>
  <c r="C30" i="4"/>
  <c r="N29" i="4"/>
  <c r="L29" i="4"/>
  <c r="Z29" i="4" s="1"/>
  <c r="J29" i="4"/>
  <c r="I29" i="4"/>
  <c r="G29" i="4"/>
  <c r="W29" i="4" s="1"/>
  <c r="E29" i="4"/>
  <c r="C29" i="4"/>
  <c r="N28" i="4"/>
  <c r="L28" i="4"/>
  <c r="Y28" i="4" s="1"/>
  <c r="J28" i="4"/>
  <c r="I28" i="4"/>
  <c r="G28" i="4"/>
  <c r="W28" i="4" s="1"/>
  <c r="E28" i="4"/>
  <c r="C28" i="4"/>
  <c r="W27" i="4"/>
  <c r="N27" i="4"/>
  <c r="L27" i="4"/>
  <c r="J27" i="4"/>
  <c r="I27" i="4"/>
  <c r="Q27" i="4" s="1"/>
  <c r="X27" i="4" s="1"/>
  <c r="G27" i="4"/>
  <c r="E27" i="4"/>
  <c r="C27" i="4"/>
  <c r="Z26" i="4"/>
  <c r="N26" i="4"/>
  <c r="L26" i="4"/>
  <c r="Y26" i="4" s="1"/>
  <c r="J26" i="4"/>
  <c r="I26" i="4"/>
  <c r="Q26" i="4" s="1"/>
  <c r="X26" i="4" s="1"/>
  <c r="G26" i="4"/>
  <c r="W26" i="4" s="1"/>
  <c r="E26" i="4"/>
  <c r="C26" i="4"/>
  <c r="N25" i="4"/>
  <c r="L25" i="4"/>
  <c r="J25" i="4"/>
  <c r="I25" i="4"/>
  <c r="Q25" i="4" s="1"/>
  <c r="X25" i="4" s="1"/>
  <c r="G25" i="4"/>
  <c r="E25" i="4"/>
  <c r="C25" i="4"/>
  <c r="N24" i="4"/>
  <c r="L24" i="4"/>
  <c r="Y24" i="4" s="1"/>
  <c r="J24" i="4"/>
  <c r="I24" i="4"/>
  <c r="G24" i="4"/>
  <c r="W24" i="4" s="1"/>
  <c r="E24" i="4"/>
  <c r="C24" i="4"/>
  <c r="Y23" i="4"/>
  <c r="N23" i="4"/>
  <c r="L23" i="4"/>
  <c r="Z23" i="4" s="1"/>
  <c r="J23" i="4"/>
  <c r="I23" i="4"/>
  <c r="G23" i="4"/>
  <c r="W23" i="4" s="1"/>
  <c r="E23" i="4"/>
  <c r="C23" i="4"/>
  <c r="N22" i="4"/>
  <c r="L22" i="4"/>
  <c r="Y22" i="4" s="1"/>
  <c r="J22" i="4"/>
  <c r="I22" i="4"/>
  <c r="Q22" i="4" s="1"/>
  <c r="X22" i="4" s="1"/>
  <c r="G22" i="4"/>
  <c r="W22" i="4" s="1"/>
  <c r="E22" i="4"/>
  <c r="C22" i="4"/>
  <c r="Y21" i="4"/>
  <c r="W21" i="4"/>
  <c r="Q21" i="4"/>
  <c r="X21" i="4" s="1"/>
  <c r="N21" i="4"/>
  <c r="L21" i="4"/>
  <c r="Z21" i="4" s="1"/>
  <c r="J21" i="4"/>
  <c r="I21" i="4"/>
  <c r="G21" i="4"/>
  <c r="E21" i="4"/>
  <c r="C21" i="4"/>
  <c r="Z20" i="4"/>
  <c r="Q20" i="4"/>
  <c r="X20" i="4" s="1"/>
  <c r="N20" i="4"/>
  <c r="L20" i="4"/>
  <c r="Y20" i="4" s="1"/>
  <c r="J20" i="4"/>
  <c r="I20" i="4"/>
  <c r="G20" i="4"/>
  <c r="W20" i="4" s="1"/>
  <c r="E20" i="4"/>
  <c r="C20" i="4"/>
  <c r="Q19" i="4"/>
  <c r="X19" i="4" s="1"/>
  <c r="N19" i="4"/>
  <c r="L19" i="4"/>
  <c r="J19" i="4"/>
  <c r="I19" i="4"/>
  <c r="G19" i="4"/>
  <c r="E19" i="4"/>
  <c r="C19" i="4"/>
  <c r="N18" i="4"/>
  <c r="L18" i="4"/>
  <c r="J18" i="4"/>
  <c r="I18" i="4"/>
  <c r="G18" i="4"/>
  <c r="W18" i="4" s="1"/>
  <c r="E18" i="4"/>
  <c r="C18" i="4"/>
  <c r="N17" i="4"/>
  <c r="L17" i="4"/>
  <c r="Z17" i="4" s="1"/>
  <c r="J17" i="4"/>
  <c r="I17" i="4"/>
  <c r="G17" i="4"/>
  <c r="W17" i="4" s="1"/>
  <c r="E17" i="4"/>
  <c r="C17" i="4"/>
  <c r="Z16" i="4"/>
  <c r="Q16" i="4"/>
  <c r="X16" i="4" s="1"/>
  <c r="N16" i="4"/>
  <c r="L16" i="4"/>
  <c r="Y16" i="4" s="1"/>
  <c r="J16" i="4"/>
  <c r="I16" i="4"/>
  <c r="G16" i="4"/>
  <c r="E16" i="4"/>
  <c r="C16" i="4"/>
  <c r="Y15" i="4"/>
  <c r="N15" i="4"/>
  <c r="L15" i="4"/>
  <c r="Z15" i="4" s="1"/>
  <c r="J15" i="4"/>
  <c r="I15" i="4"/>
  <c r="Q15" i="4" s="1"/>
  <c r="G15" i="4"/>
  <c r="E15" i="4"/>
  <c r="C15" i="4"/>
  <c r="Q14" i="4"/>
  <c r="N14" i="4"/>
  <c r="L14" i="4"/>
  <c r="Y14" i="4" s="1"/>
  <c r="J14" i="4"/>
  <c r="I14" i="4"/>
  <c r="G14" i="4"/>
  <c r="E14" i="4"/>
  <c r="C14" i="4"/>
  <c r="Q13" i="4"/>
  <c r="N13" i="4"/>
  <c r="L13" i="4"/>
  <c r="Z13" i="4" s="1"/>
  <c r="J13" i="4"/>
  <c r="I13" i="4"/>
  <c r="G13" i="4"/>
  <c r="E13" i="4"/>
  <c r="C13" i="4"/>
  <c r="N12" i="4"/>
  <c r="L12" i="4"/>
  <c r="J12" i="4"/>
  <c r="I12" i="4"/>
  <c r="G12" i="4"/>
  <c r="W12" i="4" s="1"/>
  <c r="E12" i="4"/>
  <c r="C12" i="4"/>
  <c r="N11" i="4"/>
  <c r="L11" i="4"/>
  <c r="J11" i="4"/>
  <c r="I11" i="4"/>
  <c r="Q11" i="4" s="1"/>
  <c r="G11" i="4"/>
  <c r="W11" i="4" s="1"/>
  <c r="E11" i="4"/>
  <c r="C11" i="4"/>
  <c r="N10" i="4"/>
  <c r="L10" i="4"/>
  <c r="Y10" i="4" s="1"/>
  <c r="J10" i="4"/>
  <c r="I10" i="4"/>
  <c r="G10" i="4"/>
  <c r="W10" i="4" s="1"/>
  <c r="E10" i="4"/>
  <c r="C10" i="4"/>
  <c r="N9" i="4"/>
  <c r="L9" i="4"/>
  <c r="J9" i="4"/>
  <c r="I9" i="4"/>
  <c r="G9" i="4"/>
  <c r="W9" i="4" s="1"/>
  <c r="E9" i="4"/>
  <c r="C9" i="4"/>
  <c r="Z8" i="4"/>
  <c r="Q8" i="4"/>
  <c r="X8" i="4" s="1"/>
  <c r="N8" i="4"/>
  <c r="L8" i="4"/>
  <c r="Y8" i="4" s="1"/>
  <c r="J8" i="4"/>
  <c r="I8" i="4"/>
  <c r="G8" i="4"/>
  <c r="W8" i="4" s="1"/>
  <c r="E8" i="4"/>
  <c r="C8" i="4"/>
  <c r="Y7" i="4"/>
  <c r="N7" i="4"/>
  <c r="L7" i="4"/>
  <c r="Z7" i="4" s="1"/>
  <c r="J7" i="4"/>
  <c r="I7" i="4"/>
  <c r="G7" i="4"/>
  <c r="E7" i="4"/>
  <c r="C7" i="4"/>
  <c r="N6" i="4"/>
  <c r="L6" i="4"/>
  <c r="Y6" i="4" s="1"/>
  <c r="J6" i="4"/>
  <c r="I6" i="4"/>
  <c r="Q6" i="4" s="1"/>
  <c r="G6" i="4"/>
  <c r="E6" i="4"/>
  <c r="C6" i="4"/>
  <c r="N5" i="4"/>
  <c r="L5" i="4"/>
  <c r="J5" i="4"/>
  <c r="I5" i="4"/>
  <c r="G5" i="4"/>
  <c r="E5" i="4"/>
  <c r="C5" i="4"/>
  <c r="N30" i="3"/>
  <c r="L30" i="3"/>
  <c r="J30" i="3"/>
  <c r="I30" i="3"/>
  <c r="G30" i="3"/>
  <c r="W30" i="3" s="1"/>
  <c r="E30" i="3"/>
  <c r="C30" i="3"/>
  <c r="Y29" i="3"/>
  <c r="N29" i="3"/>
  <c r="L29" i="3"/>
  <c r="Z29" i="3" s="1"/>
  <c r="J29" i="3"/>
  <c r="I29" i="3"/>
  <c r="G29" i="3"/>
  <c r="W29" i="3" s="1"/>
  <c r="E29" i="3"/>
  <c r="C29" i="3"/>
  <c r="N28" i="3"/>
  <c r="L28" i="3"/>
  <c r="J28" i="3"/>
  <c r="I28" i="3"/>
  <c r="Q28" i="3" s="1"/>
  <c r="X28" i="3" s="1"/>
  <c r="G28" i="3"/>
  <c r="E28" i="3"/>
  <c r="C28" i="3"/>
  <c r="Q27" i="3"/>
  <c r="X27" i="3" s="1"/>
  <c r="N27" i="3"/>
  <c r="L27" i="3"/>
  <c r="J27" i="3"/>
  <c r="I27" i="3"/>
  <c r="G27" i="3"/>
  <c r="E27" i="3"/>
  <c r="C27" i="3"/>
  <c r="Z26" i="3"/>
  <c r="N26" i="3"/>
  <c r="L26" i="3"/>
  <c r="Y26" i="3" s="1"/>
  <c r="J26" i="3"/>
  <c r="I26" i="3"/>
  <c r="Q26" i="3" s="1"/>
  <c r="X26" i="3" s="1"/>
  <c r="G26" i="3"/>
  <c r="E26" i="3"/>
  <c r="C26" i="3"/>
  <c r="N25" i="3"/>
  <c r="L25" i="3"/>
  <c r="Z25" i="3" s="1"/>
  <c r="J25" i="3"/>
  <c r="I25" i="3"/>
  <c r="G25" i="3"/>
  <c r="W25" i="3" s="1"/>
  <c r="E25" i="3"/>
  <c r="C25" i="3"/>
  <c r="N24" i="3"/>
  <c r="L24" i="3"/>
  <c r="Y24" i="3" s="1"/>
  <c r="J24" i="3"/>
  <c r="Q24" i="3" s="1"/>
  <c r="X24" i="3" s="1"/>
  <c r="I24" i="3"/>
  <c r="G24" i="3"/>
  <c r="E24" i="3"/>
  <c r="C24" i="3"/>
  <c r="Y23" i="3"/>
  <c r="X23" i="3"/>
  <c r="W23" i="3"/>
  <c r="Q23" i="3"/>
  <c r="N23" i="3"/>
  <c r="L23" i="3"/>
  <c r="Z23" i="3" s="1"/>
  <c r="J23" i="3"/>
  <c r="I23" i="3"/>
  <c r="G23" i="3"/>
  <c r="E23" i="3"/>
  <c r="C23" i="3"/>
  <c r="Z22" i="3"/>
  <c r="N22" i="3"/>
  <c r="L22" i="3"/>
  <c r="Y22" i="3" s="1"/>
  <c r="J22" i="3"/>
  <c r="I22" i="3"/>
  <c r="Q22" i="3" s="1"/>
  <c r="X22" i="3" s="1"/>
  <c r="G22" i="3"/>
  <c r="E22" i="3"/>
  <c r="C22" i="3"/>
  <c r="N21" i="3"/>
  <c r="L21" i="3"/>
  <c r="J21" i="3"/>
  <c r="I21" i="3"/>
  <c r="Q21" i="3" s="1"/>
  <c r="X21" i="3" s="1"/>
  <c r="G21" i="3"/>
  <c r="W21" i="3" s="1"/>
  <c r="E21" i="3"/>
  <c r="C21" i="3"/>
  <c r="N20" i="3"/>
  <c r="L20" i="3"/>
  <c r="Y20" i="3" s="1"/>
  <c r="J20" i="3"/>
  <c r="Q20" i="3" s="1"/>
  <c r="X20" i="3" s="1"/>
  <c r="I20" i="3"/>
  <c r="G20" i="3"/>
  <c r="E20" i="3"/>
  <c r="C20" i="3"/>
  <c r="N19" i="3"/>
  <c r="L19" i="3"/>
  <c r="Z19" i="3" s="1"/>
  <c r="J19" i="3"/>
  <c r="I19" i="3"/>
  <c r="G19" i="3"/>
  <c r="W19" i="3" s="1"/>
  <c r="E19" i="3"/>
  <c r="C19" i="3"/>
  <c r="N18" i="3"/>
  <c r="L18" i="3"/>
  <c r="Y18" i="3" s="1"/>
  <c r="J18" i="3"/>
  <c r="Q18" i="3" s="1"/>
  <c r="X18" i="3" s="1"/>
  <c r="I18" i="3"/>
  <c r="G18" i="3"/>
  <c r="E18" i="3"/>
  <c r="C18" i="3"/>
  <c r="Y17" i="3"/>
  <c r="N17" i="3"/>
  <c r="L17" i="3"/>
  <c r="Z17" i="3" s="1"/>
  <c r="J17" i="3"/>
  <c r="I17" i="3"/>
  <c r="G17" i="3"/>
  <c r="W17" i="3" s="1"/>
  <c r="E17" i="3"/>
  <c r="C17" i="3"/>
  <c r="Q16" i="3"/>
  <c r="X16" i="3" s="1"/>
  <c r="N16" i="3"/>
  <c r="L16" i="3"/>
  <c r="Y16" i="3" s="1"/>
  <c r="J16" i="3"/>
  <c r="I16" i="3"/>
  <c r="G16" i="3"/>
  <c r="E16" i="3"/>
  <c r="C16" i="3"/>
  <c r="Y15" i="3"/>
  <c r="W15" i="3"/>
  <c r="Q15" i="3"/>
  <c r="X15" i="3" s="1"/>
  <c r="N15" i="3"/>
  <c r="L15" i="3"/>
  <c r="Z15" i="3" s="1"/>
  <c r="J15" i="3"/>
  <c r="I15" i="3"/>
  <c r="G15" i="3"/>
  <c r="E15" i="3"/>
  <c r="C15" i="3"/>
  <c r="N14" i="3"/>
  <c r="L14" i="3"/>
  <c r="J14" i="3"/>
  <c r="I14" i="3"/>
  <c r="Q14" i="3" s="1"/>
  <c r="G14" i="3"/>
  <c r="W14" i="3" s="1"/>
  <c r="E14" i="3"/>
  <c r="C14" i="3"/>
  <c r="Y13" i="3"/>
  <c r="Q13" i="3"/>
  <c r="N13" i="3"/>
  <c r="L13" i="3"/>
  <c r="Z13" i="3" s="1"/>
  <c r="J13" i="3"/>
  <c r="I13" i="3"/>
  <c r="G13" i="3"/>
  <c r="E13" i="3"/>
  <c r="C13" i="3"/>
  <c r="N12" i="3"/>
  <c r="L12" i="3"/>
  <c r="J12" i="3"/>
  <c r="I12" i="3"/>
  <c r="G12" i="3"/>
  <c r="W12" i="3" s="1"/>
  <c r="E12" i="3"/>
  <c r="C12" i="3"/>
  <c r="N11" i="3"/>
  <c r="L11" i="3"/>
  <c r="Z11" i="3" s="1"/>
  <c r="J11" i="3"/>
  <c r="Q11" i="3" s="1"/>
  <c r="I11" i="3"/>
  <c r="G11" i="3"/>
  <c r="E11" i="3"/>
  <c r="C11" i="3"/>
  <c r="Z10" i="3"/>
  <c r="N10" i="3"/>
  <c r="L10" i="3"/>
  <c r="Y10" i="3" s="1"/>
  <c r="J10" i="3"/>
  <c r="I10" i="3"/>
  <c r="Q10" i="3" s="1"/>
  <c r="G10" i="3"/>
  <c r="E10" i="3"/>
  <c r="C10" i="3"/>
  <c r="N9" i="3"/>
  <c r="L9" i="3"/>
  <c r="J9" i="3"/>
  <c r="I9" i="3"/>
  <c r="Q9" i="3" s="1"/>
  <c r="X9" i="3" s="1"/>
  <c r="G9" i="3"/>
  <c r="W9" i="3" s="1"/>
  <c r="E9" i="3"/>
  <c r="C9" i="3"/>
  <c r="Z8" i="3"/>
  <c r="Q8" i="3"/>
  <c r="N8" i="3"/>
  <c r="L8" i="3"/>
  <c r="Y8" i="3" s="1"/>
  <c r="J8" i="3"/>
  <c r="I8" i="3"/>
  <c r="G8" i="3"/>
  <c r="E8" i="3"/>
  <c r="C8" i="3"/>
  <c r="N7" i="3"/>
  <c r="L7" i="3"/>
  <c r="J7" i="3"/>
  <c r="I7" i="3"/>
  <c r="Q7" i="3" s="1"/>
  <c r="G7" i="3"/>
  <c r="W7" i="3" s="1"/>
  <c r="E7" i="3"/>
  <c r="C7" i="3"/>
  <c r="N6" i="3"/>
  <c r="L6" i="3"/>
  <c r="Y6" i="3" s="1"/>
  <c r="J6" i="3"/>
  <c r="I6" i="3"/>
  <c r="Q6" i="3" s="1"/>
  <c r="X6" i="3" s="1"/>
  <c r="G6" i="3"/>
  <c r="W6" i="3" s="1"/>
  <c r="E6" i="3"/>
  <c r="C6" i="3"/>
  <c r="N5" i="3"/>
  <c r="L5" i="3"/>
  <c r="J5" i="3"/>
  <c r="I5" i="3"/>
  <c r="G5" i="3"/>
  <c r="W5" i="3" s="1"/>
  <c r="E5" i="3"/>
  <c r="C5" i="3"/>
  <c r="Z7" i="11"/>
  <c r="Y7" i="11"/>
  <c r="V15" i="7"/>
  <c r="S12" i="9"/>
  <c r="V7" i="7"/>
  <c r="X11" i="5"/>
  <c r="Z13" i="11"/>
  <c r="Z11" i="11"/>
  <c r="Y11" i="11"/>
  <c r="S8" i="9"/>
  <c r="Y13" i="11"/>
  <c r="X9" i="5"/>
  <c r="V5" i="7"/>
  <c r="Z6" i="11"/>
  <c r="Y6" i="11"/>
  <c r="S9" i="9"/>
  <c r="S15" i="9"/>
  <c r="S7" i="9"/>
  <c r="W11" i="5"/>
  <c r="Y10" i="11"/>
  <c r="S10" i="9"/>
  <c r="S13" i="9"/>
  <c r="Z10" i="11"/>
  <c r="X7" i="5"/>
  <c r="W9" i="5"/>
  <c r="X6" i="5"/>
  <c r="V8" i="7"/>
  <c r="V6" i="7"/>
  <c r="Y13" i="4" l="1"/>
  <c r="W13" i="4"/>
  <c r="X13" i="4" s="1"/>
  <c r="X11" i="4"/>
  <c r="X6" i="4"/>
  <c r="U15" i="5"/>
  <c r="AB6" i="11"/>
  <c r="AA6" i="11"/>
  <c r="W6" i="11"/>
  <c r="X6" i="11" s="1"/>
  <c r="O14" i="15"/>
  <c r="S14" i="15" s="1"/>
  <c r="Q28" i="4"/>
  <c r="X28" i="4" s="1"/>
  <c r="J15" i="5"/>
  <c r="L15" i="5"/>
  <c r="Z16" i="3"/>
  <c r="Q29" i="3"/>
  <c r="X29" i="3" s="1"/>
  <c r="O8" i="8"/>
  <c r="U8" i="8" s="1"/>
  <c r="O14" i="8"/>
  <c r="U14" i="8" s="1"/>
  <c r="Y30" i="3"/>
  <c r="Z30" i="3"/>
  <c r="O9" i="13"/>
  <c r="T9" i="13" s="1"/>
  <c r="O29" i="13"/>
  <c r="T29" i="13" s="1"/>
  <c r="O13" i="15"/>
  <c r="S13" i="15" s="1"/>
  <c r="R27" i="15"/>
  <c r="Z19" i="4"/>
  <c r="Y19" i="4"/>
  <c r="O16" i="9"/>
  <c r="R16" i="9" s="1"/>
  <c r="Q28" i="5"/>
  <c r="V28" i="5" s="1"/>
  <c r="O11" i="12"/>
  <c r="T11" i="12" s="1"/>
  <c r="W11" i="3"/>
  <c r="X11" i="3" s="1"/>
  <c r="L17" i="11"/>
  <c r="I17" i="11"/>
  <c r="Q17" i="11" s="1"/>
  <c r="X17" i="11" s="1"/>
  <c r="Q9" i="4"/>
  <c r="X9" i="4" s="1"/>
  <c r="I7" i="5"/>
  <c r="Q7" i="5" s="1"/>
  <c r="O7" i="10"/>
  <c r="U7" i="10" s="1"/>
  <c r="Q30" i="3"/>
  <c r="X30" i="3" s="1"/>
  <c r="I24" i="5"/>
  <c r="Q24" i="5" s="1"/>
  <c r="V24" i="5" s="1"/>
  <c r="W18" i="5"/>
  <c r="X18" i="5"/>
  <c r="I18" i="5"/>
  <c r="L18" i="5"/>
  <c r="J18" i="5"/>
  <c r="Q24" i="4"/>
  <c r="X24" i="4" s="1"/>
  <c r="V17" i="7"/>
  <c r="Z27" i="3"/>
  <c r="W27" i="3"/>
  <c r="Y27" i="3"/>
  <c r="T6" i="7"/>
  <c r="U6" i="7" s="1"/>
  <c r="U9" i="8"/>
  <c r="O30" i="8"/>
  <c r="U30" i="8" s="1"/>
  <c r="O26" i="13"/>
  <c r="T26" i="13" s="1"/>
  <c r="Q19" i="3"/>
  <c r="X19" i="3" s="1"/>
  <c r="Z11" i="4"/>
  <c r="Y11" i="4"/>
  <c r="W19" i="4"/>
  <c r="Q5" i="9"/>
  <c r="O23" i="10"/>
  <c r="U23" i="10" s="1"/>
  <c r="Z25" i="4"/>
  <c r="Y25" i="4"/>
  <c r="O26" i="10"/>
  <c r="U26" i="10" s="1"/>
  <c r="O22" i="6"/>
  <c r="U22" i="6" s="1"/>
  <c r="J5" i="9"/>
  <c r="O5" i="9" s="1"/>
  <c r="R5" i="9" s="1"/>
  <c r="J17" i="11"/>
  <c r="Y11" i="3"/>
  <c r="U12" i="5"/>
  <c r="O16" i="6"/>
  <c r="U16" i="6" s="1"/>
  <c r="O9" i="9"/>
  <c r="Q9" i="9"/>
  <c r="Q7" i="11"/>
  <c r="W7" i="11"/>
  <c r="AB19" i="11"/>
  <c r="AA19" i="11"/>
  <c r="O26" i="8"/>
  <c r="U26" i="8" s="1"/>
  <c r="T9" i="10"/>
  <c r="U9" i="10" s="1"/>
  <c r="S30" i="14"/>
  <c r="O30" i="14"/>
  <c r="T30" i="14" s="1"/>
  <c r="O23" i="8"/>
  <c r="U23" i="8" s="1"/>
  <c r="O21" i="10"/>
  <c r="U21" i="10" s="1"/>
  <c r="Z6" i="3"/>
  <c r="Q12" i="4"/>
  <c r="X12" i="4" s="1"/>
  <c r="Y17" i="11"/>
  <c r="O10" i="10"/>
  <c r="U10" i="10" s="1"/>
  <c r="R25" i="16"/>
  <c r="O25" i="16"/>
  <c r="S25" i="16" s="1"/>
  <c r="Z6" i="4"/>
  <c r="U10" i="5"/>
  <c r="I30" i="5"/>
  <c r="Q30" i="5" s="1"/>
  <c r="V30" i="5" s="1"/>
  <c r="S7" i="16"/>
  <c r="X15" i="4"/>
  <c r="L7" i="5"/>
  <c r="U7" i="5" s="1"/>
  <c r="W15" i="11"/>
  <c r="T14" i="7"/>
  <c r="U14" i="7" s="1"/>
  <c r="AB25" i="11"/>
  <c r="W25" i="11"/>
  <c r="AA25" i="11"/>
  <c r="L10" i="5"/>
  <c r="O11" i="6"/>
  <c r="U11" i="6" s="1"/>
  <c r="V20" i="7"/>
  <c r="T20" i="7"/>
  <c r="J15" i="11"/>
  <c r="L15" i="11"/>
  <c r="O6" i="14"/>
  <c r="T6" i="14" s="1"/>
  <c r="Z21" i="3"/>
  <c r="Y21" i="3"/>
  <c r="Q27" i="5"/>
  <c r="V27" i="5" s="1"/>
  <c r="V12" i="7"/>
  <c r="T12" i="7"/>
  <c r="U12" i="7" s="1"/>
  <c r="W16" i="3"/>
  <c r="O15" i="7"/>
  <c r="T15" i="7"/>
  <c r="O17" i="12"/>
  <c r="T17" i="12" s="1"/>
  <c r="AB10" i="11"/>
  <c r="AA10" i="11"/>
  <c r="R10" i="15"/>
  <c r="O10" i="15"/>
  <c r="S10" i="15" s="1"/>
  <c r="I15" i="5"/>
  <c r="R8" i="9"/>
  <c r="O20" i="10"/>
  <c r="U20" i="10" s="1"/>
  <c r="Q25" i="3"/>
  <c r="X25" i="3" s="1"/>
  <c r="T25" i="6"/>
  <c r="O25" i="6"/>
  <c r="U25" i="6" s="1"/>
  <c r="S7" i="15"/>
  <c r="I12" i="5"/>
  <c r="O12" i="10"/>
  <c r="U12" i="10" s="1"/>
  <c r="I30" i="9"/>
  <c r="Q30" i="9" s="1"/>
  <c r="J30" i="9"/>
  <c r="X7" i="3"/>
  <c r="I10" i="5"/>
  <c r="I15" i="11"/>
  <c r="Q15" i="11" s="1"/>
  <c r="Q7" i="4"/>
  <c r="W7" i="4"/>
  <c r="U14" i="6"/>
  <c r="U5" i="6"/>
  <c r="O9" i="7"/>
  <c r="U9" i="7" s="1"/>
  <c r="Z30" i="4"/>
  <c r="U6" i="8"/>
  <c r="S24" i="9"/>
  <c r="Q24" i="9"/>
  <c r="I24" i="9"/>
  <c r="O24" i="9" s="1"/>
  <c r="R24" i="9" s="1"/>
  <c r="J24" i="9"/>
  <c r="O24" i="12"/>
  <c r="T24" i="12" s="1"/>
  <c r="O21" i="12"/>
  <c r="T21" i="12" s="1"/>
  <c r="S21" i="12"/>
  <c r="X14" i="3"/>
  <c r="W22" i="5"/>
  <c r="L22" i="5"/>
  <c r="U22" i="5" s="1"/>
  <c r="J22" i="5"/>
  <c r="Q22" i="5" s="1"/>
  <c r="V22" i="5" s="1"/>
  <c r="X22" i="5"/>
  <c r="O28" i="8"/>
  <c r="U28" i="8" s="1"/>
  <c r="Y14" i="3"/>
  <c r="Z14" i="3"/>
  <c r="O8" i="12"/>
  <c r="T8" i="12" s="1"/>
  <c r="O15" i="10"/>
  <c r="U15" i="10" s="1"/>
  <c r="Q17" i="4"/>
  <c r="X17" i="4" s="1"/>
  <c r="J12" i="5"/>
  <c r="Z9" i="3"/>
  <c r="Y9" i="3"/>
  <c r="O19" i="6"/>
  <c r="U19" i="6" s="1"/>
  <c r="AA14" i="11"/>
  <c r="AB14" i="11"/>
  <c r="Q19" i="11"/>
  <c r="X19" i="11" s="1"/>
  <c r="Z14" i="4"/>
  <c r="O12" i="14"/>
  <c r="T12" i="14" s="1"/>
  <c r="Z17" i="11"/>
  <c r="Y12" i="4"/>
  <c r="Z12" i="4"/>
  <c r="W30" i="5"/>
  <c r="X30" i="5"/>
  <c r="L30" i="5"/>
  <c r="Z9" i="4"/>
  <c r="Y9" i="4"/>
  <c r="T8" i="13"/>
  <c r="S9" i="14"/>
  <c r="O9" i="14"/>
  <c r="T9" i="14" s="1"/>
  <c r="J10" i="5"/>
  <c r="J12" i="11"/>
  <c r="I12" i="11"/>
  <c r="Q12" i="11" s="1"/>
  <c r="L12" i="11"/>
  <c r="W24" i="5"/>
  <c r="X24" i="5"/>
  <c r="O17" i="7"/>
  <c r="U17" i="7" s="1"/>
  <c r="AA9" i="11"/>
  <c r="AB9" i="11"/>
  <c r="L24" i="5"/>
  <c r="W13" i="3"/>
  <c r="X13" i="3" s="1"/>
  <c r="Z18" i="3"/>
  <c r="I19" i="5"/>
  <c r="X25" i="5"/>
  <c r="W25" i="5"/>
  <c r="U25" i="5"/>
  <c r="T30" i="6"/>
  <c r="Q12" i="9"/>
  <c r="O12" i="9"/>
  <c r="R12" i="9" s="1"/>
  <c r="R21" i="15"/>
  <c r="J5" i="5"/>
  <c r="Q5" i="5" s="1"/>
  <c r="V5" i="5" s="1"/>
  <c r="O11" i="15"/>
  <c r="R11" i="15"/>
  <c r="O17" i="13"/>
  <c r="T17" i="13" s="1"/>
  <c r="R26" i="16"/>
  <c r="O26" i="16"/>
  <c r="S26" i="16" s="1"/>
  <c r="W28" i="3"/>
  <c r="Q10" i="4"/>
  <c r="X10" i="4" s="1"/>
  <c r="Q23" i="4"/>
  <c r="X23" i="4" s="1"/>
  <c r="T14" i="6"/>
  <c r="T20" i="6"/>
  <c r="T23" i="6"/>
  <c r="O12" i="8"/>
  <c r="U12" i="8" s="1"/>
  <c r="O18" i="8"/>
  <c r="U18" i="8" s="1"/>
  <c r="O28" i="10"/>
  <c r="U28" i="10" s="1"/>
  <c r="I8" i="11"/>
  <c r="Q8" i="11" s="1"/>
  <c r="S13" i="12"/>
  <c r="O14" i="13"/>
  <c r="T14" i="13" s="1"/>
  <c r="O19" i="16"/>
  <c r="S19" i="16" s="1"/>
  <c r="S29" i="12"/>
  <c r="T9" i="8"/>
  <c r="O15" i="8"/>
  <c r="U15" i="8" s="1"/>
  <c r="U22" i="10"/>
  <c r="L29" i="11"/>
  <c r="Z29" i="11"/>
  <c r="Y29" i="11"/>
  <c r="W29" i="11"/>
  <c r="T12" i="12"/>
  <c r="U7" i="7"/>
  <c r="S17" i="9"/>
  <c r="Q17" i="9"/>
  <c r="J17" i="9"/>
  <c r="I17" i="9"/>
  <c r="X17" i="5"/>
  <c r="W17" i="5"/>
  <c r="I17" i="5"/>
  <c r="O24" i="7"/>
  <c r="U24" i="7" s="1"/>
  <c r="Z28" i="4"/>
  <c r="Y25" i="3"/>
  <c r="W5" i="4"/>
  <c r="Q5" i="4"/>
  <c r="O21" i="9"/>
  <c r="R21" i="9" s="1"/>
  <c r="L5" i="11"/>
  <c r="W5" i="11"/>
  <c r="L8" i="11"/>
  <c r="Q29" i="11"/>
  <c r="X29" i="11" s="1"/>
  <c r="S7" i="13"/>
  <c r="O7" i="13"/>
  <c r="T7" i="13" s="1"/>
  <c r="O11" i="13"/>
  <c r="S11" i="13"/>
  <c r="Q5" i="3"/>
  <c r="X5" i="3" s="1"/>
  <c r="Y28" i="3"/>
  <c r="Z28" i="3"/>
  <c r="Q29" i="4"/>
  <c r="X29" i="4" s="1"/>
  <c r="T9" i="6"/>
  <c r="O12" i="6"/>
  <c r="T12" i="6"/>
  <c r="J14" i="9"/>
  <c r="I14" i="9"/>
  <c r="O14" i="9" s="1"/>
  <c r="Q14" i="9"/>
  <c r="J21" i="9"/>
  <c r="I5" i="11"/>
  <c r="Q5" i="11" s="1"/>
  <c r="Q21" i="11"/>
  <c r="X21" i="11" s="1"/>
  <c r="AA26" i="11"/>
  <c r="AB26" i="11"/>
  <c r="J29" i="11"/>
  <c r="O13" i="12"/>
  <c r="T13" i="12" s="1"/>
  <c r="O21" i="14"/>
  <c r="T21" i="14" s="1"/>
  <c r="S28" i="14"/>
  <c r="O13" i="16"/>
  <c r="S13" i="16" s="1"/>
  <c r="O5" i="12"/>
  <c r="S5" i="12"/>
  <c r="O18" i="15"/>
  <c r="S18" i="15" s="1"/>
  <c r="L28" i="11"/>
  <c r="J28" i="11"/>
  <c r="Z28" i="11"/>
  <c r="Y28" i="11"/>
  <c r="I28" i="11"/>
  <c r="Q28" i="11" s="1"/>
  <c r="X28" i="11" s="1"/>
  <c r="O23" i="13"/>
  <c r="T23" i="13" s="1"/>
  <c r="S23" i="13"/>
  <c r="J6" i="9"/>
  <c r="I6" i="9"/>
  <c r="O6" i="9" s="1"/>
  <c r="O10" i="13"/>
  <c r="T10" i="13" s="1"/>
  <c r="U14" i="5"/>
  <c r="T24" i="7"/>
  <c r="V24" i="7"/>
  <c r="Z7" i="3"/>
  <c r="Y7" i="3"/>
  <c r="L5" i="5"/>
  <c r="U5" i="5" s="1"/>
  <c r="I14" i="5"/>
  <c r="W13" i="11"/>
  <c r="Q13" i="11"/>
  <c r="X13" i="11" s="1"/>
  <c r="R15" i="15"/>
  <c r="O15" i="15"/>
  <c r="S15" i="15" s="1"/>
  <c r="Q18" i="4"/>
  <c r="X18" i="4" s="1"/>
  <c r="J17" i="5"/>
  <c r="T8" i="6"/>
  <c r="U8" i="6" s="1"/>
  <c r="Y18" i="4"/>
  <c r="Z18" i="4"/>
  <c r="X29" i="5"/>
  <c r="L29" i="5"/>
  <c r="J29" i="5"/>
  <c r="I29" i="5"/>
  <c r="W18" i="3"/>
  <c r="Z20" i="3"/>
  <c r="Z5" i="4"/>
  <c r="Y5" i="4"/>
  <c r="U9" i="6"/>
  <c r="V19" i="7"/>
  <c r="T19" i="7"/>
  <c r="T30" i="7"/>
  <c r="V30" i="7"/>
  <c r="J5" i="11"/>
  <c r="O20" i="16"/>
  <c r="S20" i="16" s="1"/>
  <c r="O28" i="6"/>
  <c r="U28" i="6" s="1"/>
  <c r="J14" i="5"/>
  <c r="W26" i="3"/>
  <c r="W16" i="4"/>
  <c r="O30" i="7"/>
  <c r="U30" i="7" s="1"/>
  <c r="I11" i="9"/>
  <c r="O11" i="9" s="1"/>
  <c r="Q21" i="9"/>
  <c r="S29" i="9"/>
  <c r="Q29" i="9"/>
  <c r="S15" i="14"/>
  <c r="T15" i="14" s="1"/>
  <c r="R7" i="16"/>
  <c r="O19" i="7"/>
  <c r="U19" i="7" s="1"/>
  <c r="O11" i="8"/>
  <c r="U11" i="8" s="1"/>
  <c r="W10" i="11"/>
  <c r="X10" i="11" s="1"/>
  <c r="Y21" i="11"/>
  <c r="W21" i="11"/>
  <c r="S7" i="12"/>
  <c r="T7" i="12" s="1"/>
  <c r="AB13" i="11"/>
  <c r="AA13" i="11"/>
  <c r="S8" i="15"/>
  <c r="W22" i="3"/>
  <c r="I8" i="5"/>
  <c r="U8" i="5" s="1"/>
  <c r="V13" i="7"/>
  <c r="T13" i="7"/>
  <c r="O18" i="12"/>
  <c r="T18" i="12" s="1"/>
  <c r="L13" i="5"/>
  <c r="J13" i="5"/>
  <c r="I13" i="5"/>
  <c r="T15" i="6"/>
  <c r="T7" i="8"/>
  <c r="T21" i="8"/>
  <c r="O21" i="8"/>
  <c r="U21" i="8" s="1"/>
  <c r="O23" i="16"/>
  <c r="S23" i="16" s="1"/>
  <c r="Z5" i="3"/>
  <c r="Y5" i="3"/>
  <c r="W10" i="3"/>
  <c r="X10" i="3" s="1"/>
  <c r="Y12" i="3"/>
  <c r="Z12" i="3"/>
  <c r="J8" i="5"/>
  <c r="I23" i="5"/>
  <c r="Q23" i="5" s="1"/>
  <c r="V23" i="5" s="1"/>
  <c r="T7" i="6"/>
  <c r="U7" i="6" s="1"/>
  <c r="O15" i="6"/>
  <c r="U15" i="6" s="1"/>
  <c r="O7" i="8"/>
  <c r="T5" i="10"/>
  <c r="O5" i="10"/>
  <c r="O27" i="10"/>
  <c r="U27" i="10" s="1"/>
  <c r="O15" i="12"/>
  <c r="T15" i="12" s="1"/>
  <c r="S16" i="14"/>
  <c r="O22" i="14"/>
  <c r="T22" i="14" s="1"/>
  <c r="R8" i="16"/>
  <c r="S8" i="16" s="1"/>
  <c r="S5" i="13"/>
  <c r="T5" i="13" s="1"/>
  <c r="S19" i="14"/>
  <c r="R25" i="15"/>
  <c r="O11" i="16"/>
  <c r="S11" i="16" s="1"/>
  <c r="O17" i="16"/>
  <c r="S17" i="16" s="1"/>
  <c r="S25" i="14"/>
  <c r="O25" i="14"/>
  <c r="T25" i="14" s="1"/>
  <c r="Q28" i="9"/>
  <c r="S28" i="9"/>
  <c r="W16" i="5"/>
  <c r="U16" i="5"/>
  <c r="O8" i="7"/>
  <c r="U8" i="7" s="1"/>
  <c r="O13" i="7"/>
  <c r="U13" i="7" s="1"/>
  <c r="Q22" i="9"/>
  <c r="J22" i="9"/>
  <c r="I28" i="9"/>
  <c r="O25" i="12"/>
  <c r="T25" i="12" s="1"/>
  <c r="Q12" i="3"/>
  <c r="X12" i="3" s="1"/>
  <c r="W28" i="5"/>
  <c r="Q16" i="9"/>
  <c r="Z24" i="3"/>
  <c r="L6" i="5"/>
  <c r="U6" i="5" s="1"/>
  <c r="J6" i="5"/>
  <c r="O23" i="7"/>
  <c r="U23" i="7" s="1"/>
  <c r="O13" i="8"/>
  <c r="U13" i="8" s="1"/>
  <c r="I22" i="9"/>
  <c r="J28" i="9"/>
  <c r="O19" i="10"/>
  <c r="U19" i="10" s="1"/>
  <c r="S21" i="13"/>
  <c r="S14" i="16"/>
  <c r="Z24" i="4"/>
  <c r="Q17" i="3"/>
  <c r="X17" i="3" s="1"/>
  <c r="Z27" i="4"/>
  <c r="Y27" i="4"/>
  <c r="Y29" i="4"/>
  <c r="I16" i="5"/>
  <c r="J28" i="5"/>
  <c r="J16" i="9"/>
  <c r="T22" i="10"/>
  <c r="X11" i="11"/>
  <c r="S30" i="13"/>
  <c r="O28" i="15"/>
  <c r="S28" i="15" s="1"/>
  <c r="W20" i="3"/>
  <c r="Z10" i="4"/>
  <c r="Y17" i="4"/>
  <c r="I6" i="5"/>
  <c r="J16" i="5"/>
  <c r="W26" i="5"/>
  <c r="U26" i="5"/>
  <c r="L28" i="5"/>
  <c r="U28" i="5" s="1"/>
  <c r="T21" i="7"/>
  <c r="I9" i="11"/>
  <c r="W14" i="11"/>
  <c r="X14" i="11" s="1"/>
  <c r="O9" i="12"/>
  <c r="T9" i="12" s="1"/>
  <c r="O19" i="12"/>
  <c r="T19" i="12" s="1"/>
  <c r="S7" i="14"/>
  <c r="Y19" i="3"/>
  <c r="W6" i="4"/>
  <c r="W15" i="4"/>
  <c r="Z22" i="4"/>
  <c r="W25" i="4"/>
  <c r="L16" i="5"/>
  <c r="T5" i="6"/>
  <c r="V11" i="7"/>
  <c r="T11" i="7"/>
  <c r="U11" i="7" s="1"/>
  <c r="T23" i="7"/>
  <c r="Q10" i="9"/>
  <c r="J10" i="9"/>
  <c r="O10" i="9" s="1"/>
  <c r="R10" i="9" s="1"/>
  <c r="S22" i="9"/>
  <c r="J9" i="11"/>
  <c r="S16" i="12"/>
  <c r="T7" i="14"/>
  <c r="S23" i="14"/>
  <c r="O5" i="15"/>
  <c r="S5" i="15" s="1"/>
  <c r="AB7" i="11"/>
  <c r="AA7" i="11"/>
  <c r="O27" i="12"/>
  <c r="T27" i="12" s="1"/>
  <c r="R17" i="15"/>
  <c r="R26" i="15"/>
  <c r="O29" i="15"/>
  <c r="S29" i="15" s="1"/>
  <c r="R24" i="16"/>
  <c r="T10" i="7"/>
  <c r="U10" i="7" s="1"/>
  <c r="I23" i="9"/>
  <c r="Z26" i="11"/>
  <c r="Y26" i="11"/>
  <c r="W26" i="11"/>
  <c r="W8" i="3"/>
  <c r="X8" i="3" s="1"/>
  <c r="W24" i="3"/>
  <c r="W14" i="4"/>
  <c r="X14" i="4" s="1"/>
  <c r="W30" i="4"/>
  <c r="W20" i="5"/>
  <c r="U20" i="5"/>
  <c r="O22" i="7"/>
  <c r="U22" i="7" s="1"/>
  <c r="O24" i="8"/>
  <c r="U24" i="8" s="1"/>
  <c r="J23" i="9"/>
  <c r="O8" i="10"/>
  <c r="U8" i="10" s="1"/>
  <c r="L16" i="11"/>
  <c r="J16" i="11"/>
  <c r="J24" i="11"/>
  <c r="I24" i="11"/>
  <c r="I26" i="11"/>
  <c r="O25" i="13"/>
  <c r="T25" i="13" s="1"/>
  <c r="O23" i="15"/>
  <c r="S23" i="15" s="1"/>
  <c r="R15" i="16"/>
  <c r="S15" i="16" s="1"/>
  <c r="O24" i="16"/>
  <c r="S24" i="16" s="1"/>
  <c r="O27" i="16"/>
  <c r="S27" i="16" s="1"/>
  <c r="I22" i="11"/>
  <c r="Q22" i="11" s="1"/>
  <c r="X22" i="11" s="1"/>
  <c r="T21" i="6"/>
  <c r="T19" i="8"/>
  <c r="J26" i="9"/>
  <c r="I26" i="9"/>
  <c r="I16" i="11"/>
  <c r="Q16" i="11" s="1"/>
  <c r="X16" i="11" s="1"/>
  <c r="I20" i="11"/>
  <c r="L22" i="11"/>
  <c r="L24" i="11"/>
  <c r="J26" i="11"/>
  <c r="S11" i="14"/>
  <c r="T11" i="14" s="1"/>
  <c r="S20" i="14"/>
  <c r="S11" i="9"/>
  <c r="S14" i="9"/>
  <c r="X10" i="5"/>
  <c r="Z5" i="11"/>
  <c r="W15" i="5"/>
  <c r="Y14" i="11"/>
  <c r="X5" i="5"/>
  <c r="W6" i="5"/>
  <c r="Z9" i="11"/>
  <c r="W8" i="5"/>
  <c r="X8" i="5"/>
  <c r="W14" i="5"/>
  <c r="Y15" i="11"/>
  <c r="Z14" i="11"/>
  <c r="Y12" i="11"/>
  <c r="Z12" i="11"/>
  <c r="S5" i="9"/>
  <c r="W5" i="5"/>
  <c r="X13" i="5"/>
  <c r="Z8" i="11"/>
  <c r="Y5" i="11"/>
  <c r="X14" i="5"/>
  <c r="Z15" i="11"/>
  <c r="Y8" i="11"/>
  <c r="X15" i="5"/>
  <c r="S6" i="9"/>
  <c r="Y9" i="11"/>
  <c r="W7" i="5"/>
  <c r="W12" i="5"/>
  <c r="W10" i="5"/>
  <c r="W13" i="5"/>
  <c r="X12" i="5"/>
  <c r="T11" i="13" l="1"/>
  <c r="Q9" i="11"/>
  <c r="AB24" i="11"/>
  <c r="AA24" i="11"/>
  <c r="S11" i="15"/>
  <c r="W9" i="11"/>
  <c r="AA5" i="11"/>
  <c r="AB5" i="11"/>
  <c r="X15" i="11"/>
  <c r="W12" i="11"/>
  <c r="O22" i="9"/>
  <c r="R22" i="9" s="1"/>
  <c r="W8" i="11"/>
  <c r="U29" i="5"/>
  <c r="Q29" i="5"/>
  <c r="V29" i="5" s="1"/>
  <c r="X5" i="11"/>
  <c r="Q6" i="5"/>
  <c r="V6" i="5" s="1"/>
  <c r="Q6" i="9"/>
  <c r="R6" i="9" s="1"/>
  <c r="X5" i="4"/>
  <c r="Q10" i="5"/>
  <c r="V10" i="5" s="1"/>
  <c r="AA22" i="11"/>
  <c r="AB22" i="11"/>
  <c r="U23" i="5"/>
  <c r="T5" i="12"/>
  <c r="W20" i="11"/>
  <c r="Q20" i="11"/>
  <c r="X20" i="11" s="1"/>
  <c r="Q18" i="5"/>
  <c r="V18" i="5" s="1"/>
  <c r="AB15" i="11"/>
  <c r="AA15" i="11"/>
  <c r="Q26" i="11"/>
  <c r="X26" i="11" s="1"/>
  <c r="U5" i="10"/>
  <c r="AA16" i="11"/>
  <c r="AB16" i="11"/>
  <c r="W17" i="11"/>
  <c r="AB29" i="11"/>
  <c r="AA29" i="11"/>
  <c r="X7" i="4"/>
  <c r="O26" i="9"/>
  <c r="R26" i="9" s="1"/>
  <c r="Q26" i="9"/>
  <c r="W22" i="11"/>
  <c r="U13" i="5"/>
  <c r="Q13" i="5"/>
  <c r="V13" i="5" s="1"/>
  <c r="X8" i="11"/>
  <c r="Q17" i="5"/>
  <c r="V17" i="5" s="1"/>
  <c r="Q24" i="11"/>
  <c r="X24" i="11" s="1"/>
  <c r="W24" i="11"/>
  <c r="Q16" i="5"/>
  <c r="V16" i="5" s="1"/>
  <c r="Q8" i="5"/>
  <c r="V8" i="5" s="1"/>
  <c r="AA17" i="11"/>
  <c r="AB17" i="11"/>
  <c r="X7" i="11"/>
  <c r="U15" i="7"/>
  <c r="R9" i="9"/>
  <c r="R14" i="9"/>
  <c r="O30" i="9"/>
  <c r="R30" i="9" s="1"/>
  <c r="U19" i="5"/>
  <c r="Q19" i="5"/>
  <c r="V19" i="5" s="1"/>
  <c r="U18" i="5"/>
  <c r="AB28" i="11"/>
  <c r="AA28" i="11"/>
  <c r="W28" i="11"/>
  <c r="U17" i="5"/>
  <c r="U7" i="8"/>
  <c r="Q11" i="9"/>
  <c r="O17" i="9"/>
  <c r="R17" i="9" s="1"/>
  <c r="W16" i="11"/>
  <c r="AB12" i="11"/>
  <c r="AA12" i="11"/>
  <c r="X12" i="11"/>
  <c r="AA8" i="11"/>
  <c r="AB8" i="11"/>
  <c r="R11" i="9"/>
  <c r="U30" i="5"/>
  <c r="O23" i="9"/>
  <c r="R23" i="9" s="1"/>
  <c r="Q23" i="9"/>
  <c r="Q12" i="5"/>
  <c r="V12" i="5" s="1"/>
  <c r="U12" i="6"/>
  <c r="O28" i="9"/>
  <c r="R28" i="9" s="1"/>
  <c r="Q14" i="5"/>
  <c r="V14" i="5" s="1"/>
  <c r="U24" i="5"/>
  <c r="Q15" i="5"/>
  <c r="V15" i="5" s="1"/>
  <c r="V7" i="5"/>
  <c r="X9" i="11" l="1"/>
</calcChain>
</file>

<file path=xl/sharedStrings.xml><?xml version="1.0" encoding="utf-8"?>
<sst xmlns="http://schemas.openxmlformats.org/spreadsheetml/2006/main" count="2823" uniqueCount="897">
  <si>
    <t>Naming classification-System Families — principi generali</t>
  </si>
  <si>
    <t>Questo file raccoglie la nomenclatura dei Type Name delle famiglie di sistema Revit adottata dal dipartimento, e serve a comporre quei nomi senza doverli inventare ogni volta. Il funzionamento è semplice: si apre la scheda della categoria, si compilano i menu a tendina e il nome esce già formato nell’ultima colonna, pronto da copiare nel tipo. Le quattordici categorie hanno una scheda Generatore ciascuna, con in fondo le note della categoria e le regole di compilazione colonna per colonna; le tabelle che alimentano i menu stanno nel foglio DV e sono modificabili. Le sezioni qui sotto raccolgono i principi che valgono trasversalmente, ognuna con l’indicazione delle categorie a cui si applica.</t>
  </si>
  <si>
    <t>Come si compone il nome</t>
  </si>
  <si>
    <t>Vale per tutte le categorie.</t>
  </si>
  <si>
    <t>Author _ TypeMark _ [(I)]Categoria.Group1.Group2 _ blocco dimensionale _ [REI] _ [WI] _ [Descrizione]</t>
  </si>
  <si>
    <t>I primi tre blocchi ci sono sempre: l’autore della codifica, il Type Mark e la terna Categoria.Group1.Group2. Il blocco dimensionale è presente su tutte le categorie tranne le scale, e cambia forma da una categoria all’altra — l’elenco completo è alla sezione 6. Quello che sta fra parentesi quadre compare solo se compilato, e non vale dappertutto: quali suffissi siano ammessi lo dice la scheda della categoria. Il separatore è sempre il carattere di sottolineatura, anche prima dei blocchi opzionali.</t>
  </si>
  <si>
    <t>Il marcatore (I): gli elementi modellati in place</t>
  </si>
  <si>
    <t>Un elemento modellato in place non è un tipo di una famiglia di sistema: si costruisce dentro il progetto, non si riusa altrove e non compare fra i tipi caricabili. Va però nominato come tutti gli altri, altrimenti in abaco si confonde con i tipi veri.</t>
  </si>
  <si>
    <t>Il marcatore è la sigla (I), parentesi comprese, attaccata al codice di categoria senza nessun separatore. È l’unico blocco del nome che non è preceduto da un carattere di sottolineatura, ed è voluto: (I) non è un blocco a sé, è un prefisso della categoria.</t>
  </si>
  <si>
    <t>e_BW-101_(I)BW.FR.IN_2F.125          parete a telaio interna modellata in place</t>
  </si>
  <si>
    <t xml:space="preserve">  Dove si compila</t>
  </si>
  <si>
    <t>Colonna In Place, subito prima della categoria in ogni scheda generatore. Un solo valore in tendina; la cella vuota è il caso normale.</t>
  </si>
  <si>
    <t xml:space="preserve">  Cosa NON cambia</t>
  </si>
  <si>
    <t>Tutto il resto del nome. Anche un elemento in place ha Group1, Group2, Type Mark e blocco dimensionale, e si compila come gli altri: il marcatore si aggiunge, non sostituisce.</t>
  </si>
  <si>
    <t xml:space="preserve">  Perché serve</t>
  </si>
  <si>
    <t>Gli elementi in place non si riusano e pesano sul modello. Con il marcatore in testa alla terna si isolano in abaco filtrando i nomi che contengono (I).</t>
  </si>
  <si>
    <t>I due gruppi</t>
  </si>
  <si>
    <t>Il Group1 dice come è costruito l’elemento, il Group2 che ruolo ha. Il primo è una lista chiusa — al massimo otto tipologie più Other — perché la sua prima cifra alimenta il Type Mark: GN vale per un sistema non ancora deciso, OT per tutto ciò che resta fuori elenco e obbliga a scrivere il Type Mark a mano. Il Group2 invece non ha limiti di numero, e sulle categorie con stratigrafia indica anche il singolo strato, quando l’elemento è modellato da solo.</t>
  </si>
  <si>
    <t xml:space="preserve">  Liste dipendenti</t>
  </si>
  <si>
    <t>Su 03_RF, 07_ST e 09_WL i menu cambiano con la famiglia di sistema scelta sulla riga. Sulle altre la lista è unica.</t>
  </si>
  <si>
    <t>Il Type Mark</t>
  </si>
  <si>
    <t>Il Type Mark si compone da sé: codice della famiglia di sistema, prima cifra del Group1, due cifre progressive. BW-101 è la prima parete a telaio. La prima cifra si legge nella colonna TM Code del foglio DV; le due che seguono distinguono le varianti di stesso Group1 e stesso Group2.</t>
  </si>
  <si>
    <t xml:space="preserve">  Group1 = OT</t>
  </si>
  <si>
    <t>Type Mark interamente manuale, prefisso compreso. Finiture → prefisso materiale + tre cifre: PT-001 pitture, WD-001 legno, MT-001 metalli. Elenco completo: foglio DV, tabella Mat_Family.</t>
  </si>
  <si>
    <t>Type Mark generico</t>
  </si>
  <si>
    <t>Nelle fasi iniziali capita di dover nominare un tipo prima di averlo deciso: la stratigrafia non è definita e il numero progressivo non si può assegnare. In quel caso si scrive XX al posto delle due cifre, subito dopo la prima.</t>
  </si>
  <si>
    <t>e_BW-1XX_BW.FR.IN_2F.125</t>
  </si>
  <si>
    <t>Appena il tipo è definito si sostituisce con il numero. La colonna TM seq accetta sia i valori da 0 a 99 sia XX.</t>
  </si>
  <si>
    <t>Il blocco dimensionale</t>
  </si>
  <si>
    <t>Cambia da categoria a categoria, e la scheda applica da sé quello giusto.</t>
  </si>
  <si>
    <t xml:space="preserve">  nFin.Spessore</t>
  </si>
  <si>
    <t>01_CL, 02_FL, 03_RF, 09_WL. Facce finite + spessore totale in mm: 2F.125.</t>
  </si>
  <si>
    <t xml:space="preserve">  H{altezza}</t>
  </si>
  <si>
    <t>04_RL. Altezza in mm dal piano di calpestio: H1100.</t>
  </si>
  <si>
    <t xml:space="preserve">  T{spessore}</t>
  </si>
  <si>
    <t>05_RN, 06_LN, 08_RM, 13_CP, 14_TS. Spessore in mm: T200.</t>
  </si>
  <si>
    <t xml:space="preserve">  {b}x{h}  ·  D{Ø}</t>
  </si>
  <si>
    <t>10_CN, 11_TR, 12_HR. Sezione del profilo in mm. Profilo tondo → D + solo diametro: D40.</t>
  </si>
  <si>
    <t xml:space="preserve">  nessuno</t>
  </si>
  <si>
    <t>07_ST. Alzata, pedata e numero di alzate sono parametri d’istanza.</t>
  </si>
  <si>
    <t xml:space="preserve">  Sostituzioni</t>
  </si>
  <si>
    <t>SR su 06_LN quando il pianerottolo eredita lo spessore dalla rampa. SL su 08_RM quando la rampa è piena fino a terra.</t>
  </si>
  <si>
    <t>Il numero di finiture</t>
  </si>
  <si>
    <t>Vale solo per le categorie con stratigrafia: 01_CL, 02_FL, 03_RF, 09_WL.</t>
  </si>
  <si>
    <t>Vale 0F, 1F o 2F, e sui controsoffitti si ferma a 1F. La regola che genera più dubbi è quella dello strato singolo: un elemento fatto di un solo strato è sempre 0F, anche quando quell’unico strato è proprio la finitura. Una pavimentazione applicata modellata da sola, quindi, è 0F.</t>
  </si>
  <si>
    <t>I suffissi W e I</t>
  </si>
  <si>
    <t>W dichiara che l’impermeabilizzazione è compresa nell’elemento, I che lo è lo strato isolante. Si scrivono attaccati e senza separatore, quindi un elemento che ha entrambi finisce con _WI.</t>
  </si>
  <si>
    <t>Non si usano dove sarebbero ovvi — coperture, pareti esterne e controterra, curtain wall — e i codici Group2 sui quali sono ammessi sono elencati nella scheda della categoria. Se invece lo strato è modellato da solo non si usano suffissi: si usa il codice Group2 dedicato, IS o AC, con 0F.</t>
  </si>
  <si>
    <t>Le prestazioni non entrano nel nome</t>
  </si>
  <si>
    <t>Isolamento acustico, trasmittanza termica, portanza ed esposizione restano nei parametri di tipo: il nome dice cosa è l’oggetto, i parametri dicono quanto vale. L’unica eccezione è la resistenza al fuoco, che entra nel nome con la sigla completa — REI120, EI90, RE60 — e deve coincidere con il parametro FireRating.</t>
  </si>
  <si>
    <t>Famiglie annidate</t>
  </si>
  <si>
    <t>Alcuni oggetti non sono un tipo solo: sono più famiglie distinte, annidate una dentro l’altra, e ognuna si nomina nella propria scheda con i propri codici.</t>
  </si>
  <si>
    <t xml:space="preserve">  Scala</t>
  </si>
  <si>
    <t>07_ST annida Run (05_RN) e Landing (06_LN). Group1 della scala = Group1 delle Run: AS.SS.IN → Run NR.SS.</t>
  </si>
  <si>
    <t xml:space="preserve">  Parapetto</t>
  </si>
  <si>
    <t>04_RL annida Top Rail (11_TR) e Handrail (12_HR). Il campo Rail del railing dichiara quali dei due porta.</t>
  </si>
  <si>
    <t xml:space="preserve">  Facciata continua</t>
  </si>
  <si>
    <t>09_WL famiglia CW annida montanti (10_CN) e pannelli (13_CP).</t>
  </si>
  <si>
    <t>La descrizione</t>
  </si>
  <si>
    <t>Si compila solo se aggiunge un’informazione che i codici non danno già: la destinazione, la posizione, o ciò che distingue due tipi altrimenti identici. Se il Group2 dice CV e il Type Mark dice MT-001, scrivere ZincCovering non aggiunge nulla e il campo resta vuoto. Quando serve si scrive senza spazi, con l’iniziale maiuscola a ogni parola, senza accenti e non oltre i quaranta caratteri.</t>
  </si>
  <si>
    <t>Come si usa un foglio Generatore</t>
  </si>
  <si>
    <t>Le celle chiare sono da compilare, quelle grigie si calcolano da sole. Le prime righe di ogni generatore sono esempi già compilati, in corsivo, e si possono sovrascrivere senza problemi.</t>
  </si>
  <si>
    <t>Alcuni campi si accendono solo quando servono: il Type Mark manuale compare con Group1 = OT, i suffissi W e I solo sui codici Group2 che li ammettono, la superficie d’intradosso solo sulle Monolithic Run. Un menu che si apre vuoto vuol dire che quel campo non si applica al caso scelto sulla riga.</t>
  </si>
  <si>
    <t>Modificare le tabelle</t>
  </si>
  <si>
    <t>Le tabelle del foglio DV sono entità Tabella di Excel e in quanto tali modificabili: aggiungere o togliere una riga si riflette subito sui menu di tutti i generatori. Due avvertenze. I codici già in uso nei modelli non vanno cambiati, perché romperebbero i nomi già assegnati. E gli Handrails usano la tabella Group1 dei Top Rails, quindi una modifica ai profili vale per entrambe le categorie.</t>
  </si>
  <si>
    <t>Tabelle condivise</t>
  </si>
  <si>
    <t>Solo 0F e 1F — usata dai Ceilings</t>
  </si>
  <si>
    <t>Marcatore In Place — vale su tutte le categorie. Cella vuota = famiglia di sistema ordinaria.</t>
  </si>
  <si>
    <t>Prefissi per il Type Mark manuale delle finiture: PT-001, WD-001, MT-001…</t>
  </si>
  <si>
    <t>Author_Code</t>
  </si>
  <si>
    <t>Author</t>
  </si>
  <si>
    <t>nFinishings_Code</t>
  </si>
  <si>
    <t>nFinishings</t>
  </si>
  <si>
    <t>nFin01_Code</t>
  </si>
  <si>
    <t>nFin01</t>
  </si>
  <si>
    <t>InPl_Code</t>
  </si>
  <si>
    <t>InPl_Name</t>
  </si>
  <si>
    <t>Mat_Code</t>
  </si>
  <si>
    <t>Mat_Family</t>
  </si>
  <si>
    <t>e</t>
  </si>
  <si>
    <t>ESA - Engineering</t>
  </si>
  <si>
    <t>0F</t>
  </si>
  <si>
    <t>0 Finishing</t>
  </si>
  <si>
    <t>(I)</t>
  </si>
  <si>
    <t>In Place</t>
  </si>
  <si>
    <t>PT</t>
  </si>
  <si>
    <t>Painting</t>
  </si>
  <si>
    <t>1F</t>
  </si>
  <si>
    <t>1 Finishing</t>
  </si>
  <si>
    <t>WD</t>
  </si>
  <si>
    <t>Wood</t>
  </si>
  <si>
    <t>2F</t>
  </si>
  <si>
    <t>2 Finishings</t>
  </si>
  <si>
    <t>MT</t>
  </si>
  <si>
    <t>Metal</t>
  </si>
  <si>
    <t>CR</t>
  </si>
  <si>
    <t>Ceramic</t>
  </si>
  <si>
    <t>ST</t>
  </si>
  <si>
    <t>Stone</t>
  </si>
  <si>
    <t>GL</t>
  </si>
  <si>
    <t>Glass</t>
  </si>
  <si>
    <t>PL</t>
  </si>
  <si>
    <t>Plaster</t>
  </si>
  <si>
    <t>RS</t>
  </si>
  <si>
    <t>Resin</t>
  </si>
  <si>
    <t>TX</t>
  </si>
  <si>
    <t>Textile</t>
  </si>
  <si>
    <t>OT</t>
  </si>
  <si>
    <t>Other</t>
  </si>
  <si>
    <t>Presenza di top rail e corrimano — solo Railings</t>
  </si>
  <si>
    <t>RailOpt_Code</t>
  </si>
  <si>
    <t>RailOpt_Name</t>
  </si>
  <si>
    <t>N</t>
  </si>
  <si>
    <t>None</t>
  </si>
  <si>
    <t>T</t>
  </si>
  <si>
    <t>Top rail only</t>
  </si>
  <si>
    <t>H</t>
  </si>
  <si>
    <t>Handrail only</t>
  </si>
  <si>
    <t>B</t>
  </si>
  <si>
    <t>Both</t>
  </si>
  <si>
    <t>Underside Surface — solo Runs monolitiche (MR)</t>
  </si>
  <si>
    <t>Und_Code</t>
  </si>
  <si>
    <t>Und_Name</t>
  </si>
  <si>
    <t>SM</t>
  </si>
  <si>
    <t>Smooth</t>
  </si>
  <si>
    <t>Stepped</t>
  </si>
  <si>
    <t>Same as Run — solo Landings. Se scelto, il campo spessore si spegne.</t>
  </si>
  <si>
    <t>LN_Shape_Code</t>
  </si>
  <si>
    <t>LN_Shape_Name</t>
  </si>
  <si>
    <t>Own thickness</t>
  </si>
  <si>
    <t>SR</t>
  </si>
  <si>
    <t>Same as Run</t>
  </si>
  <si>
    <t>Shape — solo Ramps. Solid non ha spessore.</t>
  </si>
  <si>
    <t>RM_Shape_Code</t>
  </si>
  <si>
    <t>RM_Shape_Name</t>
  </si>
  <si>
    <t>Thick</t>
  </si>
  <si>
    <t>SL</t>
  </si>
  <si>
    <t>Solid</t>
  </si>
  <si>
    <t>01_CL  ·  Ceilings</t>
  </si>
  <si>
    <t>CL_Category_Code</t>
  </si>
  <si>
    <t>CL_Category</t>
  </si>
  <si>
    <t>CL_Group1_Code</t>
  </si>
  <si>
    <t>CL_Group1</t>
  </si>
  <si>
    <t>CL_Group1_ITA</t>
  </si>
  <si>
    <t>TM Code</t>
  </si>
  <si>
    <t>CL_Group2_Code</t>
  </si>
  <si>
    <t>CL_Group2</t>
  </si>
  <si>
    <t>CL_Group2_ITA</t>
  </si>
  <si>
    <t>CL</t>
  </si>
  <si>
    <t>Compound Ceiling</t>
  </si>
  <si>
    <t>GN</t>
  </si>
  <si>
    <t>Generic</t>
  </si>
  <si>
    <t>Stratigrafia non ancora definita. Diverso da Other.</t>
  </si>
  <si>
    <t>0xx</t>
  </si>
  <si>
    <t>IN</t>
  </si>
  <si>
    <t>Internal</t>
  </si>
  <si>
    <t>Controsoffitto in ambiente interno. Anche i pacchetti multistrato.</t>
  </si>
  <si>
    <t>FR</t>
  </si>
  <si>
    <t>Framed</t>
  </si>
  <si>
    <t>Orditura nascosta, lastre continue: cartongesso</t>
  </si>
  <si>
    <t>1xx</t>
  </si>
  <si>
    <t>EX</t>
  </si>
  <si>
    <t>External</t>
  </si>
  <si>
    <t>Intradossi esposti: porticati, sbalzi, logge</t>
  </si>
  <si>
    <t>MD</t>
  </si>
  <si>
    <t>Modular</t>
  </si>
  <si>
    <t>Profili a vista, elementi rimovibili: quadrotti, doghe, grigliati</t>
  </si>
  <si>
    <t>2xx</t>
  </si>
  <si>
    <t>BL</t>
  </si>
  <si>
    <t>Bulkhead</t>
  </si>
  <si>
    <t>Velette, ribassamenti, mascheramenti</t>
  </si>
  <si>
    <t>MN</t>
  </si>
  <si>
    <t>Monolithic</t>
  </si>
  <si>
    <t>Continuo senza orditura: intonaco, gesso a spruzzo</t>
  </si>
  <si>
    <t>3xx</t>
  </si>
  <si>
    <t>RD</t>
  </si>
  <si>
    <t>Radiant</t>
  </si>
  <si>
    <t>Soffitto radiante</t>
  </si>
  <si>
    <t>PN</t>
  </si>
  <si>
    <t>Panel</t>
  </si>
  <si>
    <t>Pannelli senza orditura a vista, massicci o leggeri: isolanti, fonoassorbenti</t>
  </si>
  <si>
    <t>4xx</t>
  </si>
  <si>
    <t>LN</t>
  </si>
  <si>
    <t>Lining</t>
  </si>
  <si>
    <t>Rivestimento aderente all’intradosso, non sospeso</t>
  </si>
  <si>
    <t>Fuori elenco, oppure finiture. Type Mark interamente manuale.</t>
  </si>
  <si>
    <t>9xx</t>
  </si>
  <si>
    <t>AC</t>
  </si>
  <si>
    <t>Acoustic</t>
  </si>
  <si>
    <t>SOLO pannelli fonoassorbenti applicati</t>
  </si>
  <si>
    <t>IS</t>
  </si>
  <si>
    <t>Insulation</t>
  </si>
  <si>
    <t>SOLO lo strato isolante all’intradosso</t>
  </si>
  <si>
    <t>Nessuna delle precedenti</t>
  </si>
  <si>
    <t>02_FL  ·  Floors</t>
  </si>
  <si>
    <t>FL_Category_Code</t>
  </si>
  <si>
    <t>FL_Category</t>
  </si>
  <si>
    <t>FL_Group1_Code</t>
  </si>
  <si>
    <t>FL_Group1</t>
  </si>
  <si>
    <t>FL_Group1_ITA</t>
  </si>
  <si>
    <t>FL_Group2_Code</t>
  </si>
  <si>
    <t>FL_Group2</t>
  </si>
  <si>
    <t>FL_Group2_ITA</t>
  </si>
  <si>
    <t>FL</t>
  </si>
  <si>
    <t>Floor</t>
  </si>
  <si>
    <t>Solaio o pavimento interno. Anche i pacchetti multistrato.</t>
  </si>
  <si>
    <t>SG</t>
  </si>
  <si>
    <t>SlabEdge</t>
  </si>
  <si>
    <t>BB</t>
  </si>
  <si>
    <t>Beam-Block</t>
  </si>
  <si>
    <t>Laterocemento</t>
  </si>
  <si>
    <t>Terrazze, balconi, solai esposti</t>
  </si>
  <si>
    <t>Getto in opera: soletta piena, platea. Anche massetti e isolanti gettati.</t>
  </si>
  <si>
    <t>OG</t>
  </si>
  <si>
    <t>On-ground</t>
  </si>
  <si>
    <t>Su vespaio o su terreno</t>
  </si>
  <si>
    <t>DC</t>
  </si>
  <si>
    <t>Deck</t>
  </si>
  <si>
    <t>Lamiera grecata, solaio collaborante</t>
  </si>
  <si>
    <t>UR</t>
  </si>
  <si>
    <t>Urban</t>
  </si>
  <si>
    <t>Pavimentazioni esterne su suolo, marciapiedi</t>
  </si>
  <si>
    <t>PC</t>
  </si>
  <si>
    <t>Precast</t>
  </si>
  <si>
    <t>Predalles, alveolari, prefabbricati</t>
  </si>
  <si>
    <t>Pavimento radiante</t>
  </si>
  <si>
    <t>Orditura in legno o acciaio</t>
  </si>
  <si>
    <t>5xx</t>
  </si>
  <si>
    <t>FN</t>
  </si>
  <si>
    <t>Finishing</t>
  </si>
  <si>
    <t>SOLO la pavimentazione applicata. Group1 = OT.</t>
  </si>
  <si>
    <t>Pannelli massicci o leggeri: XLAM, sandwich, isolanti, fonoassorbenti</t>
  </si>
  <si>
    <t>6xx</t>
  </si>
  <si>
    <t>SC</t>
  </si>
  <si>
    <t>Screed</t>
  </si>
  <si>
    <t>SOLO il massetto</t>
  </si>
  <si>
    <t>Raised</t>
  </si>
  <si>
    <t>Flottanti, sopraelevati</t>
  </si>
  <si>
    <t>7xx</t>
  </si>
  <si>
    <t>SOLO lo strato isolante</t>
  </si>
  <si>
    <t>SOLO lo strato anticalpestio</t>
  </si>
  <si>
    <t>03_RF  ·  Roofs</t>
  </si>
  <si>
    <t>RF_Category_Code</t>
  </si>
  <si>
    <t>RF_Category</t>
  </si>
  <si>
    <t>BR_Group1_Code</t>
  </si>
  <si>
    <t>BR_Group1</t>
  </si>
  <si>
    <t>BR_Group1_ITA</t>
  </si>
  <si>
    <t>BR_Group2_Code</t>
  </si>
  <si>
    <t>BR_Group2</t>
  </si>
  <si>
    <t>BR_Group2_ITA</t>
  </si>
  <si>
    <t>BR</t>
  </si>
  <si>
    <t>Basic Roof</t>
  </si>
  <si>
    <t>NW</t>
  </si>
  <si>
    <t>Non-walkable</t>
  </si>
  <si>
    <t>Copertura non praticabile. Il caso ordinario.</t>
  </si>
  <si>
    <t>SZ</t>
  </si>
  <si>
    <t>Sloped Glazing</t>
  </si>
  <si>
    <t>WL</t>
  </si>
  <si>
    <t>Walkable</t>
  </si>
  <si>
    <t>Praticabile, terrazza</t>
  </si>
  <si>
    <t>Getto in opera</t>
  </si>
  <si>
    <t>GR</t>
  </si>
  <si>
    <t>Green</t>
  </si>
  <si>
    <t>Copertura a verde</t>
  </si>
  <si>
    <t>Lamiera grecata</t>
  </si>
  <si>
    <t>CN</t>
  </si>
  <si>
    <t>Canopy</t>
  </si>
  <si>
    <t>Pensiline, tettoie</t>
  </si>
  <si>
    <t>Prefabbricato</t>
  </si>
  <si>
    <t>SD</t>
  </si>
  <si>
    <t>Shading</t>
  </si>
  <si>
    <t>Pergole, frangisole orizzontali</t>
  </si>
  <si>
    <t>CV</t>
  </si>
  <si>
    <t>Covering</t>
  </si>
  <si>
    <t>SOLO il manto: tegole, lamiere, guaina a vista. Group1 = OT.</t>
  </si>
  <si>
    <t>Pannelli massicci o leggeri: XLAM, sandwich, isolanti</t>
  </si>
  <si>
    <t>Sopraelevati, flottanti su copertura</t>
  </si>
  <si>
    <t>Fuori elenco, oppure manto modellato da solo. Type Mark manuale.</t>
  </si>
  <si>
    <t>SZ_Group2_Code</t>
  </si>
  <si>
    <t>SZ_Group2</t>
  </si>
  <si>
    <t>SZ_Group2_ITA</t>
  </si>
  <si>
    <t>SZ_Group1_Code</t>
  </si>
  <si>
    <t>SZ_Group1</t>
  </si>
  <si>
    <t>SZ_Group1_ITA</t>
  </si>
  <si>
    <t>Skylight</t>
  </si>
  <si>
    <t>Lucernari</t>
  </si>
  <si>
    <t>Sistema non ancora definito</t>
  </si>
  <si>
    <t>FC</t>
  </si>
  <si>
    <t>Facade</t>
  </si>
  <si>
    <t>Falda vetrata continua</t>
  </si>
  <si>
    <t>Montanti e traversi posati in opera</t>
  </si>
  <si>
    <t>Ceiling</t>
  </si>
  <si>
    <t>Soffitti vetrati interni</t>
  </si>
  <si>
    <t>UN</t>
  </si>
  <si>
    <t>Unitized</t>
  </si>
  <si>
    <t>Cellule prefabbricate</t>
  </si>
  <si>
    <t>Pensiline vetrate</t>
  </si>
  <si>
    <t>Frameless</t>
  </si>
  <si>
    <t>Senza profili in vista</t>
  </si>
  <si>
    <t>RL</t>
  </si>
  <si>
    <t>Railing</t>
  </si>
  <si>
    <t>Parapetti modellati come sistema</t>
  </si>
  <si>
    <t>Fuori elenco. Type Mark interamente manuale.</t>
  </si>
  <si>
    <t>Structural</t>
  </si>
  <si>
    <t>Elementi strutturali modellati come sistema</t>
  </si>
  <si>
    <t>TL</t>
  </si>
  <si>
    <t>Tiling</t>
  </si>
  <si>
    <t>Rivestimenti a corsi modellati come sistema</t>
  </si>
  <si>
    <t>04_RL  ·  Railings</t>
  </si>
  <si>
    <t>RL_Category_Code</t>
  </si>
  <si>
    <t>RL_Category</t>
  </si>
  <si>
    <t>RL_Group1_Code</t>
  </si>
  <si>
    <t>RL_Group1</t>
  </si>
  <si>
    <t>RL_Group1_ITA</t>
  </si>
  <si>
    <t>RL_Group2_Code</t>
  </si>
  <si>
    <t>RL_Group2</t>
  </si>
  <si>
    <t>RL_Group2_ITA</t>
  </si>
  <si>
    <t>Guardrail</t>
  </si>
  <si>
    <t>Parapetto anticaduta: scale, ballatoi, terrazze</t>
  </si>
  <si>
    <t>VP</t>
  </si>
  <si>
    <t>Vertical Profiles</t>
  </si>
  <si>
    <t>Prevalenza di montanti verticali</t>
  </si>
  <si>
    <t>HR</t>
  </si>
  <si>
    <t>Handrail</t>
  </si>
  <si>
    <t>Solo corrimano, senza funzione anticaduta</t>
  </si>
  <si>
    <t>HP</t>
  </si>
  <si>
    <t>Horizontal Profiles</t>
  </si>
  <si>
    <t>Profili orizzontali o cavi</t>
  </si>
  <si>
    <t>FE</t>
  </si>
  <si>
    <t>Fence</t>
  </si>
  <si>
    <t>Recinzioni e delimitazioni esterne</t>
  </si>
  <si>
    <t>PP</t>
  </si>
  <si>
    <t>Panels &amp; Profiles</t>
  </si>
  <si>
    <t>Pannelli su montanti</t>
  </si>
  <si>
    <t>Partition</t>
  </si>
  <si>
    <t>Separé, divisori bassi, delimitazioni interne</t>
  </si>
  <si>
    <t>PF</t>
  </si>
  <si>
    <t>Frameless Panels</t>
  </si>
  <si>
    <t>Pannelli senza montanti, vetro strutturale</t>
  </si>
  <si>
    <t>SK</t>
  </si>
  <si>
    <t>Skirting</t>
  </si>
  <si>
    <t>Battiscopa e zoccolini modellati come railing</t>
  </si>
  <si>
    <t>MS</t>
  </si>
  <si>
    <t>Mesh</t>
  </si>
  <si>
    <t>Reti, grigliati, lamiere stirate</t>
  </si>
  <si>
    <t>Decorative</t>
  </si>
  <si>
    <t>Elementi lineari decorativi</t>
  </si>
  <si>
    <t>05_RN  ·  Runs</t>
  </si>
  <si>
    <t>RN_Category_Code</t>
  </si>
  <si>
    <t>RN_Category</t>
  </si>
  <si>
    <t>RN_Group1_Code</t>
  </si>
  <si>
    <t>RN_Group1</t>
  </si>
  <si>
    <t>RN_Group1_ITA</t>
  </si>
  <si>
    <t>RN_Group2_Code</t>
  </si>
  <si>
    <t>RN_Group2</t>
  </si>
  <si>
    <t>RN_Group2_ITA</t>
  </si>
  <si>
    <t>MR</t>
  </si>
  <si>
    <t>Monolithic Run</t>
  </si>
  <si>
    <t>Closed Riser</t>
  </si>
  <si>
    <t>Alzata chiusa</t>
  </si>
  <si>
    <t>NR</t>
  </si>
  <si>
    <t>NonMonolithic Run</t>
  </si>
  <si>
    <t>Soletta rampante gettata o rampa piena</t>
  </si>
  <si>
    <t>OR</t>
  </si>
  <si>
    <t>Open Riser</t>
  </si>
  <si>
    <t>Gradini a giorno, alzata aperta</t>
  </si>
  <si>
    <t>SS</t>
  </si>
  <si>
    <t>Side Stringers</t>
  </si>
  <si>
    <t>Cosciali laterali</t>
  </si>
  <si>
    <t>Solid Tread</t>
  </si>
  <si>
    <t>Gradino massiccio, elemento unico</t>
  </si>
  <si>
    <t>SP</t>
  </si>
  <si>
    <t>Spine</t>
  </si>
  <si>
    <t>Trave centrale</t>
  </si>
  <si>
    <t>GT</t>
  </si>
  <si>
    <t>Grating</t>
  </si>
  <si>
    <t>Pedata grigliata o forata</t>
  </si>
  <si>
    <t>CT</t>
  </si>
  <si>
    <t>Cantilever</t>
  </si>
  <si>
    <t>Gradini a sbalzo da parete o da trave</t>
  </si>
  <si>
    <t>Telaio leggero, struttura reticolare</t>
  </si>
  <si>
    <t>06_LN  ·  Landings</t>
  </si>
  <si>
    <t>LN_Category_Code</t>
  </si>
  <si>
    <t>LN_Category</t>
  </si>
  <si>
    <t>LN_Group1_Code</t>
  </si>
  <si>
    <t>LN_Group1</t>
  </si>
  <si>
    <t>LN_Group1_ITA</t>
  </si>
  <si>
    <t>LN_Group2_Code</t>
  </si>
  <si>
    <t>LN_Group2</t>
  </si>
  <si>
    <t>LN_Group2_ITA</t>
  </si>
  <si>
    <t>ML</t>
  </si>
  <si>
    <t>Monolithic Landing</t>
  </si>
  <si>
    <t>Piano massiccio, finitura integrata</t>
  </si>
  <si>
    <t>NL</t>
  </si>
  <si>
    <t>NonMonolithic Landing</t>
  </si>
  <si>
    <t>Soletta gettata</t>
  </si>
  <si>
    <t>Finished</t>
  </si>
  <si>
    <t>Finitura di calpestio applicata a parte</t>
  </si>
  <si>
    <t>Pianerottolo prefabbricato</t>
  </si>
  <si>
    <t>Grigliato o lamiera forata</t>
  </si>
  <si>
    <t>Struttura metallica o in legno</t>
  </si>
  <si>
    <t>07_ST  ·  Stairs</t>
  </si>
  <si>
    <t>ST_Category_Code</t>
  </si>
  <si>
    <t>ST_Category</t>
  </si>
  <si>
    <t>AS_Group1_Code</t>
  </si>
  <si>
    <t>AS_Group1</t>
  </si>
  <si>
    <t>AS_Group1_ITA</t>
  </si>
  <si>
    <t>ST_Group2_Code</t>
  </si>
  <si>
    <t>ST_Group2</t>
  </si>
  <si>
    <t>ST_Group2_ITA</t>
  </si>
  <si>
    <t>AS</t>
  </si>
  <si>
    <t>Assembled Stair</t>
  </si>
  <si>
    <t>Scala interna ordinaria</t>
  </si>
  <si>
    <t>CS</t>
  </si>
  <si>
    <t>CastInPlace Stair</t>
  </si>
  <si>
    <t>Scala esterna</t>
  </si>
  <si>
    <t>Precast Stair</t>
  </si>
  <si>
    <t>ES</t>
  </si>
  <si>
    <t>Escape</t>
  </si>
  <si>
    <t>Scala di sicurezza o protetta</t>
  </si>
  <si>
    <t>Gradini a sbalzo</t>
  </si>
  <si>
    <t>SV</t>
  </si>
  <si>
    <t>Service</t>
  </si>
  <si>
    <t>Scala tecnica, accesso impianti</t>
  </si>
  <si>
    <t>FT</t>
  </si>
  <si>
    <t>Feature</t>
  </si>
  <si>
    <t>Scala d’arredo, elemento architettonico</t>
  </si>
  <si>
    <t>CS_Group1_Code</t>
  </si>
  <si>
    <t>CS_Group1</t>
  </si>
  <si>
    <t>CS_Group1_ITA</t>
  </si>
  <si>
    <t>Soletta rampante gettata in opera</t>
  </si>
  <si>
    <t>Gradini a sbalzo dalla parete</t>
  </si>
  <si>
    <t>RS_Group1_Code</t>
  </si>
  <si>
    <t>RS_Group1</t>
  </si>
  <si>
    <t>RS_Group1_ITA</t>
  </si>
  <si>
    <t>Rampa prefabbricata piena</t>
  </si>
  <si>
    <t>Su cosciali prefabbricati</t>
  </si>
  <si>
    <t>08_RM  ·  Ramps</t>
  </si>
  <si>
    <t>RM_Category_Code</t>
  </si>
  <si>
    <t>RM_Category</t>
  </si>
  <si>
    <t>RM_Group1_Code</t>
  </si>
  <si>
    <t>RM_Group1</t>
  </si>
  <si>
    <t>RM_Group1_ITA</t>
  </si>
  <si>
    <t>RM_Group2_Code</t>
  </si>
  <si>
    <t>RM_Group2</t>
  </si>
  <si>
    <t>RM_Group2_ITA</t>
  </si>
  <si>
    <t>RM</t>
  </si>
  <si>
    <t>Ramp</t>
  </si>
  <si>
    <t>Accessible</t>
  </si>
  <si>
    <t>Rampa accessibile a norma</t>
  </si>
  <si>
    <t>Soletta inclinata gettata in opera</t>
  </si>
  <si>
    <t>PD</t>
  </si>
  <si>
    <t>Pedestrian</t>
  </si>
  <si>
    <t>Pedonale, non soggetta a requisito di accessibilità</t>
  </si>
  <si>
    <t>Rampa prefabbricata</t>
  </si>
  <si>
    <t>VH</t>
  </si>
  <si>
    <t>Vehicular</t>
  </si>
  <si>
    <t>Carrabile</t>
  </si>
  <si>
    <t>LD</t>
  </si>
  <si>
    <t>Loading</t>
  </si>
  <si>
    <t>Rampa di carico, banchina</t>
  </si>
  <si>
    <t>09_WL  ·  Walls</t>
  </si>
  <si>
    <t>WL_Category_Code</t>
  </si>
  <si>
    <t>WL_Category</t>
  </si>
  <si>
    <t>BW_Group1_Code</t>
  </si>
  <si>
    <t>BW_Group1</t>
  </si>
  <si>
    <t>BW_Group1_ITA</t>
  </si>
  <si>
    <t>BW_Group2_Code</t>
  </si>
  <si>
    <t>BW_Group2</t>
  </si>
  <si>
    <t>BW_Group2_ITA</t>
  </si>
  <si>
    <t>BW</t>
  </si>
  <si>
    <t>Basic Wall</t>
  </si>
  <si>
    <t>Interna generica. Include cavedi e pareti attrezzate sanitari. Anche i pacchetti multistrato.</t>
  </si>
  <si>
    <t>CW</t>
  </si>
  <si>
    <t>Curtain Wall</t>
  </si>
  <si>
    <t>Telaio leggero e lastre: cartongesso, orditure metalliche o in legno</t>
  </si>
  <si>
    <t>SE</t>
  </si>
  <si>
    <t>Separating</t>
  </si>
  <si>
    <t>Divisorio tra unità immobiliari o tra camere</t>
  </si>
  <si>
    <t>Masonry</t>
  </si>
  <si>
    <t>Assemblaggio di elementi discreti: mattoni, blocchi, pietra</t>
  </si>
  <si>
    <t>Perimetrale fuori terra</t>
  </si>
  <si>
    <t>Strato unico continuo: calcestruzzo gettato in opera</t>
  </si>
  <si>
    <t>BG</t>
  </si>
  <si>
    <t>Below ground</t>
  </si>
  <si>
    <t>Controterra, interrata</t>
  </si>
  <si>
    <t>FD</t>
  </si>
  <si>
    <t>Foundation</t>
  </si>
  <si>
    <t>Muro di fondazione</t>
  </si>
  <si>
    <t>PA</t>
  </si>
  <si>
    <t>Parapet</t>
  </si>
  <si>
    <t>Parapetti, muretti d’attico</t>
  </si>
  <si>
    <t>Velette, ribassamenti</t>
  </si>
  <si>
    <t>FS</t>
  </si>
  <si>
    <t>Free-standing</t>
  </si>
  <si>
    <t>Muri liberi, recinzioni, muretti di giardino</t>
  </si>
  <si>
    <t>CW_Group1_Code</t>
  </si>
  <si>
    <t>CW_Group1</t>
  </si>
  <si>
    <t>CW_Group1_ITA</t>
  </si>
  <si>
    <t>Cladding</t>
  </si>
  <si>
    <t>Rivestimento esterno con finitura a vista. Qui il cappotto.</t>
  </si>
  <si>
    <t>Controparete finita applicata a un’altra parete</t>
  </si>
  <si>
    <t>Montanti e traversi posati in opera (stick)</t>
  </si>
  <si>
    <t>SOLO schermatura acustica non delimitante</t>
  </si>
  <si>
    <t>Senza profili in vista: strutturale, spider</t>
  </si>
  <si>
    <t>VE</t>
  </si>
  <si>
    <t>Ventilated</t>
  </si>
  <si>
    <t>Facciata ventilata o rainscreen su sottostruttura</t>
  </si>
  <si>
    <t>MB</t>
  </si>
  <si>
    <t>Movable</t>
  </si>
  <si>
    <t>Mobili, manovrabili, scorrevoli, attrezzate. Anche vetrate operabili.</t>
  </si>
  <si>
    <t>CW_Group2_Code</t>
  </si>
  <si>
    <t>CW_Group2</t>
  </si>
  <si>
    <t>CW_Group2_ITA</t>
  </si>
  <si>
    <t>Involucro continuo, vetrato o misto</t>
  </si>
  <si>
    <t>Spandrel</t>
  </si>
  <si>
    <t>Fascia marcapiano opaca</t>
  </si>
  <si>
    <t>Sunshade</t>
  </si>
  <si>
    <t>Frangisole, brise-soleil, schermature fisse</t>
  </si>
  <si>
    <t>Partizione interna a montanti e traversi</t>
  </si>
  <si>
    <t>Parapetti vetrati modellati come sistema</t>
  </si>
  <si>
    <t>Gate</t>
  </si>
  <si>
    <t>Cancelli, portali</t>
  </si>
  <si>
    <t>OP</t>
  </si>
  <si>
    <t>Opening</t>
  </si>
  <si>
    <t>Aperture nel sistema</t>
  </si>
  <si>
    <t>Fastening</t>
  </si>
  <si>
    <t>Sistemi di fissaggio e ancoraggio</t>
  </si>
  <si>
    <t>10_CN  ·  Curtain Wall Mullions</t>
  </si>
  <si>
    <t>CN_Category_Code</t>
  </si>
  <si>
    <t>CN_Category</t>
  </si>
  <si>
    <t>CN_Group1_Code</t>
  </si>
  <si>
    <t>CN_Group1</t>
  </si>
  <si>
    <t>CN_Group1_ITA</t>
  </si>
  <si>
    <t>CN_Group2_Code</t>
  </si>
  <si>
    <t>CN_Group2</t>
  </si>
  <si>
    <t>CN_Group2_ITA</t>
  </si>
  <si>
    <t>Curtain Wall Mullion</t>
  </si>
  <si>
    <t>Profilo valido in qualunque posizione della griglia</t>
  </si>
  <si>
    <t>RT</t>
  </si>
  <si>
    <t>Rectangular</t>
  </si>
  <si>
    <t>Profilo rettangolare o scatolare</t>
  </si>
  <si>
    <t>VT</t>
  </si>
  <si>
    <t>Vertical</t>
  </si>
  <si>
    <t>Montante</t>
  </si>
  <si>
    <t>Circular</t>
  </si>
  <si>
    <t>Profilo tondo. Si compila solo il diametro.</t>
  </si>
  <si>
    <t>HZ</t>
  </si>
  <si>
    <t>Horizontal</t>
  </si>
  <si>
    <t>Traverso</t>
  </si>
  <si>
    <t>LC</t>
  </si>
  <si>
    <t>L Corner</t>
  </si>
  <si>
    <t>Angolare a L</t>
  </si>
  <si>
    <t>PR</t>
  </si>
  <si>
    <t>Perimeter</t>
  </si>
  <si>
    <t>Profilo di bordo contro la struttura</t>
  </si>
  <si>
    <t>VC</t>
  </si>
  <si>
    <t>V Corner</t>
  </si>
  <si>
    <t>Angolare a V</t>
  </si>
  <si>
    <t>CO</t>
  </si>
  <si>
    <t>Corner</t>
  </si>
  <si>
    <t>Profilo d’angolo</t>
  </si>
  <si>
    <t>TC</t>
  </si>
  <si>
    <t>Trapezoid Corner</t>
  </si>
  <si>
    <t>Angolare trapezoidale</t>
  </si>
  <si>
    <t>QC</t>
  </si>
  <si>
    <t>Quad Corner</t>
  </si>
  <si>
    <t>Angolare quadrangolare</t>
  </si>
  <si>
    <t>11_TR  ·  Top Rails</t>
  </si>
  <si>
    <t>TR_Category_Code</t>
  </si>
  <si>
    <t>TR_Category</t>
  </si>
  <si>
    <t>TR_Group1_Code</t>
  </si>
  <si>
    <t>TR_Group1</t>
  </si>
  <si>
    <t>TR_Group1_ITA</t>
  </si>
  <si>
    <t>TR_Group2_Code</t>
  </si>
  <si>
    <t>TR_Group2</t>
  </si>
  <si>
    <t>TR_Group2_ITA</t>
  </si>
  <si>
    <t>TR</t>
  </si>
  <si>
    <t>Top Rail</t>
  </si>
  <si>
    <t>Corrente sommitale del parapetto</t>
  </si>
  <si>
    <t>Tondo o tubolare. Si compila solo il diametro.</t>
  </si>
  <si>
    <t>Graspable</t>
  </si>
  <si>
    <t>Sommitale che vale anche da corrimano, prensile a norma</t>
  </si>
  <si>
    <t>Piatto, scatolare</t>
  </si>
  <si>
    <t>CP</t>
  </si>
  <si>
    <t>Cap</t>
  </si>
  <si>
    <t>Coprimuro o piattina di finitura, nessuna funzione anticaduta</t>
  </si>
  <si>
    <t>OV</t>
  </si>
  <si>
    <t>Oval</t>
  </si>
  <si>
    <t>Ovale, sezione ergonomica</t>
  </si>
  <si>
    <t>SH</t>
  </si>
  <si>
    <t>Shaped</t>
  </si>
  <si>
    <t>Profilo sagomato su disegno</t>
  </si>
  <si>
    <t>12_HR  ·  Handrails</t>
  </si>
  <si>
    <t>HR_Category_Code</t>
  </si>
  <si>
    <t>HR_Category</t>
  </si>
  <si>
    <t>HR_Group2_Code</t>
  </si>
  <si>
    <t>HR_Group2</t>
  </si>
  <si>
    <t>HR_Group2_ITA</t>
  </si>
  <si>
    <t>WM</t>
  </si>
  <si>
    <t>Wall Mounted</t>
  </si>
  <si>
    <t>A parete, su mensole</t>
  </si>
  <si>
    <t>PM</t>
  </si>
  <si>
    <t>Post Mounted</t>
  </si>
  <si>
    <t>Sui montanti del parapetto</t>
  </si>
  <si>
    <t>IT</t>
  </si>
  <si>
    <t>Integrated</t>
  </si>
  <si>
    <t>Ricavato nel pannello o nel corrente sommitale</t>
  </si>
  <si>
    <t>Free Standing</t>
  </si>
  <si>
    <t>Autoportante, su piantane a terra</t>
  </si>
  <si>
    <t>13_CP  ·  Curtain Panels</t>
  </si>
  <si>
    <t>CP_Category_Code</t>
  </si>
  <si>
    <t>CP_Category</t>
  </si>
  <si>
    <t>CP_Group1_Code</t>
  </si>
  <si>
    <t>CP_Group1</t>
  </si>
  <si>
    <t>CP_Group1_ITA</t>
  </si>
  <si>
    <t>CP_Group2_Code</t>
  </si>
  <si>
    <t>CP_Group2</t>
  </si>
  <si>
    <t>CP_Group2_ITA</t>
  </si>
  <si>
    <t>System Panel</t>
  </si>
  <si>
    <t>VS</t>
  </si>
  <si>
    <t>Vision</t>
  </si>
  <si>
    <t>Pannello di visione</t>
  </si>
  <si>
    <t>Glazed</t>
  </si>
  <si>
    <t>Vetrata singola, doppia o tripla</t>
  </si>
  <si>
    <t>Fascia opaca di marcapiano</t>
  </si>
  <si>
    <t>SW</t>
  </si>
  <si>
    <t>Sandwich</t>
  </si>
  <si>
    <t>Pannello composito coibentato</t>
  </si>
  <si>
    <t>VN</t>
  </si>
  <si>
    <t>Vent</t>
  </si>
  <si>
    <t>Anta apribile</t>
  </si>
  <si>
    <t>Opaco pieno: lamiera, pietra, fibrocemento</t>
  </si>
  <si>
    <t>LV</t>
  </si>
  <si>
    <t>Louvre</t>
  </si>
  <si>
    <t>Griglia di ventilazione</t>
  </si>
  <si>
    <t>Rete, lamiera stirata, grigliato</t>
  </si>
  <si>
    <t>Frangisole integrato nella griglia</t>
  </si>
  <si>
    <t>EM</t>
  </si>
  <si>
    <t>Empty</t>
  </si>
  <si>
    <t>Pannello vuoto, per inserire famiglie caricabili. Nessuno spessore.</t>
  </si>
  <si>
    <t>14_TS  ·  Toposolid</t>
  </si>
  <si>
    <t>TS_Category_Code</t>
  </si>
  <si>
    <t>TS_Category</t>
  </si>
  <si>
    <t>TS_Group1_Code</t>
  </si>
  <si>
    <t>TS_Group1</t>
  </si>
  <si>
    <t>TS_Group1_ITA</t>
  </si>
  <si>
    <t>TS_Group2_Code</t>
  </si>
  <si>
    <t>TS_Group2</t>
  </si>
  <si>
    <t>TS_Group2_ITA</t>
  </si>
  <si>
    <t>TS</t>
  </si>
  <si>
    <t>Toposolid</t>
  </si>
  <si>
    <t>EG</t>
  </si>
  <si>
    <t>Existing Ground</t>
  </si>
  <si>
    <t>Terreno esistente, stato di fatto</t>
  </si>
  <si>
    <t>NT</t>
  </si>
  <si>
    <t>Natural</t>
  </si>
  <si>
    <t>Terreno a strato unico</t>
  </si>
  <si>
    <t>PG</t>
  </si>
  <si>
    <t>Proposed Ground</t>
  </si>
  <si>
    <t>Terreno di progetto</t>
  </si>
  <si>
    <t>Stratified</t>
  </si>
  <si>
    <t>Terreno stratificato: drenaggio, sottofondo, terreno vegetale</t>
  </si>
  <si>
    <t>EC</t>
  </si>
  <si>
    <t>Excavation</t>
  </si>
  <si>
    <t>Scavo, sbancamento</t>
  </si>
  <si>
    <t>Paved</t>
  </si>
  <si>
    <t>Pavimentazione su terreno: asfalto, autobloccanti, ghiaia</t>
  </si>
  <si>
    <t>LS</t>
  </si>
  <si>
    <t>Landscape</t>
  </si>
  <si>
    <t>Aree verdi sistemate</t>
  </si>
  <si>
    <t>SB</t>
  </si>
  <si>
    <t>Sub-base</t>
  </si>
  <si>
    <t>Solo sottofondo o vespaio.</t>
  </si>
  <si>
    <t>PV</t>
  </si>
  <si>
    <t>Paving</t>
  </si>
  <si>
    <t>Pavimentazioni esterne, viabilità</t>
  </si>
  <si>
    <t>Le tabelle sono modificabili: aggiungere o togliere righe si riflette subito sui menu dei generatori. I codici già usati nei modelli non vanno cambiati.</t>
  </si>
  <si>
    <t>Gli Handrails usano la stessa tabella Group1 dei Top Rails (Tbl_TR_G1): una sola lista di profili da mantenere.</t>
  </si>
  <si>
    <t>01_CL  ·  Generatore nomi Ceilings</t>
  </si>
  <si>
    <t>Compilare le celle chiare: le grigie sono calcolate automaticamente. Le note e la spiegazione delle colonne sono in fondo al foglio, le tabelle di validazione nel foglio DV, i principi generali nel foglio Istruzioni.</t>
  </si>
  <si>
    <t>Author _ TypeMark _ [(I)]Cat.G1.G2 _ nFinishings.Spessore _ [REI] _ [WI] _ [Descrizione]</t>
  </si>
  <si>
    <t>ID</t>
  </si>
  <si>
    <t>Auth</t>
  </si>
  <si>
    <t>Category</t>
  </si>
  <si>
    <t>Cat</t>
  </si>
  <si>
    <t>Group1</t>
  </si>
  <si>
    <t>G1</t>
  </si>
  <si>
    <t>TM pre</t>
  </si>
  <si>
    <t>Group2</t>
  </si>
  <si>
    <t>G2</t>
  </si>
  <si>
    <t>nFin</t>
  </si>
  <si>
    <t>TM seq (2 digits or XX)</t>
  </si>
  <si>
    <t>Manual Type Mark (only if Other)</t>
  </si>
  <si>
    <t>Type Mark</t>
  </si>
  <si>
    <t>Thickness mm</t>
  </si>
  <si>
    <t>REI</t>
  </si>
  <si>
    <t>W  waterproof</t>
  </si>
  <si>
    <t>I  insulation</t>
  </si>
  <si>
    <t>Description</t>
  </si>
  <si>
    <t>Cat.G1.G2</t>
  </si>
  <si>
    <t>GENERATED NAME</t>
  </si>
  <si>
    <t>src_W</t>
  </si>
  <si>
    <t>src_I</t>
  </si>
  <si>
    <t>es1</t>
  </si>
  <si>
    <t>es2</t>
  </si>
  <si>
    <t>REI120</t>
  </si>
  <si>
    <t>es3</t>
  </si>
  <si>
    <t>I</t>
  </si>
  <si>
    <t>es4</t>
  </si>
  <si>
    <t>W</t>
  </si>
  <si>
    <t>es5</t>
  </si>
  <si>
    <t>es6</t>
  </si>
  <si>
    <t>es7</t>
  </si>
  <si>
    <t>REI60</t>
  </si>
  <si>
    <t>es8</t>
  </si>
  <si>
    <t>es9</t>
  </si>
  <si>
    <t>es10</t>
  </si>
  <si>
    <t>PT-001</t>
  </si>
  <si>
    <t>es11</t>
  </si>
  <si>
    <t>NOTE — CEILINGS</t>
  </si>
  <si>
    <t>Categoria con stratigrafia. Le regole generali valide per tutte le categorie sono riportate nel foglio Istruzioni.</t>
  </si>
  <si>
    <t>Solo Compound Ceiling</t>
  </si>
  <si>
    <t>Il Basic Ceiling è una superficie senza strati. Non si nomina con questa logica.</t>
  </si>
  <si>
    <t>Pacchetti multistrato</t>
  </si>
  <si>
    <t>Con isolante o impermeabilizzazione compresi → Group2 = IN + suffissi W e I. AC e IS solo se l’elemento è unicamente quel pannello o quello strato.</t>
  </si>
  <si>
    <t>Finiture</t>
  </si>
  <si>
    <t>Rivestimento senza sottostruttura → Group1 = OT + Type Mark manuale. Con orditura propria → Group2 = LN e Group1 reale.</t>
  </si>
  <si>
    <t>Elementi in place</t>
  </si>
  <si>
    <t>Un elemento modellato in place non è un tipo di una famiglia di sistema: si costruisce dentro il progetto, non si riusa altrove e in abaco si confonde con i tipi veri se il nome non lo dichiara. Il marcatore (I) lo dichiara attaccato al codice di categoria, senza separatore — e_BW-101_(I)BW.FR.IN_2F.125 — così si isolano filtrando i nomi che contengono (I). Tutto il resto del nome segue le regole della categoria: anche un in place ha un Group1, un Group2 e un blocco dimensionale. La cella vuota è il caso normale.</t>
  </si>
  <si>
    <t>REGOLE DI COMPILAZIONE</t>
  </si>
  <si>
    <t>Autore della codifica.</t>
  </si>
  <si>
    <t>Facoltativo. Si compila solo quando l’elemento è modellato in place dentro il progetto, anziché essere un tipo di una famiglia di sistema. Nel nome diventa (I) attaccato al codice di categoria, senza separatore: e_BW-101_(I)BW.FR.IN_2F.125. Cella vuota = caso normale.</t>
  </si>
  <si>
    <t>Famiglia di sistema Revit.</t>
  </si>
  <si>
    <t>Sistema costruttivo del controsoffitto.</t>
  </si>
  <si>
    <t>Ruolo, oppure lo strato singolo quando l’elemento è modellato da solo. IN copre anche i pacchetti multistrato.</t>
  </si>
  <si>
    <t>Numero di facce finite: 0F, 1F, 2F. Elemento a strato singolo → 0F, anche quando quell’unico strato è la finitura.</t>
  </si>
  <si>
    <t>Due cifre da 0 a 99. Distingue le varianti di stesso Group1 e stesso Group2. Tipo non ancora definito → XX. Non si compila con Group1 = OT.</t>
  </si>
  <si>
    <t>Solo con Group1 = OT. Sostituisce tutto il Type Mark, prefisso di categoria compreso. Finiture → prefisso materiale + tre cifre: PT-001, WD-001, MT-001.</t>
  </si>
  <si>
    <t>Spessore totale in mm.</t>
  </si>
  <si>
    <t>Facoltativo. Sigla completa come certificata: REI120, EI90, RE60. Deve coincidere con FireRating.</t>
  </si>
  <si>
    <t>Facoltativo. Impermeabilizzazione compresa nell’elemento. Ammesso solo con Group2 = IN: su EX, OG e UR impermeabilizzazione e isolamento sono impliciti.</t>
  </si>
  <si>
    <t>Facoltativo. Strato isolante compreso nell’elemento. Ammesso solo con Group2 = IN: su EX, OG e UR impermeabilizzazione e isolamento sono impliciti.</t>
  </si>
  <si>
    <t>Facoltativa. Solo se aggiunge un’informazione non già nei codici: destinazione, posizione, o ciò che distingue due tipi altrimenti identici. Senza spazi, iniziali maiuscole, massimo 40 caratteri, senza accenti.</t>
  </si>
  <si>
    <t>Le colonne grigie sono calcolate automaticamente.</t>
  </si>
  <si>
    <t>02_FL  ·  Generatore nomi Floors</t>
  </si>
  <si>
    <t>Bathroom</t>
  </si>
  <si>
    <t>Terrace</t>
  </si>
  <si>
    <t>CR-001</t>
  </si>
  <si>
    <t>NOTE — FLOORS</t>
  </si>
  <si>
    <t>Più strati insieme → Group2 = IN + suffissi W e I. SC, IS e AC solo se l’elemento è unicamente quello strato.</t>
  </si>
  <si>
    <t>Elementi a strato singolo</t>
  </si>
  <si>
    <t>Pannelli isolanti o fonoassorbenti → PN. Massetto o isolante gettato → MN. Pavimentazione applicata → Group2 = FN, Group1 = OT, Type Mark manuale. Sempre 0F.</t>
  </si>
  <si>
    <t>La famiglia SG usa le tabelle Group1 e Group2 di Floor.</t>
  </si>
  <si>
    <t>Pavimentazioni esterne</t>
  </si>
  <si>
    <t>Modellate come Floor → UR. Modellate come Toposolid → scheda 14_TS.</t>
  </si>
  <si>
    <t>Sistema costruttivo del solaio.</t>
  </si>
  <si>
    <t>03_RF  ·  Generatore nomi Roofs</t>
  </si>
  <si>
    <t>Author _ TypeMark _ [(I)]Cat.G1.G2 _ nFinishings.Spessore _ [REI] _ [Descrizione]</t>
  </si>
  <si>
    <t>src_G1</t>
  </si>
  <si>
    <t>src_G2</t>
  </si>
  <si>
    <t>Pitched</t>
  </si>
  <si>
    <t>MT-001</t>
  </si>
  <si>
    <t>NOTE — ROOFS</t>
  </si>
  <si>
    <t>Due famiglie</t>
  </si>
  <si>
    <t>Basic Roof → tabelle BR. Sloped Glazing → tabelle SZ.</t>
  </si>
  <si>
    <t>Manto modellato da solo</t>
  </si>
  <si>
    <t>Group2 = CV, Group1 = OT, Type Mark manuale, 0F.</t>
  </si>
  <si>
    <t>Caso ordinario. Va indicato, non lasciato vuoto.</t>
  </si>
  <si>
    <t>Sistema costruttivo. Le opzioni cambiano con la famiglia scelta sulla riga.</t>
  </si>
  <si>
    <t>Basic Roof: ruolo della copertura. Sloped Glazing: elemento reale rappresentato dal sistema vetrato.</t>
  </si>
  <si>
    <t>04_RL  ·  Generatore nomi Railings</t>
  </si>
  <si>
    <t>Author _ TypeMark _ [(I)]Cat.G1.G2 _ H{altezza} _ [Rail] _ [Descrizione]</t>
  </si>
  <si>
    <t>Height mm</t>
  </si>
  <si>
    <t>Top rail / handrail</t>
  </si>
  <si>
    <t>Rail</t>
  </si>
  <si>
    <t>WallMounted</t>
  </si>
  <si>
    <t>NOTE — RAILINGS</t>
  </si>
  <si>
    <t>Categoria senza stratigrafia. Le regole generali valide per tutte le categorie sono riportate nel foglio Istruzioni.</t>
  </si>
  <si>
    <t>Il railing annida due tipi: Top Rail (11_TR) e Handrail (12_HR). Si nominano nelle loro schede. Il campo Rail dichiara quali dei due il railing porta.</t>
  </si>
  <si>
    <t>Corrimano e parapetto</t>
  </si>
  <si>
    <t>Senza funzione anticaduta → HR. Con funzione anticaduta → GR.</t>
  </si>
  <si>
    <t>Fissaggio</t>
  </si>
  <si>
    <t>Montaggio a pavimento o laterale → parametri di tipo. Non entra nel nome.</t>
  </si>
  <si>
    <t>Struttura portante del parapetto.</t>
  </si>
  <si>
    <t>Funzione del parapetto.</t>
  </si>
  <si>
    <t>Altezza in mm dal piano di calpestio.</t>
  </si>
  <si>
    <t>Presenza di top rail e corrimano: N nessuno, T solo top rail, H solo corrimano, B entrambi. Sono parametri di tipo del railing. I due tipi annidati si nominano nelle schede 11_TR e 12_HR.</t>
  </si>
  <si>
    <t>05_RN  ·  Generatore nomi Runs</t>
  </si>
  <si>
    <t>Author _ TypeMark _ [(I)]Cat.G1.G2 _ T{spessore} _ [SM|ST] _ [Descrizione]</t>
  </si>
  <si>
    <t>Underside surface</t>
  </si>
  <si>
    <t>Und</t>
  </si>
  <si>
    <t>src_Und</t>
  </si>
  <si>
    <t>TechnicalAccess</t>
  </si>
  <si>
    <t>NOTE — RUNS</t>
  </si>
  <si>
    <t>Famiglia annidata</t>
  </si>
  <si>
    <t>La Run è annidata dentro un tipo di scala (07_ST). Group1 della scala = Group1 delle Run che contiene: scala AS.SS → Run NR.SS.</t>
  </si>
  <si>
    <t>Alzata e pedata</t>
  </si>
  <si>
    <t>Parametri d’istanza. Non entrano nel nome.</t>
  </si>
  <si>
    <t>Come è portata la rampa.</t>
  </si>
  <si>
    <t>Configurazione del piano di calpestio.</t>
  </si>
  <si>
    <t>Facoltativo. Parametro di tipo Underside Surface: SM smooth, ST stepped. Solo su Monolithic Run. Si compila solo sulle rampe monolitiche (MR), dove l’intradosso esiste come superficie.</t>
  </si>
  <si>
    <t>06_LN  ·  Generatore nomi Landings</t>
  </si>
  <si>
    <t>Author _ TypeMark _ [(I)]Cat.G1.G2 _ T{spessore} | SR _ [Descrizione]</t>
  </si>
  <si>
    <t>Thickness mode</t>
  </si>
  <si>
    <t>Shp</t>
  </si>
  <si>
    <t>NOTE — LANDINGS</t>
  </si>
  <si>
    <t>Il Landing è annidato dentro un tipo di scala (07_ST), insieme alle Run (05_RN).</t>
  </si>
  <si>
    <t>Sistema costruttivo del pianerottolo. Può differire da quello della rampa.</t>
  </si>
  <si>
    <t>Parametro di tipo Same as Run. Se il pianerottolo eredita lo spessore dalla rampa si sceglie Same as Run e il nome porta SR al posto del numero; la colonna Spessore resta vuota.</t>
  </si>
  <si>
    <t>07_ST  ·  Generatore nomi Stairs</t>
  </si>
  <si>
    <t>Author _ TypeMark _ [(I)]Cat.G1.G2 _ [Descrizione]</t>
  </si>
  <si>
    <t>PlantRoom</t>
  </si>
  <si>
    <t>NOTE — STAIRS</t>
  </si>
  <si>
    <t>La scala annida due tipi: Run (05_RN) e Landing (06_LN). Si nominano nelle loro schede. Group1 della scala = Group1 delle Run: AS.SS.IN → Run NR.SS.</t>
  </si>
  <si>
    <t>Nessun blocco dimensionale</t>
  </si>
  <si>
    <t>Alzata, pedata e numero di alzate: parametri d’istanza. Larghezza: parametro di tipo. Nessuno entra nel nome.</t>
  </si>
  <si>
    <t>Scala di sicurezza</t>
  </si>
  <si>
    <t>Group2 = ES. Il REI riguarda il vano che la racchiude, non la scala.</t>
  </si>
  <si>
    <t>Sistema portante. Le opzioni cambiano con la famiglia scelta sulla riga. Coincide con il Group1 delle Run annidate.</t>
  </si>
  <si>
    <t>Ruolo della scala nell’edificio.</t>
  </si>
  <si>
    <t>08_RM  ·  Generatore nomi Ramps</t>
  </si>
  <si>
    <t>Author _ TypeMark _ [(I)]Cat.G1.G2 _ T{spessore} | SL _ [Descrizione]</t>
  </si>
  <si>
    <t>Shape</t>
  </si>
  <si>
    <t>Garage</t>
  </si>
  <si>
    <t>Outdoor</t>
  </si>
  <si>
    <t>NOTE — RAMPS</t>
  </si>
  <si>
    <t>Non sono le rampe di scala</t>
  </si>
  <si>
    <t>Le rampe di scala sono le Run, scheda 05_RN. Questa categoria è la Ramp di Revit: il piano inclinato.</t>
  </si>
  <si>
    <t>Pendenza</t>
  </si>
  <si>
    <t>Geometria d’istanza. Non entra nel nome.</t>
  </si>
  <si>
    <t>Sistema costruttivo della rampa inclinata.</t>
  </si>
  <si>
    <t>Destinazione della rampa.</t>
  </si>
  <si>
    <t>Parametro di tipo Shape. Thick ha uno spessore e si compila la colonna Spessore. Solid è piena fino a terra: il nome porta SL e la colonna Spessore resta vuota.</t>
  </si>
  <si>
    <t>09_WL  ·  Generatore nomi Walls</t>
  </si>
  <si>
    <t>WD-001</t>
  </si>
  <si>
    <t>NOTE — WALLS</t>
  </si>
  <si>
    <t>Basic Wall → tabelle BW. Curtain Wall → tabelle CW.</t>
  </si>
  <si>
    <t>Famiglie annidate del Curtain Wall</t>
  </si>
  <si>
    <t>Il muro continuo annida montanti (10_CN) e pannelli (13_CP). Si nominano nelle loro schede.</t>
  </si>
  <si>
    <t>Vetrate e pareti mobili</t>
  </si>
  <si>
    <t>Si modellano come Curtain Wall → CW.MB. Nessun codice fra le Basic Wall.</t>
  </si>
  <si>
    <t>Isolante o impermeabilizzazione compresi → suffissi W e I. IS e AC solo se l’elemento è unicamente quello strato, con 0F.</t>
  </si>
  <si>
    <t>Rivestimento senza sottostruttura → Group1 = OT + Type Mark manuale. Cappotti e contropareti con sottostruttura → CL e LN con Group1 reale.</t>
  </si>
  <si>
    <t>Basic Wall: ruolo nell’edificio, oppure lo strato singolo quando l’elemento è modellato da solo. Curtain Wall: elemento reale rappresentato dal sistema.</t>
  </si>
  <si>
    <t>Facoltativo. Impermeabilizzazione compresa nell’elemento. Ammesso solo con Group2 = IN, SE o LN: su esterni, controterra e curtain wall sono impliciti.</t>
  </si>
  <si>
    <t>Facoltativo. Strato isolante compreso nell’elemento. Ammesso solo con Group2 = IN, SE o LN: su esterni, controterra e curtain wall sono impliciti.</t>
  </si>
  <si>
    <t>10_CN  ·  Generatore nomi Curtain Wall Mullions</t>
  </si>
  <si>
    <t>Author _ TypeMark _ [(I)]Cat.G1.G2 _ {larghezza}x{profondità} | D{diametro} _ [Descrizione]</t>
  </si>
  <si>
    <t>Width or Ø mm</t>
  </si>
  <si>
    <t>Depth or section height mm</t>
  </si>
  <si>
    <t>NOTE — CURTAIN WALL MULLIONS</t>
  </si>
  <si>
    <t>Il montante è annidato nel Curtain Wall (09_WL, famiglia CW). I pannelli stanno in 13_CP.</t>
  </si>
  <si>
    <t>Profilo del montante.</t>
  </si>
  <si>
    <t>Posizione nella griglia. GN = profilo valido in qualunque posizione.</t>
  </si>
  <si>
    <t>Larghezza totale del profilo in mm. Profilo tondo → diametro, e la colonna successiva resta vuota.</t>
  </si>
  <si>
    <t>Seconda dimensione della sezione in mm. Profilo tondo → vuota; il nome diventa D + diametro.</t>
  </si>
  <si>
    <t>11_TR  ·  Generatore nomi Top Rails</t>
  </si>
  <si>
    <t>Author _ TypeMark _ [(I)]Cat.G1.G2 _ {larghezza}x{altezza} | D{diametro} _ [Descrizione]</t>
  </si>
  <si>
    <t>NOTE — TOP RAILS</t>
  </si>
  <si>
    <t>Il Top Rail è annidato dentro un tipo di Railing (04_RL).</t>
  </si>
  <si>
    <t>Niente altezza</t>
  </si>
  <si>
    <t>Il corrente sommitale sta alla quota del railing. L’altezza è già nel nome del Railing.</t>
  </si>
  <si>
    <t>Sezione del profilo. Tabella condivisa con gli Handrails.</t>
  </si>
  <si>
    <t>Funzione del corrente sommitale.</t>
  </si>
  <si>
    <t>12_HR  ·  Generatore nomi Handrails</t>
  </si>
  <si>
    <t>Low</t>
  </si>
  <si>
    <t>NOTE — HANDRAILS</t>
  </si>
  <si>
    <t>Il corrimano è annidato dentro un tipo di Railing (04_RL).</t>
  </si>
  <si>
    <t>Corrimano doppio</t>
  </si>
  <si>
    <t>Stesso profilo a due quote → due tipi, distinti dal numero sequenziale e da una Descrizione breve.</t>
  </si>
  <si>
    <t>Sezione del profilo. Tabella condivisa con i Top Rails.</t>
  </si>
  <si>
    <t>Montaggio del corrimano.</t>
  </si>
  <si>
    <t>13_CP  ·  Generatore nomi Curtain Panels</t>
  </si>
  <si>
    <t>Author _ TypeMark _ [(I)]Cat.G1.G2 _ [T{spessore}] _ [Descrizione]</t>
  </si>
  <si>
    <t>ShadowBox</t>
  </si>
  <si>
    <t>TripleGlazing</t>
  </si>
  <si>
    <t>NOTE — CURTAIN PANELS</t>
  </si>
  <si>
    <t>Il pannello è annidato nel Curtain Wall (09_WL, famiglia CW). I montanti stanno in 10_CN.</t>
  </si>
  <si>
    <t>Pannelli vuoti</t>
  </si>
  <si>
    <t>EM = pannello svuotato per ospitare una famiglia caricabile. La famiglia inserita si nomina con le regole delle loadable families.</t>
  </si>
  <si>
    <t>Composizione del pannello.</t>
  </si>
  <si>
    <t>Ruolo nella facciata.</t>
  </si>
  <si>
    <t>14_TS  ·  Generatore nomi Toposolid</t>
  </si>
  <si>
    <t>Author _ TypeMark _ [(I)]Cat.G1.G2 _ T{spessore} _ [Descrizione]</t>
  </si>
  <si>
    <t>PlantingBed</t>
  </si>
  <si>
    <t>Road</t>
  </si>
  <si>
    <t>Square</t>
  </si>
  <si>
    <t>Footpath</t>
  </si>
  <si>
    <t>NOTE — TOPOSOLID</t>
  </si>
  <si>
    <t>Sovrapposizione con i Floors</t>
  </si>
  <si>
    <t>Pavimentazione esterna modellata come Floor → FL.*.UR, scheda 02_FL. Modellata come Toposolid → qui.</t>
  </si>
  <si>
    <t>Building Pad</t>
  </si>
  <si>
    <t>Revit precedenti al 2024 → stessa scheda, Group1 = SB.</t>
  </si>
  <si>
    <t>Composizione del solido.</t>
  </si>
  <si>
    <t>Ruolo nel progetto. EG, PG ed EC sono ruoli, non fasi: la fase resta il parametro di Revit.</t>
  </si>
  <si>
    <t>Foglio di servizio – NON MODIFICARE.  A1 vuota = sorgente neutra.  B1 = suffisso W (waterproof), B2 vuota = non ammesso.  C1 = suffisso I (insulation), C2 vuota = non ammesso.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</si>
</sst>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Calibri"/>
      <family val="2"/>
      <scheme val="minor"/>
    </font>
    <font>
      <b/>
      <sz val="12"/>
      <color rgb="FF4A6D82"/>
      <name val="Calibri"/>
    </font>
    <font>
      <b/>
      <sz val="9"/>
      <color rgb="FFFFFFFF"/>
      <name val="Calibri"/>
    </font>
    <font>
      <sz val="10"/>
      <color rgb="FF2B2B2B"/>
      <name val="Calibri"/>
    </font>
    <font>
      <i/>
      <sz val="9"/>
      <color rgb="FF767676"/>
      <name val="Calibri"/>
    </font>
    <font>
      <sz val="9"/>
      <color rgb="FF767676"/>
      <name val="Calibri"/>
    </font>
    <font>
      <b/>
      <sz val="15"/>
      <color rgb="FF2B2B2B"/>
      <name val="Calibri"/>
    </font>
    <font>
      <sz val="9"/>
      <color rgb="FF4A6D82"/>
      <name val="Calibri"/>
    </font>
    <font>
      <b/>
      <sz val="8"/>
      <color rgb="FFFFFFFF"/>
      <name val="Calibri"/>
    </font>
    <font>
      <sz val="8"/>
      <color rgb="FFBFBFBF"/>
      <name val="Calibri"/>
    </font>
    <font>
      <i/>
      <sz val="9"/>
      <color rgb="FF2B2B2B"/>
      <name val="Calibri"/>
    </font>
    <font>
      <i/>
      <sz val="8"/>
      <color rgb="FFA6A6A6"/>
      <name val="Calibri"/>
    </font>
    <font>
      <sz val="9"/>
      <color rgb="FF2B2B2B"/>
      <name val="Calibri"/>
    </font>
    <font>
      <sz val="8"/>
      <color rgb="FFA6A6A6"/>
      <name val="Calibri"/>
    </font>
    <font>
      <b/>
      <sz val="9"/>
      <color rgb="FF2B2B2B"/>
      <name val="Calibri"/>
    </font>
    <font>
      <b/>
      <sz val="12"/>
      <color rgb="FF2B2B2B"/>
      <name val="Calibri"/>
    </font>
    <font>
      <b/>
      <sz val="10"/>
      <color rgb="FF4A6D82"/>
      <name val="Calibri"/>
    </font>
    <font>
      <b/>
      <sz val="17"/>
      <color rgb="FF2B2B2B"/>
      <name val="Calibri"/>
    </font>
    <font>
      <b/>
      <sz val="10"/>
      <color rgb="FFFFFFFF"/>
      <name val="Calibri"/>
    </font>
    <font>
      <b/>
      <sz val="11"/>
      <color rgb="FF4A6D82"/>
      <name val="Calibri"/>
    </font>
    <font>
      <sz val="10"/>
      <color rgb="FF4A6D82"/>
      <name val="Calibri"/>
    </font>
  </fonts>
  <fills count="10">
    <fill>
      <patternFill patternType="none"/>
    </fill>
    <fill>
      <patternFill patternType="gray125"/>
    </fill>
    <fill>
      <patternFill patternType="solid">
        <fgColor rgb="FF4A4A4A"/>
      </patternFill>
    </fill>
    <fill>
      <patternFill patternType="solid">
        <fgColor rgb="FF4A6D82"/>
      </patternFill>
    </fill>
    <fill>
      <patternFill patternType="solid">
        <fgColor rgb="FFF7F7F7"/>
      </patternFill>
    </fill>
    <fill>
      <patternFill patternType="solid">
        <fgColor rgb="FFEDF2F5"/>
      </patternFill>
    </fill>
    <fill>
      <patternFill patternType="solid">
        <fgColor rgb="FFF7F9FA"/>
      </patternFill>
    </fill>
    <fill>
      <patternFill patternType="solid">
        <fgColor rgb="FFDCE6EC"/>
      </patternFill>
    </fill>
    <fill>
      <patternFill patternType="solid">
        <fgColor rgb="FFE8EEF2"/>
      </patternFill>
    </fill>
    <fill>
      <patternFill patternType="solid">
        <fgColor rgb="FFF2F6F8"/>
      </patternFill>
    </fill>
  </fills>
  <borders count="4">
    <border>
      <left/>
      <right/>
      <top/>
      <bottom/>
      <diagonal/>
    </border>
    <border>
      <left style="thin">
        <color rgb="FFD9D9D9"/>
      </left>
      <right style="thin">
        <color rgb="FFD9D9D9"/>
      </right>
      <top style="thin">
        <color rgb="FFD9D9D9"/>
      </top>
      <bottom style="thin">
        <color rgb="FFD9D9D9"/>
      </bottom>
      <diagonal/>
    </border>
    <border>
      <left/>
      <right/>
      <top/>
      <bottom style="medium">
        <color rgb="FF4A6D82"/>
      </bottom>
      <diagonal/>
    </border>
    <border>
      <left/>
      <right/>
      <top/>
      <bottom style="medium">
        <color rgb="FF4A6D82"/>
      </bottom>
      <diagonal/>
    </border>
  </borders>
  <cellStyleXfs count="1">
    <xf numFmtId="0" fontId="0" fillId="0" borderId="0"/>
  </cellStyleXfs>
  <cellXfs count="41">
    <xf numFmtId="0" fontId="0" fillId="0" borderId="0" xfId="0"/>
    <xf numFmtId="0" fontId="1" fillId="0" borderId="0" xfId="0" applyFont="1"/>
    <xf numFmtId="0" fontId="4" fillId="0" borderId="0" xfId="0" applyFont="1"/>
    <xf numFmtId="0" fontId="2" fillId="2" borderId="1" xfId="0" applyFont="1" applyFill="1" applyBorder="1" applyAlignment="1">
      <alignment horizontal="center" vertical="center" wrapText="1"/>
    </xf>
    <xf numFmtId="0" fontId="3" fillId="0" borderId="1" xfId="0" applyFont="1" applyBorder="1"/>
    <xf numFmtId="0" fontId="5" fillId="0" borderId="1" xfId="0" applyFont="1" applyBorder="1"/>
    <xf numFmtId="0" fontId="6" fillId="0" borderId="0" xfId="0" applyFont="1"/>
    <xf numFmtId="0" fontId="5" fillId="0" borderId="0" xfId="0" applyFont="1"/>
    <xf numFmtId="0" fontId="7" fillId="0" borderId="0" xfId="0" applyFont="1"/>
    <xf numFmtId="0" fontId="8" fillId="2" borderId="1" xfId="0" applyFont="1" applyFill="1" applyBorder="1" applyAlignment="1">
      <alignment horizontal="center" vertical="center" wrapText="1"/>
    </xf>
    <xf numFmtId="0" fontId="8" fillId="3" borderId="1" xfId="0" applyFont="1" applyFill="1" applyBorder="1" applyAlignment="1">
      <alignment horizontal="center" vertical="center" wrapText="1"/>
    </xf>
    <xf numFmtId="0" fontId="11" fillId="0" borderId="1" xfId="0" applyFont="1" applyBorder="1" applyAlignment="1">
      <alignment horizontal="center"/>
    </xf>
    <xf numFmtId="0" fontId="10" fillId="5" borderId="1" xfId="0" applyFont="1" applyFill="1" applyBorder="1" applyAlignment="1">
      <alignment horizontal="center"/>
    </xf>
    <xf numFmtId="0" fontId="4" fillId="4" borderId="1" xfId="0" applyFont="1" applyFill="1" applyBorder="1" applyAlignment="1">
      <alignment horizontal="center"/>
    </xf>
    <xf numFmtId="0" fontId="10" fillId="6" borderId="1" xfId="0" applyFont="1" applyFill="1" applyBorder="1" applyAlignment="1">
      <alignment horizontal="center"/>
    </xf>
    <xf numFmtId="0" fontId="10" fillId="5" borderId="1" xfId="0" applyFont="1" applyFill="1" applyBorder="1" applyAlignment="1">
      <alignment horizontal="left"/>
    </xf>
    <xf numFmtId="0" fontId="10" fillId="6" borderId="1" xfId="0" applyFont="1" applyFill="1" applyBorder="1" applyAlignment="1">
      <alignment horizontal="left"/>
    </xf>
    <xf numFmtId="0" fontId="10" fillId="7" borderId="1" xfId="0" applyFont="1" applyFill="1" applyBorder="1" applyAlignment="1">
      <alignment horizontal="left"/>
    </xf>
    <xf numFmtId="0" fontId="9" fillId="0" borderId="0" xfId="0" applyFont="1"/>
    <xf numFmtId="0" fontId="13" fillId="0" borderId="1" xfId="0" applyFont="1" applyBorder="1" applyAlignment="1">
      <alignment horizontal="center"/>
    </xf>
    <xf numFmtId="0" fontId="12" fillId="5" borderId="1" xfId="0" applyFont="1" applyFill="1" applyBorder="1" applyAlignment="1">
      <alignment horizontal="center"/>
    </xf>
    <xf numFmtId="0" fontId="5" fillId="4" borderId="1" xfId="0" applyFont="1" applyFill="1" applyBorder="1" applyAlignment="1">
      <alignment horizontal="center"/>
    </xf>
    <xf numFmtId="0" fontId="12" fillId="6" borderId="1" xfId="0" applyFont="1" applyFill="1" applyBorder="1" applyAlignment="1">
      <alignment horizontal="center"/>
    </xf>
    <xf numFmtId="0" fontId="12" fillId="5" borderId="1" xfId="0" applyFont="1" applyFill="1" applyBorder="1" applyAlignment="1">
      <alignment horizontal="left"/>
    </xf>
    <xf numFmtId="0" fontId="12" fillId="6" borderId="1" xfId="0" applyFont="1" applyFill="1" applyBorder="1" applyAlignment="1">
      <alignment horizontal="left"/>
    </xf>
    <xf numFmtId="0" fontId="14" fillId="7" borderId="1" xfId="0" applyFont="1" applyFill="1" applyBorder="1" applyAlignment="1">
      <alignment horizontal="left"/>
    </xf>
    <xf numFmtId="0" fontId="17" fillId="0" borderId="0" xfId="0" applyFont="1"/>
    <xf numFmtId="0" fontId="18" fillId="3" borderId="0" xfId="0" applyFont="1" applyFill="1" applyAlignment="1">
      <alignment horizontal="center" vertical="center"/>
    </xf>
    <xf numFmtId="0" fontId="20" fillId="8" borderId="0" xfId="0" applyFont="1" applyFill="1" applyAlignment="1">
      <alignment vertical="center"/>
    </xf>
    <xf numFmtId="0" fontId="3" fillId="0" borderId="0" xfId="0" applyFont="1" applyAlignment="1">
      <alignment vertical="center" wrapText="1" indent="1"/>
    </xf>
    <xf numFmtId="0" fontId="3" fillId="0" borderId="0" xfId="0" applyFont="1" applyAlignment="1">
      <alignment vertical="top" wrapText="1"/>
    </xf>
    <xf numFmtId="0" fontId="0" fillId="0" borderId="0" xfId="0"/>
    <xf numFmtId="0" fontId="19" fillId="0" borderId="0" xfId="0" applyFont="1" applyAlignment="1">
      <alignment vertical="center"/>
    </xf>
    <xf numFmtId="0" fontId="4" fillId="0" borderId="0" xfId="0" applyFont="1" applyAlignment="1">
      <alignment vertical="center"/>
    </xf>
    <xf numFmtId="0" fontId="4" fillId="0" borderId="0" xfId="0" applyFont="1" applyAlignment="1">
      <alignment vertical="top" wrapText="1"/>
    </xf>
    <xf numFmtId="0" fontId="20" fillId="9" borderId="0" xfId="0" applyFont="1" applyFill="1" applyAlignment="1">
      <alignment vertical="center" indent="1"/>
    </xf>
    <xf numFmtId="0" fontId="16" fillId="8" borderId="0" xfId="0" applyFont="1" applyFill="1" applyAlignment="1">
      <alignment horizontal="left" vertical="center" indent="1"/>
    </xf>
    <xf numFmtId="0" fontId="3" fillId="0" borderId="0" xfId="0" applyFont="1" applyAlignment="1">
      <alignment horizontal="left" vertical="center" wrapText="1" indent="1"/>
    </xf>
    <xf numFmtId="0" fontId="15" fillId="0" borderId="2" xfId="0" applyFont="1" applyBorder="1" applyAlignment="1">
      <alignment horizontal="left" vertical="center"/>
    </xf>
    <xf numFmtId="0" fontId="0" fillId="0" borderId="3" xfId="0" applyBorder="1"/>
    <xf numFmtId="0" fontId="4" fillId="0" borderId="0" xfId="0" applyFont="1" applyAlignment="1">
      <alignment horizontal="left" vertical="center"/>
    </xf>
  </cellXfs>
  <cellStyles count="1">
    <cellStyle name="Normale"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_Author" displayName="Tbl_Author" ref="A2:B3">
  <autoFilter ref="A2:B3" xr:uid="{00000000-0009-0000-0100-000001000000}"/>
  <tableColumns count="2">
    <tableColumn id="1" xr3:uid="{00000000-0010-0000-0000-000001000000}" name="Author_Code"/>
    <tableColumn id="2" xr3:uid="{00000000-0010-0000-0000-000002000000}" name="Author"/>
  </tableColumns>
  <tableStyleInfo name="TableStyleLight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bl_Fin" displayName="Tbl_Fin" ref="D2:E5">
  <autoFilter ref="D2:E5" xr:uid="{00000000-0009-0000-0100-000002000000}"/>
  <tableColumns count="2">
    <tableColumn id="4" xr3:uid="{00000000-0010-0000-0100-000004000000}" name="nFinishings_Code"/>
    <tableColumn id="5" xr3:uid="{00000000-0010-0000-0100-000005000000}" name="nFinishings"/>
  </tableColumns>
  <tableStyleInfo name="TableStyleLight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bl_Fin01" displayName="Tbl_Fin01" ref="G2:H4">
  <autoFilter ref="G2:H4" xr:uid="{00000000-0009-0000-0100-000003000000}"/>
  <tableColumns count="2">
    <tableColumn id="7" xr3:uid="{00000000-0010-0000-0200-000007000000}" name="nFin01_Code"/>
    <tableColumn id="8" xr3:uid="{00000000-0010-0000-0200-000008000000}" name="nFin01"/>
  </tableColumns>
  <tableStyleInfo name="TableStyleLight1"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bl_InPl" displayName="Tbl_InPl" ref="J2:K3">
  <autoFilter ref="J2:K3" xr:uid="{00000000-0009-0000-0100-000004000000}"/>
  <tableColumns count="2">
    <tableColumn id="10" xr3:uid="{00000000-0010-0000-0300-00000A000000}" name="InPl_Code"/>
    <tableColumn id="11" xr3:uid="{00000000-0010-0000-0300-00000B000000}" name="InPl_Name"/>
  </tableColumns>
  <tableStyleInfo name="TableStyleLight1"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bl_Mat" displayName="Tbl_Mat" ref="M2:N12">
  <autoFilter ref="M2:N12" xr:uid="{00000000-0009-0000-0100-000005000000}"/>
  <tableColumns count="2">
    <tableColumn id="13" xr3:uid="{00000000-0010-0000-0400-00000D000000}" name="Mat_Code"/>
    <tableColumn id="14" xr3:uid="{00000000-0010-0000-0400-00000E000000}" name="Mat_Family"/>
  </tableColumns>
  <tableStyleInfo name="TableStyleLight1"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Tbl_RailTop" displayName="Tbl_RailTop" ref="M15:N19">
  <autoFilter ref="M15:N19" xr:uid="{00000000-0009-0000-0100-000006000000}"/>
  <tableColumns count="2">
    <tableColumn id="13" xr3:uid="{00000000-0010-0000-0500-00000D000000}" name="RailOpt_Code"/>
    <tableColumn id="14" xr3:uid="{00000000-0010-0000-0500-00000E000000}" name="RailOpt_Name"/>
  </tableColumns>
  <tableStyleInfo name="TableStyleLight1"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Tbl_Und" displayName="Tbl_Und" ref="M21:N23">
  <autoFilter ref="M21:N23" xr:uid="{00000000-0009-0000-0100-000007000000}"/>
  <tableColumns count="2">
    <tableColumn id="13" xr3:uid="{00000000-0010-0000-0600-00000D000000}" name="Und_Code"/>
    <tableColumn id="14" xr3:uid="{00000000-0010-0000-0600-00000E000000}" name="Und_Name"/>
  </tableColumns>
  <tableStyleInfo name="TableStyleLight1"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Tbl_LN_Shape" displayName="Tbl_LN_Shape" ref="M26:N28">
  <autoFilter ref="M26:N28" xr:uid="{00000000-0009-0000-0100-000008000000}"/>
  <tableColumns count="2">
    <tableColumn id="13" xr3:uid="{00000000-0010-0000-0700-00000D000000}" name="LN_Shape_Code"/>
    <tableColumn id="14" xr3:uid="{00000000-0010-0000-0700-00000E000000}" name="LN_Shape_Name"/>
  </tableColumns>
  <tableStyleInfo name="TableStyleLight1"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8000000}" name="Tbl_RM_Shape" displayName="Tbl_RM_Shape" ref="M31:N33">
  <autoFilter ref="M31:N33" xr:uid="{00000000-0009-0000-0100-000009000000}"/>
  <tableColumns count="2">
    <tableColumn id="13" xr3:uid="{00000000-0010-0000-0800-00000D000000}" name="RM_Shape_Code"/>
    <tableColumn id="14" xr3:uid="{00000000-0010-0000-0800-00000E000000}" name="RM_Shape_Name"/>
  </tableColumns>
  <tableStyleInfo name="TableStyleLight1"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9000000}" name="Tbl_CL_Cat" displayName="Tbl_CL_Cat" ref="A39:B40">
  <autoFilter ref="A39:B40" xr:uid="{00000000-0009-0000-0100-00000A000000}"/>
  <tableColumns count="2">
    <tableColumn id="1" xr3:uid="{00000000-0010-0000-0900-000001000000}" name="CL_Category_Code"/>
    <tableColumn id="2" xr3:uid="{00000000-0010-0000-0900-000002000000}" name="CL_Category"/>
  </tableColumns>
  <tableStyleInfo name="TableStyleLight1"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A000000}" name="Tbl_CL_G1" displayName="Tbl_CL_G1" ref="D39:G45">
  <autoFilter ref="D39:G45" xr:uid="{00000000-0009-0000-0100-00000B000000}"/>
  <tableColumns count="4">
    <tableColumn id="4" xr3:uid="{00000000-0010-0000-0A00-000004000000}" name="CL_Group1_Code"/>
    <tableColumn id="5" xr3:uid="{00000000-0010-0000-0A00-000005000000}" name="CL_Group1"/>
    <tableColumn id="6" xr3:uid="{00000000-0010-0000-0A00-000006000000}" name="CL_Group1_ITA"/>
    <tableColumn id="7" xr3:uid="{00000000-0010-0000-0A00-000007000000}" name="TM Code"/>
  </tableColumns>
  <tableStyleInfo name="TableStyleLight1"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B000000}" name="Tbl_CL_G2" displayName="Tbl_CL_G2" ref="I39:K47">
  <autoFilter ref="I39:K47" xr:uid="{00000000-0009-0000-0100-00000C000000}"/>
  <tableColumns count="3">
    <tableColumn id="9" xr3:uid="{00000000-0010-0000-0B00-000009000000}" name="CL_Group2_Code"/>
    <tableColumn id="10" xr3:uid="{00000000-0010-0000-0B00-00000A000000}" name="CL_Group2"/>
    <tableColumn id="11" xr3:uid="{00000000-0010-0000-0B00-00000B000000}" name="CL_Group2_ITA"/>
  </tableColumns>
  <tableStyleInfo name="TableStyleLight1"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0C000000}" name="Tbl_FL_Cat" displayName="Tbl_FL_Cat" ref="A53:B55">
  <autoFilter ref="A53:B55" xr:uid="{00000000-0009-0000-0100-00000D000000}"/>
  <tableColumns count="2">
    <tableColumn id="1" xr3:uid="{00000000-0010-0000-0C00-000001000000}" name="FL_Category_Code"/>
    <tableColumn id="2" xr3:uid="{00000000-0010-0000-0C00-000002000000}" name="FL_Category"/>
  </tableColumns>
  <tableStyleInfo name="TableStyleLight1"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0000000-000C-0000-FFFF-FFFF0D000000}" name="Tbl_FL_G1" displayName="Tbl_FL_G1" ref="D53:G62">
  <autoFilter ref="D53:G62" xr:uid="{00000000-0009-0000-0100-00000E000000}"/>
  <tableColumns count="4">
    <tableColumn id="4" xr3:uid="{00000000-0010-0000-0D00-000004000000}" name="FL_Group1_Code"/>
    <tableColumn id="5" xr3:uid="{00000000-0010-0000-0D00-000005000000}" name="FL_Group1"/>
    <tableColumn id="6" xr3:uid="{00000000-0010-0000-0D00-000006000000}" name="FL_Group1_ITA"/>
    <tableColumn id="7" xr3:uid="{00000000-0010-0000-0D00-000007000000}" name="TM Code"/>
  </tableColumns>
  <tableStyleInfo name="TableStyleLight1"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00000000-000C-0000-FFFF-FFFF0E000000}" name="Tbl_FL_G2" displayName="Tbl_FL_G2" ref="I53:K63">
  <autoFilter ref="I53:K63" xr:uid="{00000000-0009-0000-0100-00000F000000}"/>
  <tableColumns count="3">
    <tableColumn id="9" xr3:uid="{00000000-0010-0000-0E00-000009000000}" name="FL_Group2_Code"/>
    <tableColumn id="10" xr3:uid="{00000000-0010-0000-0E00-00000A000000}" name="FL_Group2"/>
    <tableColumn id="11" xr3:uid="{00000000-0010-0000-0E00-00000B000000}" name="FL_Group2_ITA"/>
  </tableColumns>
  <tableStyleInfo name="TableStyleLight1"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00000000-000C-0000-FFFF-FFFF0F000000}" name="Tbl_RF_Cat" displayName="Tbl_RF_Cat" ref="A69:B71">
  <autoFilter ref="A69:B71" xr:uid="{00000000-0009-0000-0100-000010000000}"/>
  <tableColumns count="2">
    <tableColumn id="1" xr3:uid="{00000000-0010-0000-0F00-000001000000}" name="RF_Category_Code"/>
    <tableColumn id="2" xr3:uid="{00000000-0010-0000-0F00-000002000000}" name="RF_Category"/>
  </tableColumns>
  <tableStyleInfo name="TableStyleLight1"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00000000-000C-0000-FFFF-FFFF10000000}" name="Tbl_BR_G1" displayName="Tbl_BR_G1" ref="D69:G78">
  <autoFilter ref="D69:G78" xr:uid="{00000000-0009-0000-0100-000011000000}"/>
  <tableColumns count="4">
    <tableColumn id="4" xr3:uid="{00000000-0010-0000-1000-000004000000}" name="BR_Group1_Code"/>
    <tableColumn id="5" xr3:uid="{00000000-0010-0000-1000-000005000000}" name="BR_Group1"/>
    <tableColumn id="6" xr3:uid="{00000000-0010-0000-1000-000006000000}" name="BR_Group1_ITA"/>
    <tableColumn id="7" xr3:uid="{00000000-0010-0000-1000-000007000000}" name="TM Code"/>
  </tableColumns>
  <tableStyleInfo name="TableStyleLight1"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00000000-000C-0000-FFFF-FFFF11000000}" name="Tbl_SZ_G1" displayName="Tbl_SZ_G1" ref="D81:G86">
  <autoFilter ref="D81:G86" xr:uid="{00000000-0009-0000-0100-000012000000}"/>
  <tableColumns count="4">
    <tableColumn id="4" xr3:uid="{00000000-0010-0000-1100-000004000000}" name="SZ_Group1_Code"/>
    <tableColumn id="5" xr3:uid="{00000000-0010-0000-1100-000005000000}" name="SZ_Group1"/>
    <tableColumn id="6" xr3:uid="{00000000-0010-0000-1100-000006000000}" name="SZ_Group1_ITA"/>
    <tableColumn id="7" xr3:uid="{00000000-0010-0000-1100-000007000000}" name="TM Code"/>
  </tableColumns>
  <tableStyleInfo name="TableStyleLight1"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00000000-000C-0000-FFFF-FFFF12000000}" name="Tbl_BR_G2" displayName="Tbl_BR_G2" ref="I69:K77">
  <autoFilter ref="I69:K77" xr:uid="{00000000-0009-0000-0100-000013000000}"/>
  <tableColumns count="3">
    <tableColumn id="9" xr3:uid="{00000000-0010-0000-1200-000009000000}" name="BR_Group2_Code"/>
    <tableColumn id="10" xr3:uid="{00000000-0010-0000-1200-00000A000000}" name="BR_Group2"/>
    <tableColumn id="11" xr3:uid="{00000000-0010-0000-1200-00000B000000}" name="BR_Group2_ITA"/>
  </tableColumns>
  <tableStyleInfo name="TableStyleLight1"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00000000-000C-0000-FFFF-FFFF13000000}" name="Tbl_SZ_G2" displayName="Tbl_SZ_G2" ref="I80:K88">
  <autoFilter ref="I80:K88" xr:uid="{00000000-0009-0000-0100-000014000000}"/>
  <tableColumns count="3">
    <tableColumn id="9" xr3:uid="{00000000-0010-0000-1300-000009000000}" name="SZ_Group2_Code"/>
    <tableColumn id="10" xr3:uid="{00000000-0010-0000-1300-00000A000000}" name="SZ_Group2"/>
    <tableColumn id="11" xr3:uid="{00000000-0010-0000-1300-00000B000000}" name="SZ_Group2_ITA"/>
  </tableColumns>
  <tableStyleInfo name="TableStyleLight1"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00000000-000C-0000-FFFF-FFFF14000000}" name="Tbl_RL_Cat" displayName="Tbl_RL_Cat" ref="A94:B95">
  <autoFilter ref="A94:B95" xr:uid="{00000000-0009-0000-0100-000015000000}"/>
  <tableColumns count="2">
    <tableColumn id="1" xr3:uid="{00000000-0010-0000-1400-000001000000}" name="RL_Category_Code"/>
    <tableColumn id="2" xr3:uid="{00000000-0010-0000-1400-000002000000}" name="RL_Category"/>
  </tableColumns>
  <tableStyleInfo name="TableStyleLight1"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00000000-000C-0000-FFFF-FFFF15000000}" name="Tbl_RL_G1" displayName="Tbl_RL_G1" ref="D94:G101">
  <autoFilter ref="D94:G101" xr:uid="{00000000-0009-0000-0100-000016000000}"/>
  <tableColumns count="4">
    <tableColumn id="4" xr3:uid="{00000000-0010-0000-1500-000004000000}" name="RL_Group1_Code"/>
    <tableColumn id="5" xr3:uid="{00000000-0010-0000-1500-000005000000}" name="RL_Group1"/>
    <tableColumn id="6" xr3:uid="{00000000-0010-0000-1500-000006000000}" name="RL_Group1_ITA"/>
    <tableColumn id="7" xr3:uid="{00000000-0010-0000-1500-000007000000}" name="TM Code"/>
  </tableColumns>
  <tableStyleInfo name="TableStyleLight1"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00000000-000C-0000-FFFF-FFFF16000000}" name="Tbl_RL_G2" displayName="Tbl_RL_G2" ref="I94:K101">
  <autoFilter ref="I94:K101" xr:uid="{00000000-0009-0000-0100-000017000000}"/>
  <tableColumns count="3">
    <tableColumn id="9" xr3:uid="{00000000-0010-0000-1600-000009000000}" name="RL_Group2_Code"/>
    <tableColumn id="10" xr3:uid="{00000000-0010-0000-1600-00000A000000}" name="RL_Group2"/>
    <tableColumn id="11" xr3:uid="{00000000-0010-0000-1600-00000B000000}" name="RL_Group2_ITA"/>
  </tableColumns>
  <tableStyleInfo name="TableStyleLight1"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00000000-000C-0000-FFFF-FFFF17000000}" name="Tbl_RN_Cat" displayName="Tbl_RN_Cat" ref="A107:B109">
  <autoFilter ref="A107:B109" xr:uid="{00000000-0009-0000-0100-000018000000}"/>
  <tableColumns count="2">
    <tableColumn id="1" xr3:uid="{00000000-0010-0000-1700-000001000000}" name="RN_Category_Code"/>
    <tableColumn id="2" xr3:uid="{00000000-0010-0000-1700-000002000000}" name="RN_Category"/>
  </tableColumns>
  <tableStyleInfo name="TableStyleLight1"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00000000-000C-0000-FFFF-FFFF18000000}" name="Tbl_RN_G1" displayName="Tbl_RN_G1" ref="D107:G114">
  <autoFilter ref="D107:G114" xr:uid="{00000000-0009-0000-0100-000019000000}"/>
  <tableColumns count="4">
    <tableColumn id="4" xr3:uid="{00000000-0010-0000-1800-000004000000}" name="RN_Group1_Code"/>
    <tableColumn id="5" xr3:uid="{00000000-0010-0000-1800-000005000000}" name="RN_Group1"/>
    <tableColumn id="6" xr3:uid="{00000000-0010-0000-1800-000006000000}" name="RN_Group1_ITA"/>
    <tableColumn id="7" xr3:uid="{00000000-0010-0000-1800-000007000000}" name="TM Code"/>
  </tableColumns>
  <tableStyleInfo name="TableStyleLight1"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00000000-000C-0000-FFFF-FFFF19000000}" name="Tbl_RN_G2" displayName="Tbl_RN_G2" ref="I107:K112">
  <autoFilter ref="I107:K112" xr:uid="{00000000-0009-0000-0100-00001A000000}"/>
  <tableColumns count="3">
    <tableColumn id="9" xr3:uid="{00000000-0010-0000-1900-000009000000}" name="RN_Group2_Code"/>
    <tableColumn id="10" xr3:uid="{00000000-0010-0000-1900-00000A000000}" name="RN_Group2"/>
    <tableColumn id="11" xr3:uid="{00000000-0010-0000-1900-00000B000000}" name="RN_Group2_ITA"/>
  </tableColumns>
  <tableStyleInfo name="TableStyleLight1"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00000000-000C-0000-FFFF-FFFF1A000000}" name="Tbl_LN_Cat" displayName="Tbl_LN_Cat" ref="A120:B122">
  <autoFilter ref="A120:B122" xr:uid="{00000000-0009-0000-0100-00001B000000}"/>
  <tableColumns count="2">
    <tableColumn id="1" xr3:uid="{00000000-0010-0000-1A00-000001000000}" name="LN_Category_Code"/>
    <tableColumn id="2" xr3:uid="{00000000-0010-0000-1A00-000002000000}" name="LN_Category"/>
  </tableColumns>
  <tableStyleInfo name="TableStyleLight1"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00000000-000C-0000-FFFF-FFFF1B000000}" name="Tbl_LN_G1" displayName="Tbl_LN_G1" ref="D120:G125">
  <autoFilter ref="D120:G125" xr:uid="{00000000-0009-0000-0100-00001C000000}"/>
  <tableColumns count="4">
    <tableColumn id="4" xr3:uid="{00000000-0010-0000-1B00-000004000000}" name="LN_Group1_Code"/>
    <tableColumn id="5" xr3:uid="{00000000-0010-0000-1B00-000005000000}" name="LN_Group1"/>
    <tableColumn id="6" xr3:uid="{00000000-0010-0000-1B00-000006000000}" name="LN_Group1_ITA"/>
    <tableColumn id="7" xr3:uid="{00000000-0010-0000-1B00-000007000000}" name="TM Code"/>
  </tableColumns>
  <tableStyleInfo name="TableStyleLight1"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00000000-000C-0000-FFFF-FFFF1C000000}" name="Tbl_LN_G2" displayName="Tbl_LN_G2" ref="I120:K124">
  <autoFilter ref="I120:K124" xr:uid="{00000000-0009-0000-0100-00001D000000}"/>
  <tableColumns count="3">
    <tableColumn id="9" xr3:uid="{00000000-0010-0000-1C00-000009000000}" name="LN_Group2_Code"/>
    <tableColumn id="10" xr3:uid="{00000000-0010-0000-1C00-00000A000000}" name="LN_Group2"/>
    <tableColumn id="11" xr3:uid="{00000000-0010-0000-1C00-00000B000000}" name="LN_Group2_ITA"/>
  </tableColumns>
  <tableStyleInfo name="TableStyleLight1"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00000000-000C-0000-FFFF-FFFF1D000000}" name="Tbl_ST_Cat" displayName="Tbl_ST_Cat" ref="A131:B134">
  <autoFilter ref="A131:B134" xr:uid="{00000000-0009-0000-0100-00001E000000}"/>
  <tableColumns count="2">
    <tableColumn id="1" xr3:uid="{00000000-0010-0000-1D00-000001000000}" name="ST_Category_Code"/>
    <tableColumn id="2" xr3:uid="{00000000-0010-0000-1D00-000002000000}" name="ST_Category"/>
  </tableColumns>
  <tableStyleInfo name="TableStyleLight1"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00000000-000C-0000-FFFF-FFFF1E000000}" name="Tbl_AS_G1" displayName="Tbl_AS_G1" ref="D131:G137">
  <autoFilter ref="D131:G137" xr:uid="{00000000-0009-0000-0100-00001F000000}"/>
  <tableColumns count="4">
    <tableColumn id="4" xr3:uid="{00000000-0010-0000-1E00-000004000000}" name="AS_Group1_Code"/>
    <tableColumn id="5" xr3:uid="{00000000-0010-0000-1E00-000005000000}" name="AS_Group1"/>
    <tableColumn id="6" xr3:uid="{00000000-0010-0000-1E00-000006000000}" name="AS_Group1_ITA"/>
    <tableColumn id="7" xr3:uid="{00000000-0010-0000-1E00-000007000000}" name="TM Code"/>
  </tableColumns>
  <tableStyleInfo name="TableStyleLight1"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00000000-000C-0000-FFFF-FFFF1F000000}" name="Tbl_CS_G1" displayName="Tbl_CS_G1" ref="D140:G144">
  <autoFilter ref="D140:G144" xr:uid="{00000000-0009-0000-0100-000020000000}"/>
  <tableColumns count="4">
    <tableColumn id="4" xr3:uid="{00000000-0010-0000-1F00-000004000000}" name="CS_Group1_Code"/>
    <tableColumn id="5" xr3:uid="{00000000-0010-0000-1F00-000005000000}" name="CS_Group1"/>
    <tableColumn id="6" xr3:uid="{00000000-0010-0000-1F00-000006000000}" name="CS_Group1_ITA"/>
    <tableColumn id="7" xr3:uid="{00000000-0010-0000-1F00-000007000000}" name="TM Code"/>
  </tableColumns>
  <tableStyleInfo name="TableStyleLight1"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00000000-000C-0000-FFFF-FFFF20000000}" name="Tbl_RS_G1" displayName="Tbl_RS_G1" ref="D147:G151">
  <autoFilter ref="D147:G151" xr:uid="{00000000-0009-0000-0100-000021000000}"/>
  <tableColumns count="4">
    <tableColumn id="4" xr3:uid="{00000000-0010-0000-2000-000004000000}" name="RS_Group1_Code"/>
    <tableColumn id="5" xr3:uid="{00000000-0010-0000-2000-000005000000}" name="RS_Group1"/>
    <tableColumn id="6" xr3:uid="{00000000-0010-0000-2000-000006000000}" name="RS_Group1_ITA"/>
    <tableColumn id="7" xr3:uid="{00000000-0010-0000-2000-000007000000}" name="TM Code"/>
  </tableColumns>
  <tableStyleInfo name="TableStyleLight1"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00000000-000C-0000-FFFF-FFFF21000000}" name="Tbl_ST_G2" displayName="Tbl_ST_G2" ref="I131:K137">
  <autoFilter ref="I131:K137" xr:uid="{00000000-0009-0000-0100-000022000000}"/>
  <tableColumns count="3">
    <tableColumn id="9" xr3:uid="{00000000-0010-0000-2100-000009000000}" name="ST_Group2_Code"/>
    <tableColumn id="10" xr3:uid="{00000000-0010-0000-2100-00000A000000}" name="ST_Group2"/>
    <tableColumn id="11" xr3:uid="{00000000-0010-0000-2100-00000B000000}" name="ST_Group2_ITA"/>
  </tableColumns>
  <tableStyleInfo name="TableStyleLight1"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00000000-000C-0000-FFFF-FFFF22000000}" name="Tbl_RM_Cat" displayName="Tbl_RM_Cat" ref="A157:B158">
  <autoFilter ref="A157:B158" xr:uid="{00000000-0009-0000-0100-000023000000}"/>
  <tableColumns count="2">
    <tableColumn id="1" xr3:uid="{00000000-0010-0000-2200-000001000000}" name="RM_Category_Code"/>
    <tableColumn id="2" xr3:uid="{00000000-0010-0000-2200-000002000000}" name="RM_Category"/>
  </tableColumns>
  <tableStyleInfo name="TableStyleLight1" showFirstColumn="0"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00000000-000C-0000-FFFF-FFFF23000000}" name="Tbl_RM_G1" displayName="Tbl_RM_G1" ref="D157:G162">
  <autoFilter ref="D157:G162" xr:uid="{00000000-0009-0000-0100-000024000000}"/>
  <tableColumns count="4">
    <tableColumn id="4" xr3:uid="{00000000-0010-0000-2300-000004000000}" name="RM_Group1_Code"/>
    <tableColumn id="5" xr3:uid="{00000000-0010-0000-2300-000005000000}" name="RM_Group1"/>
    <tableColumn id="6" xr3:uid="{00000000-0010-0000-2300-000006000000}" name="RM_Group1_ITA"/>
    <tableColumn id="7" xr3:uid="{00000000-0010-0000-2300-000007000000}" name="TM Code"/>
  </tableColumns>
  <tableStyleInfo name="TableStyleLight1" showFirstColumn="0" showLastColumn="0"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00000000-000C-0000-FFFF-FFFF24000000}" name="Tbl_RM_G2" displayName="Tbl_RM_G2" ref="I157:K162">
  <autoFilter ref="I157:K162" xr:uid="{00000000-0009-0000-0100-000025000000}"/>
  <tableColumns count="3">
    <tableColumn id="9" xr3:uid="{00000000-0010-0000-2400-000009000000}" name="RM_Group2_Code"/>
    <tableColumn id="10" xr3:uid="{00000000-0010-0000-2400-00000A000000}" name="RM_Group2"/>
    <tableColumn id="11" xr3:uid="{00000000-0010-0000-2400-00000B000000}" name="RM_Group2_ITA"/>
  </tableColumns>
  <tableStyleInfo name="TableStyleLight1" showFirstColumn="0" showLastColumn="0" showRowStripes="1"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00000000-000C-0000-FFFF-FFFF25000000}" name="Tbl_WL_Cat" displayName="Tbl_WL_Cat" ref="A168:B170">
  <autoFilter ref="A168:B170" xr:uid="{00000000-0009-0000-0100-000026000000}"/>
  <tableColumns count="2">
    <tableColumn id="1" xr3:uid="{00000000-0010-0000-2500-000001000000}" name="WL_Category_Code"/>
    <tableColumn id="2" xr3:uid="{00000000-0010-0000-2500-000002000000}" name="WL_Category"/>
  </tableColumns>
  <tableStyleInfo name="TableStyleLight1" showFirstColumn="0" showLastColumn="0" showRowStripes="1" showColumnStripes="0"/>
</table>
</file>

<file path=xl/tables/table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00000000-000C-0000-FFFF-FFFF26000000}" name="Tbl_BW_G1" displayName="Tbl_BW_G1" ref="D168:G174">
  <autoFilter ref="D168:G174" xr:uid="{00000000-0009-0000-0100-000027000000}"/>
  <tableColumns count="4">
    <tableColumn id="4" xr3:uid="{00000000-0010-0000-2600-000004000000}" name="BW_Group1_Code"/>
    <tableColumn id="5" xr3:uid="{00000000-0010-0000-2600-000005000000}" name="BW_Group1"/>
    <tableColumn id="6" xr3:uid="{00000000-0010-0000-2600-000006000000}" name="BW_Group1_ITA"/>
    <tableColumn id="7" xr3:uid="{00000000-0010-0000-2600-000007000000}" name="TM Code"/>
  </tableColumns>
  <tableStyleInfo name="TableStyleLight1" showFirstColumn="0" showLastColumn="0" showRowStripes="1" showColumnStripes="0"/>
</table>
</file>

<file path=xl/tables/table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 xr:uid="{00000000-000C-0000-FFFF-FFFF27000000}" name="Tbl_CW_G1" displayName="Tbl_CW_G1" ref="D177:G184">
  <autoFilter ref="D177:G184" xr:uid="{00000000-0009-0000-0100-000028000000}"/>
  <tableColumns count="4">
    <tableColumn id="4" xr3:uid="{00000000-0010-0000-2700-000004000000}" name="CW_Group1_Code"/>
    <tableColumn id="5" xr3:uid="{00000000-0010-0000-2700-000005000000}" name="CW_Group1"/>
    <tableColumn id="6" xr3:uid="{00000000-0010-0000-2700-000006000000}" name="CW_Group1_ITA"/>
    <tableColumn id="7" xr3:uid="{00000000-0010-0000-2700-000007000000}" name="TM Code"/>
  </tableColumns>
  <tableStyleInfo name="TableStyleLight1" showFirstColumn="0" showLastColumn="0" showRowStripes="1" showColumnStripes="0"/>
</table>
</file>

<file path=xl/tables/table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1" xr:uid="{00000000-000C-0000-FFFF-FFFF28000000}" name="Tbl_BW_G2" displayName="Tbl_BW_G2" ref="I168:K181">
  <autoFilter ref="I168:K181" xr:uid="{00000000-0009-0000-0100-000029000000}"/>
  <tableColumns count="3">
    <tableColumn id="9" xr3:uid="{00000000-0010-0000-2800-000009000000}" name="BW_Group2_Code"/>
    <tableColumn id="10" xr3:uid="{00000000-0010-0000-2800-00000A000000}" name="BW_Group2"/>
    <tableColumn id="11" xr3:uid="{00000000-0010-0000-2800-00000B000000}" name="BW_Group2_ITA"/>
  </tableColumns>
  <tableStyleInfo name="TableStyleLight1" showFirstColumn="0" showLastColumn="0" showRowStripes="1" showColumnStripes="0"/>
</table>
</file>

<file path=xl/tables/table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00000000-000C-0000-FFFF-FFFF29000000}" name="Tbl_CW_G2" displayName="Tbl_CW_G2" ref="I184:K195">
  <autoFilter ref="I184:K195" xr:uid="{00000000-0009-0000-0100-00002A000000}"/>
  <tableColumns count="3">
    <tableColumn id="9" xr3:uid="{00000000-0010-0000-2900-000009000000}" name="CW_Group2_Code"/>
    <tableColumn id="10" xr3:uid="{00000000-0010-0000-2900-00000A000000}" name="CW_Group2"/>
    <tableColumn id="11" xr3:uid="{00000000-0010-0000-2900-00000B000000}" name="CW_Group2_ITA"/>
  </tableColumns>
  <tableStyleInfo name="TableStyleLight1" showFirstColumn="0" showLastColumn="0" showRowStripes="1" showColumnStripes="0"/>
</table>
</file>

<file path=xl/tables/table4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 xr:uid="{00000000-000C-0000-FFFF-FFFF2A000000}" name="Tbl_CN_Cat" displayName="Tbl_CN_Cat" ref="A201:B202">
  <autoFilter ref="A201:B202" xr:uid="{00000000-0009-0000-0100-00002B000000}"/>
  <tableColumns count="2">
    <tableColumn id="1" xr3:uid="{00000000-0010-0000-2A00-000001000000}" name="CN_Category_Code"/>
    <tableColumn id="2" xr3:uid="{00000000-0010-0000-2A00-000002000000}" name="CN_Category"/>
  </tableColumns>
  <tableStyleInfo name="TableStyleLight1" showFirstColumn="0" showLastColumn="0" showRowStripes="1" showColumnStripes="0"/>
</table>
</file>

<file path=xl/tables/table4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 xr:uid="{00000000-000C-0000-FFFF-FFFF2B000000}" name="Tbl_CN_G1" displayName="Tbl_CN_G1" ref="D201:G209">
  <autoFilter ref="D201:G209" xr:uid="{00000000-0009-0000-0100-00002C000000}"/>
  <tableColumns count="4">
    <tableColumn id="4" xr3:uid="{00000000-0010-0000-2B00-000004000000}" name="CN_Group1_Code"/>
    <tableColumn id="5" xr3:uid="{00000000-0010-0000-2B00-000005000000}" name="CN_Group1"/>
    <tableColumn id="6" xr3:uid="{00000000-0010-0000-2B00-000006000000}" name="CN_Group1_ITA"/>
    <tableColumn id="7" xr3:uid="{00000000-0010-0000-2B00-000007000000}" name="TM Code"/>
  </tableColumns>
  <tableStyleInfo name="TableStyleLight1" showFirstColumn="0" showLastColumn="0" showRowStripes="1" showColumnStripes="0"/>
</table>
</file>

<file path=xl/tables/table4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5" xr:uid="{00000000-000C-0000-FFFF-FFFF2C000000}" name="Tbl_CN_G2" displayName="Tbl_CN_G2" ref="I201:K207">
  <autoFilter ref="I201:K207" xr:uid="{00000000-0009-0000-0100-00002D000000}"/>
  <tableColumns count="3">
    <tableColumn id="9" xr3:uid="{00000000-0010-0000-2C00-000009000000}" name="CN_Group2_Code"/>
    <tableColumn id="10" xr3:uid="{00000000-0010-0000-2C00-00000A000000}" name="CN_Group2"/>
    <tableColumn id="11" xr3:uid="{00000000-0010-0000-2C00-00000B000000}" name="CN_Group2_ITA"/>
  </tableColumns>
  <tableStyleInfo name="TableStyleLight1" showFirstColumn="0" showLastColumn="0" showRowStripes="1" showColumnStripes="0"/>
</table>
</file>

<file path=xl/tables/table4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 xr:uid="{00000000-000C-0000-FFFF-FFFF2D000000}" name="Tbl_TR_Cat" displayName="Tbl_TR_Cat" ref="A215:B216">
  <autoFilter ref="A215:B216" xr:uid="{00000000-0009-0000-0100-00002E000000}"/>
  <tableColumns count="2">
    <tableColumn id="1" xr3:uid="{00000000-0010-0000-2D00-000001000000}" name="TR_Category_Code"/>
    <tableColumn id="2" xr3:uid="{00000000-0010-0000-2D00-000002000000}" name="TR_Category"/>
  </tableColumns>
  <tableStyleInfo name="TableStyleLight1" showFirstColumn="0" showLastColumn="0" showRowStripes="1" showColumnStripes="0"/>
</table>
</file>

<file path=xl/tables/table4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7" xr:uid="{00000000-000C-0000-FFFF-FFFF2E000000}" name="Tbl_TR_G1" displayName="Tbl_TR_G1" ref="D215:G221">
  <autoFilter ref="D215:G221" xr:uid="{00000000-0009-0000-0100-00002F000000}"/>
  <tableColumns count="4">
    <tableColumn id="4" xr3:uid="{00000000-0010-0000-2E00-000004000000}" name="TR_Group1_Code"/>
    <tableColumn id="5" xr3:uid="{00000000-0010-0000-2E00-000005000000}" name="TR_Group1"/>
    <tableColumn id="6" xr3:uid="{00000000-0010-0000-2E00-000006000000}" name="TR_Group1_ITA"/>
    <tableColumn id="7" xr3:uid="{00000000-0010-0000-2E00-000007000000}" name="TM Code"/>
  </tableColumns>
  <tableStyleInfo name="TableStyleLight1" showFirstColumn="0" showLastColumn="0" showRowStripes="1" showColumnStripes="0"/>
</table>
</file>

<file path=xl/tables/table4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8" xr:uid="{00000000-000C-0000-FFFF-FFFF2F000000}" name="Tbl_TR_G2" displayName="Tbl_TR_G2" ref="I215:K219">
  <autoFilter ref="I215:K219" xr:uid="{00000000-0009-0000-0100-000030000000}"/>
  <tableColumns count="3">
    <tableColumn id="9" xr3:uid="{00000000-0010-0000-2F00-000009000000}" name="TR_Group2_Code"/>
    <tableColumn id="10" xr3:uid="{00000000-0010-0000-2F00-00000A000000}" name="TR_Group2"/>
    <tableColumn id="11" xr3:uid="{00000000-0010-0000-2F00-00000B000000}" name="TR_Group2_ITA"/>
  </tableColumns>
  <tableStyleInfo name="TableStyleLight1" showFirstColumn="0" showLastColumn="0" showRowStripes="1" showColumnStripes="0"/>
</table>
</file>

<file path=xl/tables/table4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9" xr:uid="{00000000-000C-0000-FFFF-FFFF30000000}" name="Tbl_HR_Cat" displayName="Tbl_HR_Cat" ref="A227:B228">
  <autoFilter ref="A227:B228" xr:uid="{00000000-0009-0000-0100-000031000000}"/>
  <tableColumns count="2">
    <tableColumn id="1" xr3:uid="{00000000-0010-0000-3000-000001000000}" name="HR_Category_Code"/>
    <tableColumn id="2" xr3:uid="{00000000-0010-0000-3000-000002000000}" name="HR_Category"/>
  </tableColumns>
  <tableStyleInfo name="TableStyleLight1" showFirstColumn="0" showLastColumn="0" showRowStripes="1" showColumnStripes="0"/>
</table>
</file>

<file path=xl/tables/table5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0" xr:uid="{00000000-000C-0000-FFFF-FFFF31000000}" name="Tbl_HR_G2" displayName="Tbl_HR_G2" ref="I227:K232">
  <autoFilter ref="I227:K232" xr:uid="{00000000-0009-0000-0100-000032000000}"/>
  <tableColumns count="3">
    <tableColumn id="9" xr3:uid="{00000000-0010-0000-3100-000009000000}" name="HR_Group2_Code"/>
    <tableColumn id="10" xr3:uid="{00000000-0010-0000-3100-00000A000000}" name="HR_Group2"/>
    <tableColumn id="11" xr3:uid="{00000000-0010-0000-3100-00000B000000}" name="HR_Group2_ITA"/>
  </tableColumns>
  <tableStyleInfo name="TableStyleLight1" showFirstColumn="0" showLastColumn="0" showRowStripes="1" showColumnStripes="0"/>
</table>
</file>

<file path=xl/tables/table5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1" xr:uid="{00000000-000C-0000-FFFF-FFFF32000000}" name="Tbl_CP_Cat" displayName="Tbl_CP_Cat" ref="A238:B239">
  <autoFilter ref="A238:B239" xr:uid="{00000000-0009-0000-0100-000033000000}"/>
  <tableColumns count="2">
    <tableColumn id="1" xr3:uid="{00000000-0010-0000-3200-000001000000}" name="CP_Category_Code"/>
    <tableColumn id="2" xr3:uid="{00000000-0010-0000-3200-000002000000}" name="CP_Category"/>
  </tableColumns>
  <tableStyleInfo name="TableStyleLight1" showFirstColumn="0" showLastColumn="0" showRowStripes="1" showColumnStripes="0"/>
</table>
</file>

<file path=xl/tables/table5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2" xr:uid="{00000000-000C-0000-FFFF-FFFF33000000}" name="Tbl_CP_G1" displayName="Tbl_CP_G1" ref="D238:G245">
  <autoFilter ref="D238:G245" xr:uid="{00000000-0009-0000-0100-000034000000}"/>
  <tableColumns count="4">
    <tableColumn id="4" xr3:uid="{00000000-0010-0000-3300-000004000000}" name="CP_Group1_Code"/>
    <tableColumn id="5" xr3:uid="{00000000-0010-0000-3300-000005000000}" name="CP_Group1"/>
    <tableColumn id="6" xr3:uid="{00000000-0010-0000-3300-000006000000}" name="CP_Group1_ITA"/>
    <tableColumn id="7" xr3:uid="{00000000-0010-0000-3300-000007000000}" name="TM Code"/>
  </tableColumns>
  <tableStyleInfo name="TableStyleLight1" showFirstColumn="0" showLastColumn="0" showRowStripes="1" showColumnStripes="0"/>
</table>
</file>

<file path=xl/tables/table5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3" xr:uid="{00000000-000C-0000-FFFF-FFFF34000000}" name="Tbl_CP_G2" displayName="Tbl_CP_G2" ref="I238:K244">
  <autoFilter ref="I238:K244" xr:uid="{00000000-0009-0000-0100-000035000000}"/>
  <tableColumns count="3">
    <tableColumn id="9" xr3:uid="{00000000-0010-0000-3400-000009000000}" name="CP_Group2_Code"/>
    <tableColumn id="10" xr3:uid="{00000000-0010-0000-3400-00000A000000}" name="CP_Group2"/>
    <tableColumn id="11" xr3:uid="{00000000-0010-0000-3400-00000B000000}" name="CP_Group2_ITA"/>
  </tableColumns>
  <tableStyleInfo name="TableStyleLight1" showFirstColumn="0" showLastColumn="0" showRowStripes="1" showColumnStripes="0"/>
</table>
</file>

<file path=xl/tables/table5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4" xr:uid="{00000000-000C-0000-FFFF-FFFF35000000}" name="Tbl_TS_Cat" displayName="Tbl_TS_Cat" ref="A251:B252">
  <autoFilter ref="A251:B252" xr:uid="{00000000-0009-0000-0100-000036000000}"/>
  <tableColumns count="2">
    <tableColumn id="1" xr3:uid="{00000000-0010-0000-3500-000001000000}" name="TS_Category_Code"/>
    <tableColumn id="2" xr3:uid="{00000000-0010-0000-3500-000002000000}" name="TS_Category"/>
  </tableColumns>
  <tableStyleInfo name="TableStyleLight1" showFirstColumn="0" showLastColumn="0" showRowStripes="1" showColumnStripes="0"/>
</table>
</file>

<file path=xl/tables/table5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5" xr:uid="{00000000-000C-0000-FFFF-FFFF36000000}" name="Tbl_TS_G1" displayName="Tbl_TS_G1" ref="D251:G257">
  <autoFilter ref="D251:G257" xr:uid="{00000000-0009-0000-0100-000037000000}"/>
  <tableColumns count="4">
    <tableColumn id="4" xr3:uid="{00000000-0010-0000-3600-000004000000}" name="TS_Group1_Code"/>
    <tableColumn id="5" xr3:uid="{00000000-0010-0000-3600-000005000000}" name="TS_Group1"/>
    <tableColumn id="6" xr3:uid="{00000000-0010-0000-3600-000006000000}" name="TS_Group1_ITA"/>
    <tableColumn id="7" xr3:uid="{00000000-0010-0000-3600-000007000000}" name="TM Code"/>
  </tableColumns>
  <tableStyleInfo name="TableStyleLight1" showFirstColumn="0" showLastColumn="0" showRowStripes="1" showColumnStripes="0"/>
</table>
</file>

<file path=xl/tables/table5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6" xr:uid="{00000000-000C-0000-FFFF-FFFF37000000}" name="Tbl_TS_G2" displayName="Tbl_TS_G2" ref="I251:K257">
  <autoFilter ref="I251:K257" xr:uid="{00000000-0009-0000-0100-000038000000}"/>
  <tableColumns count="3">
    <tableColumn id="9" xr3:uid="{00000000-0010-0000-3700-000009000000}" name="TS_Group2_Code"/>
    <tableColumn id="10" xr3:uid="{00000000-0010-0000-3700-00000A000000}" name="TS_Group2"/>
    <tableColumn id="11" xr3:uid="{00000000-0010-0000-3700-00000B000000}" name="TS_Group2_ITA"/>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3" Type="http://schemas.openxmlformats.org/officeDocument/2006/relationships/table" Target="../tables/table13.xml"/><Relationship Id="rId18" Type="http://schemas.openxmlformats.org/officeDocument/2006/relationships/table" Target="../tables/table18.xml"/><Relationship Id="rId26" Type="http://schemas.openxmlformats.org/officeDocument/2006/relationships/table" Target="../tables/table26.xml"/><Relationship Id="rId39" Type="http://schemas.openxmlformats.org/officeDocument/2006/relationships/table" Target="../tables/table39.xml"/><Relationship Id="rId21" Type="http://schemas.openxmlformats.org/officeDocument/2006/relationships/table" Target="../tables/table21.xml"/><Relationship Id="rId34" Type="http://schemas.openxmlformats.org/officeDocument/2006/relationships/table" Target="../tables/table34.xml"/><Relationship Id="rId42" Type="http://schemas.openxmlformats.org/officeDocument/2006/relationships/table" Target="../tables/table42.xml"/><Relationship Id="rId47" Type="http://schemas.openxmlformats.org/officeDocument/2006/relationships/table" Target="../tables/table47.xml"/><Relationship Id="rId50" Type="http://schemas.openxmlformats.org/officeDocument/2006/relationships/table" Target="../tables/table50.xml"/><Relationship Id="rId55" Type="http://schemas.openxmlformats.org/officeDocument/2006/relationships/table" Target="../tables/table55.xml"/><Relationship Id="rId7" Type="http://schemas.openxmlformats.org/officeDocument/2006/relationships/table" Target="../tables/table7.xml"/><Relationship Id="rId2" Type="http://schemas.openxmlformats.org/officeDocument/2006/relationships/table" Target="../tables/table2.xml"/><Relationship Id="rId16" Type="http://schemas.openxmlformats.org/officeDocument/2006/relationships/table" Target="../tables/table16.xml"/><Relationship Id="rId29" Type="http://schemas.openxmlformats.org/officeDocument/2006/relationships/table" Target="../tables/table29.xml"/><Relationship Id="rId11" Type="http://schemas.openxmlformats.org/officeDocument/2006/relationships/table" Target="../tables/table11.xml"/><Relationship Id="rId24" Type="http://schemas.openxmlformats.org/officeDocument/2006/relationships/table" Target="../tables/table24.xml"/><Relationship Id="rId32" Type="http://schemas.openxmlformats.org/officeDocument/2006/relationships/table" Target="../tables/table32.xml"/><Relationship Id="rId37" Type="http://schemas.openxmlformats.org/officeDocument/2006/relationships/table" Target="../tables/table37.xml"/><Relationship Id="rId40" Type="http://schemas.openxmlformats.org/officeDocument/2006/relationships/table" Target="../tables/table40.xml"/><Relationship Id="rId45" Type="http://schemas.openxmlformats.org/officeDocument/2006/relationships/table" Target="../tables/table45.xml"/><Relationship Id="rId53" Type="http://schemas.openxmlformats.org/officeDocument/2006/relationships/table" Target="../tables/table53.xml"/><Relationship Id="rId5" Type="http://schemas.openxmlformats.org/officeDocument/2006/relationships/table" Target="../tables/table5.xml"/><Relationship Id="rId10" Type="http://schemas.openxmlformats.org/officeDocument/2006/relationships/table" Target="../tables/table10.xml"/><Relationship Id="rId19" Type="http://schemas.openxmlformats.org/officeDocument/2006/relationships/table" Target="../tables/table19.xml"/><Relationship Id="rId31" Type="http://schemas.openxmlformats.org/officeDocument/2006/relationships/table" Target="../tables/table31.xml"/><Relationship Id="rId44" Type="http://schemas.openxmlformats.org/officeDocument/2006/relationships/table" Target="../tables/table44.xml"/><Relationship Id="rId52" Type="http://schemas.openxmlformats.org/officeDocument/2006/relationships/table" Target="../tables/table52.xml"/><Relationship Id="rId4" Type="http://schemas.openxmlformats.org/officeDocument/2006/relationships/table" Target="../tables/table4.xml"/><Relationship Id="rId9" Type="http://schemas.openxmlformats.org/officeDocument/2006/relationships/table" Target="../tables/table9.xml"/><Relationship Id="rId14" Type="http://schemas.openxmlformats.org/officeDocument/2006/relationships/table" Target="../tables/table14.xml"/><Relationship Id="rId22" Type="http://schemas.openxmlformats.org/officeDocument/2006/relationships/table" Target="../tables/table22.xml"/><Relationship Id="rId27" Type="http://schemas.openxmlformats.org/officeDocument/2006/relationships/table" Target="../tables/table27.xml"/><Relationship Id="rId30" Type="http://schemas.openxmlformats.org/officeDocument/2006/relationships/table" Target="../tables/table30.xml"/><Relationship Id="rId35" Type="http://schemas.openxmlformats.org/officeDocument/2006/relationships/table" Target="../tables/table35.xml"/><Relationship Id="rId43" Type="http://schemas.openxmlformats.org/officeDocument/2006/relationships/table" Target="../tables/table43.xml"/><Relationship Id="rId48" Type="http://schemas.openxmlformats.org/officeDocument/2006/relationships/table" Target="../tables/table48.xml"/><Relationship Id="rId56" Type="http://schemas.openxmlformats.org/officeDocument/2006/relationships/table" Target="../tables/table56.xml"/><Relationship Id="rId8" Type="http://schemas.openxmlformats.org/officeDocument/2006/relationships/table" Target="../tables/table8.xml"/><Relationship Id="rId51" Type="http://schemas.openxmlformats.org/officeDocument/2006/relationships/table" Target="../tables/table51.xml"/><Relationship Id="rId3" Type="http://schemas.openxmlformats.org/officeDocument/2006/relationships/table" Target="../tables/table3.xml"/><Relationship Id="rId12" Type="http://schemas.openxmlformats.org/officeDocument/2006/relationships/table" Target="../tables/table12.xml"/><Relationship Id="rId17" Type="http://schemas.openxmlformats.org/officeDocument/2006/relationships/table" Target="../tables/table17.xml"/><Relationship Id="rId25" Type="http://schemas.openxmlformats.org/officeDocument/2006/relationships/table" Target="../tables/table25.xml"/><Relationship Id="rId33" Type="http://schemas.openxmlformats.org/officeDocument/2006/relationships/table" Target="../tables/table33.xml"/><Relationship Id="rId38" Type="http://schemas.openxmlformats.org/officeDocument/2006/relationships/table" Target="../tables/table38.xml"/><Relationship Id="rId46" Type="http://schemas.openxmlformats.org/officeDocument/2006/relationships/table" Target="../tables/table46.xml"/><Relationship Id="rId20" Type="http://schemas.openxmlformats.org/officeDocument/2006/relationships/table" Target="../tables/table20.xml"/><Relationship Id="rId41" Type="http://schemas.openxmlformats.org/officeDocument/2006/relationships/table" Target="../tables/table41.xml"/><Relationship Id="rId54" Type="http://schemas.openxmlformats.org/officeDocument/2006/relationships/table" Target="../tables/table54.xml"/><Relationship Id="rId1" Type="http://schemas.openxmlformats.org/officeDocument/2006/relationships/table" Target="../tables/table1.xml"/><Relationship Id="rId6" Type="http://schemas.openxmlformats.org/officeDocument/2006/relationships/table" Target="../tables/table6.xml"/><Relationship Id="rId15" Type="http://schemas.openxmlformats.org/officeDocument/2006/relationships/table" Target="../tables/table15.xml"/><Relationship Id="rId23" Type="http://schemas.openxmlformats.org/officeDocument/2006/relationships/table" Target="../tables/table23.xml"/><Relationship Id="rId28" Type="http://schemas.openxmlformats.org/officeDocument/2006/relationships/table" Target="../tables/table28.xml"/><Relationship Id="rId36" Type="http://schemas.openxmlformats.org/officeDocument/2006/relationships/table" Target="../tables/table36.xml"/><Relationship Id="rId49" Type="http://schemas.openxmlformats.org/officeDocument/2006/relationships/table" Target="../tables/table4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89"/>
  <sheetViews>
    <sheetView showGridLines="0" topLeftCell="A50" workbookViewId="0">
      <selection activeCell="H85" sqref="H85"/>
    </sheetView>
  </sheetViews>
  <sheetFormatPr defaultRowHeight="15" x14ac:dyDescent="0.25"/>
  <cols>
    <col min="1" max="1" width="4" customWidth="1"/>
    <col min="2" max="2" width="30" customWidth="1"/>
    <col min="3" max="3" width="112" customWidth="1"/>
  </cols>
  <sheetData>
    <row r="1" spans="1:3" ht="24" customHeight="1" x14ac:dyDescent="0.35">
      <c r="B1" s="26" t="s">
        <v>0</v>
      </c>
    </row>
    <row r="2" spans="1:3" ht="90" customHeight="1" x14ac:dyDescent="0.25">
      <c r="B2" s="34" t="s">
        <v>1</v>
      </c>
      <c r="C2" s="31"/>
    </row>
    <row r="4" spans="1:3" ht="20.100000000000001" customHeight="1" x14ac:dyDescent="0.25">
      <c r="A4" s="27">
        <v>1</v>
      </c>
      <c r="B4" s="32" t="s">
        <v>2</v>
      </c>
      <c r="C4" s="31"/>
    </row>
    <row r="5" spans="1:3" ht="15" customHeight="1" x14ac:dyDescent="0.25">
      <c r="B5" s="33" t="s">
        <v>3</v>
      </c>
      <c r="C5" s="31"/>
    </row>
    <row r="6" spans="1:3" ht="20.100000000000001" customHeight="1" x14ac:dyDescent="0.25">
      <c r="B6" s="35" t="s">
        <v>4</v>
      </c>
      <c r="C6" s="31"/>
    </row>
    <row r="7" spans="1:3" ht="63.95" customHeight="1" x14ac:dyDescent="0.25">
      <c r="B7" s="30" t="s">
        <v>5</v>
      </c>
      <c r="C7" s="31"/>
    </row>
    <row r="9" spans="1:3" ht="20.100000000000001" customHeight="1" x14ac:dyDescent="0.25">
      <c r="A9" s="27">
        <v>2</v>
      </c>
      <c r="B9" s="32" t="s">
        <v>6</v>
      </c>
      <c r="C9" s="31"/>
    </row>
    <row r="10" spans="1:3" ht="15" customHeight="1" x14ac:dyDescent="0.25">
      <c r="B10" s="33" t="s">
        <v>3</v>
      </c>
      <c r="C10" s="31"/>
    </row>
    <row r="11" spans="1:3" ht="36" customHeight="1" x14ac:dyDescent="0.25">
      <c r="B11" s="30" t="s">
        <v>7</v>
      </c>
      <c r="C11" s="31"/>
    </row>
    <row r="12" spans="1:3" ht="36" customHeight="1" x14ac:dyDescent="0.25">
      <c r="B12" s="30" t="s">
        <v>8</v>
      </c>
      <c r="C12" s="31"/>
    </row>
    <row r="13" spans="1:3" ht="20.100000000000001" customHeight="1" x14ac:dyDescent="0.25">
      <c r="B13" s="35" t="s">
        <v>9</v>
      </c>
      <c r="C13" s="31"/>
    </row>
    <row r="14" spans="1:3" ht="38.1" customHeight="1" x14ac:dyDescent="0.25">
      <c r="B14" s="28" t="s">
        <v>10</v>
      </c>
      <c r="C14" s="29" t="s">
        <v>11</v>
      </c>
    </row>
    <row r="15" spans="1:3" ht="5.0999999999999996" customHeight="1" x14ac:dyDescent="0.25"/>
    <row r="16" spans="1:3" ht="38.1" customHeight="1" x14ac:dyDescent="0.25">
      <c r="B16" s="28" t="s">
        <v>12</v>
      </c>
      <c r="C16" s="29" t="s">
        <v>13</v>
      </c>
    </row>
    <row r="17" spans="1:3" ht="5.0999999999999996" customHeight="1" x14ac:dyDescent="0.25"/>
    <row r="18" spans="1:3" ht="38.1" customHeight="1" x14ac:dyDescent="0.25">
      <c r="B18" s="28" t="s">
        <v>14</v>
      </c>
      <c r="C18" s="29" t="s">
        <v>15</v>
      </c>
    </row>
    <row r="19" spans="1:3" ht="5.0999999999999996" customHeight="1" x14ac:dyDescent="0.25"/>
    <row r="21" spans="1:3" ht="20.100000000000001" customHeight="1" x14ac:dyDescent="0.25">
      <c r="A21" s="27">
        <v>3</v>
      </c>
      <c r="B21" s="32" t="s">
        <v>16</v>
      </c>
      <c r="C21" s="31"/>
    </row>
    <row r="22" spans="1:3" ht="15" customHeight="1" x14ac:dyDescent="0.25">
      <c r="B22" s="33" t="s">
        <v>3</v>
      </c>
      <c r="C22" s="31"/>
    </row>
    <row r="23" spans="1:3" ht="63.95" customHeight="1" x14ac:dyDescent="0.25">
      <c r="B23" s="30" t="s">
        <v>17</v>
      </c>
      <c r="C23" s="31"/>
    </row>
    <row r="24" spans="1:3" ht="38.1" customHeight="1" x14ac:dyDescent="0.25">
      <c r="B24" s="28" t="s">
        <v>18</v>
      </c>
      <c r="C24" s="29" t="s">
        <v>19</v>
      </c>
    </row>
    <row r="25" spans="1:3" ht="5.0999999999999996" customHeight="1" x14ac:dyDescent="0.25"/>
    <row r="27" spans="1:3" ht="20.100000000000001" customHeight="1" x14ac:dyDescent="0.25">
      <c r="A27" s="27">
        <v>4</v>
      </c>
      <c r="B27" s="32" t="s">
        <v>20</v>
      </c>
      <c r="C27" s="31"/>
    </row>
    <row r="28" spans="1:3" ht="15" customHeight="1" x14ac:dyDescent="0.25">
      <c r="B28" s="33" t="s">
        <v>3</v>
      </c>
      <c r="C28" s="31"/>
    </row>
    <row r="29" spans="1:3" ht="50.1" customHeight="1" x14ac:dyDescent="0.25">
      <c r="B29" s="30" t="s">
        <v>21</v>
      </c>
      <c r="C29" s="31"/>
    </row>
    <row r="30" spans="1:3" ht="38.1" customHeight="1" x14ac:dyDescent="0.25">
      <c r="B30" s="28" t="s">
        <v>22</v>
      </c>
      <c r="C30" s="29" t="s">
        <v>23</v>
      </c>
    </row>
    <row r="31" spans="1:3" ht="5.0999999999999996" customHeight="1" x14ac:dyDescent="0.25"/>
    <row r="33" spans="1:3" ht="20.100000000000001" customHeight="1" x14ac:dyDescent="0.25">
      <c r="A33" s="27">
        <v>5</v>
      </c>
      <c r="B33" s="32" t="s">
        <v>24</v>
      </c>
      <c r="C33" s="31"/>
    </row>
    <row r="34" spans="1:3" ht="15" customHeight="1" x14ac:dyDescent="0.25">
      <c r="B34" s="33" t="s">
        <v>3</v>
      </c>
      <c r="C34" s="31"/>
    </row>
    <row r="35" spans="1:3" ht="36" customHeight="1" x14ac:dyDescent="0.25">
      <c r="B35" s="30" t="s">
        <v>25</v>
      </c>
      <c r="C35" s="31"/>
    </row>
    <row r="36" spans="1:3" ht="20.100000000000001" customHeight="1" x14ac:dyDescent="0.25">
      <c r="B36" s="35" t="s">
        <v>26</v>
      </c>
      <c r="C36" s="31"/>
    </row>
    <row r="37" spans="1:3" ht="21.95" customHeight="1" x14ac:dyDescent="0.25">
      <c r="B37" s="30" t="s">
        <v>27</v>
      </c>
      <c r="C37" s="31"/>
    </row>
    <row r="39" spans="1:3" ht="20.100000000000001" customHeight="1" x14ac:dyDescent="0.25">
      <c r="A39" s="27">
        <v>6</v>
      </c>
      <c r="B39" s="32" t="s">
        <v>28</v>
      </c>
      <c r="C39" s="31"/>
    </row>
    <row r="40" spans="1:3" ht="15" customHeight="1" x14ac:dyDescent="0.25">
      <c r="B40" s="33" t="s">
        <v>3</v>
      </c>
      <c r="C40" s="31"/>
    </row>
    <row r="41" spans="1:3" ht="21.95" customHeight="1" x14ac:dyDescent="0.25">
      <c r="B41" s="30" t="s">
        <v>29</v>
      </c>
      <c r="C41" s="31"/>
    </row>
    <row r="42" spans="1:3" ht="24" customHeight="1" x14ac:dyDescent="0.25">
      <c r="B42" s="28" t="s">
        <v>30</v>
      </c>
      <c r="C42" s="29" t="s">
        <v>31</v>
      </c>
    </row>
    <row r="43" spans="1:3" ht="5.0999999999999996" customHeight="1" x14ac:dyDescent="0.25"/>
    <row r="44" spans="1:3" ht="24" customHeight="1" x14ac:dyDescent="0.25">
      <c r="B44" s="28" t="s">
        <v>32</v>
      </c>
      <c r="C44" s="29" t="s">
        <v>33</v>
      </c>
    </row>
    <row r="45" spans="1:3" ht="5.0999999999999996" customHeight="1" x14ac:dyDescent="0.25"/>
    <row r="46" spans="1:3" ht="24" customHeight="1" x14ac:dyDescent="0.25">
      <c r="B46" s="28" t="s">
        <v>34</v>
      </c>
      <c r="C46" s="29" t="s">
        <v>35</v>
      </c>
    </row>
    <row r="47" spans="1:3" ht="5.0999999999999996" customHeight="1" x14ac:dyDescent="0.25"/>
    <row r="48" spans="1:3" ht="24" customHeight="1" x14ac:dyDescent="0.25">
      <c r="B48" s="28" t="s">
        <v>36</v>
      </c>
      <c r="C48" s="29" t="s">
        <v>37</v>
      </c>
    </row>
    <row r="49" spans="1:3" ht="5.0999999999999996" customHeight="1" x14ac:dyDescent="0.25"/>
    <row r="50" spans="1:3" ht="24" customHeight="1" x14ac:dyDescent="0.25">
      <c r="B50" s="28" t="s">
        <v>38</v>
      </c>
      <c r="C50" s="29" t="s">
        <v>39</v>
      </c>
    </row>
    <row r="51" spans="1:3" ht="5.0999999999999996" customHeight="1" x14ac:dyDescent="0.25"/>
    <row r="52" spans="1:3" ht="38.1" customHeight="1" x14ac:dyDescent="0.25">
      <c r="B52" s="28" t="s">
        <v>40</v>
      </c>
      <c r="C52" s="29" t="s">
        <v>41</v>
      </c>
    </row>
    <row r="53" spans="1:3" ht="5.0999999999999996" customHeight="1" x14ac:dyDescent="0.25"/>
    <row r="55" spans="1:3" ht="20.100000000000001" customHeight="1" x14ac:dyDescent="0.25">
      <c r="A55" s="27">
        <v>7</v>
      </c>
      <c r="B55" s="32" t="s">
        <v>42</v>
      </c>
      <c r="C55" s="31"/>
    </row>
    <row r="56" spans="1:3" ht="15" customHeight="1" x14ac:dyDescent="0.25">
      <c r="B56" s="33" t="s">
        <v>43</v>
      </c>
      <c r="C56" s="31"/>
    </row>
    <row r="57" spans="1:3" ht="50.1" customHeight="1" x14ac:dyDescent="0.25">
      <c r="B57" s="30" t="s">
        <v>44</v>
      </c>
      <c r="C57" s="31"/>
    </row>
    <row r="59" spans="1:3" ht="20.100000000000001" customHeight="1" x14ac:dyDescent="0.25">
      <c r="A59" s="27">
        <v>8</v>
      </c>
      <c r="B59" s="32" t="s">
        <v>45</v>
      </c>
      <c r="C59" s="31"/>
    </row>
    <row r="60" spans="1:3" ht="15" customHeight="1" x14ac:dyDescent="0.25">
      <c r="B60" s="33" t="s">
        <v>43</v>
      </c>
      <c r="C60" s="31"/>
    </row>
    <row r="61" spans="1:3" ht="36" customHeight="1" x14ac:dyDescent="0.25">
      <c r="B61" s="30" t="s">
        <v>46</v>
      </c>
      <c r="C61" s="31"/>
    </row>
    <row r="62" spans="1:3" ht="50.1" customHeight="1" x14ac:dyDescent="0.25">
      <c r="B62" s="30" t="s">
        <v>47</v>
      </c>
      <c r="C62" s="31"/>
    </row>
    <row r="64" spans="1:3" ht="20.100000000000001" customHeight="1" x14ac:dyDescent="0.25">
      <c r="A64" s="27">
        <v>9</v>
      </c>
      <c r="B64" s="32" t="s">
        <v>48</v>
      </c>
      <c r="C64" s="31"/>
    </row>
    <row r="65" spans="1:3" ht="15" customHeight="1" x14ac:dyDescent="0.25">
      <c r="B65" s="33" t="s">
        <v>3</v>
      </c>
      <c r="C65" s="31"/>
    </row>
    <row r="66" spans="1:3" ht="50.1" customHeight="1" x14ac:dyDescent="0.25">
      <c r="B66" s="30" t="s">
        <v>49</v>
      </c>
      <c r="C66" s="31"/>
    </row>
    <row r="68" spans="1:3" ht="20.100000000000001" customHeight="1" x14ac:dyDescent="0.25">
      <c r="A68" s="27">
        <v>10</v>
      </c>
      <c r="B68" s="32" t="s">
        <v>50</v>
      </c>
      <c r="C68" s="31"/>
    </row>
    <row r="69" spans="1:3" ht="15" customHeight="1" x14ac:dyDescent="0.25">
      <c r="B69" s="33" t="s">
        <v>3</v>
      </c>
      <c r="C69" s="31"/>
    </row>
    <row r="70" spans="1:3" ht="36" customHeight="1" x14ac:dyDescent="0.25">
      <c r="B70" s="30" t="s">
        <v>51</v>
      </c>
      <c r="C70" s="31"/>
    </row>
    <row r="71" spans="1:3" ht="38.1" customHeight="1" x14ac:dyDescent="0.25">
      <c r="B71" s="28" t="s">
        <v>52</v>
      </c>
      <c r="C71" s="29" t="s">
        <v>53</v>
      </c>
    </row>
    <row r="72" spans="1:3" ht="5.0999999999999996" customHeight="1" x14ac:dyDescent="0.25"/>
    <row r="73" spans="1:3" ht="38.1" customHeight="1" x14ac:dyDescent="0.25">
      <c r="B73" s="28" t="s">
        <v>54</v>
      </c>
      <c r="C73" s="29" t="s">
        <v>55</v>
      </c>
    </row>
    <row r="74" spans="1:3" ht="5.0999999999999996" customHeight="1" x14ac:dyDescent="0.25"/>
    <row r="75" spans="1:3" ht="24" customHeight="1" x14ac:dyDescent="0.25">
      <c r="B75" s="28" t="s">
        <v>56</v>
      </c>
      <c r="C75" s="29" t="s">
        <v>57</v>
      </c>
    </row>
    <row r="76" spans="1:3" ht="5.0999999999999996" customHeight="1" x14ac:dyDescent="0.25"/>
    <row r="78" spans="1:3" ht="20.100000000000001" customHeight="1" x14ac:dyDescent="0.25">
      <c r="A78" s="27">
        <v>11</v>
      </c>
      <c r="B78" s="32" t="s">
        <v>58</v>
      </c>
      <c r="C78" s="31"/>
    </row>
    <row r="79" spans="1:3" ht="15" customHeight="1" x14ac:dyDescent="0.25">
      <c r="B79" s="33" t="s">
        <v>3</v>
      </c>
      <c r="C79" s="31"/>
    </row>
    <row r="80" spans="1:3" ht="50.1" customHeight="1" x14ac:dyDescent="0.25">
      <c r="B80" s="30" t="s">
        <v>59</v>
      </c>
      <c r="C80" s="31"/>
    </row>
    <row r="82" spans="1:3" ht="20.100000000000001" customHeight="1" x14ac:dyDescent="0.25">
      <c r="A82" s="27">
        <v>12</v>
      </c>
      <c r="B82" s="32" t="s">
        <v>60</v>
      </c>
      <c r="C82" s="31"/>
    </row>
    <row r="83" spans="1:3" ht="15" customHeight="1" x14ac:dyDescent="0.25">
      <c r="B83" s="33" t="s">
        <v>3</v>
      </c>
      <c r="C83" s="31"/>
    </row>
    <row r="84" spans="1:3" ht="36" customHeight="1" x14ac:dyDescent="0.25">
      <c r="B84" s="30" t="s">
        <v>61</v>
      </c>
      <c r="C84" s="31"/>
    </row>
    <row r="85" spans="1:3" ht="50.1" customHeight="1" x14ac:dyDescent="0.25">
      <c r="B85" s="30" t="s">
        <v>62</v>
      </c>
      <c r="C85" s="31"/>
    </row>
    <row r="87" spans="1:3" ht="20.100000000000001" customHeight="1" x14ac:dyDescent="0.25">
      <c r="A87" s="27">
        <v>13</v>
      </c>
      <c r="B87" s="32" t="s">
        <v>63</v>
      </c>
      <c r="C87" s="31"/>
    </row>
    <row r="88" spans="1:3" ht="15" customHeight="1" x14ac:dyDescent="0.25">
      <c r="B88" s="33" t="s">
        <v>3</v>
      </c>
      <c r="C88" s="31"/>
    </row>
    <row r="89" spans="1:3" ht="63.95" customHeight="1" x14ac:dyDescent="0.25">
      <c r="B89" s="30" t="s">
        <v>64</v>
      </c>
      <c r="C89" s="31"/>
    </row>
  </sheetData>
  <mergeCells count="47">
    <mergeCell ref="B4:C4"/>
    <mergeCell ref="B80:C80"/>
    <mergeCell ref="B89:C89"/>
    <mergeCell ref="B85:C85"/>
    <mergeCell ref="B36:C36"/>
    <mergeCell ref="B41:C41"/>
    <mergeCell ref="B88:C88"/>
    <mergeCell ref="B82:C82"/>
    <mergeCell ref="B13:C13"/>
    <mergeCell ref="B69:C69"/>
    <mergeCell ref="B87:C87"/>
    <mergeCell ref="B78:C78"/>
    <mergeCell ref="B29:C29"/>
    <mergeCell ref="B34:C34"/>
    <mergeCell ref="B37:C37"/>
    <mergeCell ref="B28:C28"/>
    <mergeCell ref="B84:C84"/>
    <mergeCell ref="B40:C40"/>
    <mergeCell ref="B65:C65"/>
    <mergeCell ref="B83:C83"/>
    <mergeCell ref="B55:C55"/>
    <mergeCell ref="B68:C68"/>
    <mergeCell ref="B79:C79"/>
    <mergeCell ref="B70:C70"/>
    <mergeCell ref="B21:C21"/>
    <mergeCell ref="B2:C2"/>
    <mergeCell ref="B11:C11"/>
    <mergeCell ref="B23:C23"/>
    <mergeCell ref="B61:C61"/>
    <mergeCell ref="B60:C60"/>
    <mergeCell ref="B57:C57"/>
    <mergeCell ref="B10:C10"/>
    <mergeCell ref="B9:C9"/>
    <mergeCell ref="B6:C6"/>
    <mergeCell ref="B64:C64"/>
    <mergeCell ref="B33:C33"/>
    <mergeCell ref="B5:C5"/>
    <mergeCell ref="B35:C35"/>
    <mergeCell ref="B62:C62"/>
    <mergeCell ref="B7:C7"/>
    <mergeCell ref="B59:C59"/>
    <mergeCell ref="B22:C22"/>
    <mergeCell ref="B66:C66"/>
    <mergeCell ref="B27:C27"/>
    <mergeCell ref="B56:C56"/>
    <mergeCell ref="B12:C12"/>
    <mergeCell ref="B39:C39"/>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265"/>
  <sheetViews>
    <sheetView showGridLines="0" workbookViewId="0">
      <pane ySplit="1" topLeftCell="A5" activePane="bottomLeft" state="frozen"/>
      <selection pane="bottomLeft"/>
    </sheetView>
  </sheetViews>
  <sheetFormatPr defaultRowHeight="15" x14ac:dyDescent="0.25"/>
  <cols>
    <col min="1" max="1" width="20" customWidth="1"/>
    <col min="2" max="2" width="22" customWidth="1"/>
    <col min="3" max="3" width="3" customWidth="1"/>
    <col min="4" max="4" width="17" customWidth="1"/>
    <col min="5" max="5" width="20" customWidth="1"/>
    <col min="6" max="6" width="62" customWidth="1"/>
    <col min="7" max="7" width="14" customWidth="1"/>
    <col min="8" max="8" width="16" customWidth="1"/>
    <col min="9" max="9" width="17" customWidth="1"/>
    <col min="10" max="10" width="18" customWidth="1"/>
    <col min="11" max="11" width="66" customWidth="1"/>
    <col min="12" max="12" width="3" customWidth="1"/>
    <col min="13" max="13" width="16" customWidth="1"/>
    <col min="14" max="14" width="22" customWidth="1"/>
  </cols>
  <sheetData>
    <row r="1" spans="1:14" ht="15.75" x14ac:dyDescent="0.25">
      <c r="A1" s="1" t="s">
        <v>65</v>
      </c>
      <c r="G1" s="2" t="s">
        <v>66</v>
      </c>
      <c r="J1" s="2" t="s">
        <v>67</v>
      </c>
      <c r="M1" s="2" t="s">
        <v>68</v>
      </c>
    </row>
    <row r="2" spans="1:14" x14ac:dyDescent="0.25">
      <c r="A2" s="3" t="s">
        <v>69</v>
      </c>
      <c r="B2" s="3" t="s">
        <v>70</v>
      </c>
      <c r="D2" s="3" t="s">
        <v>71</v>
      </c>
      <c r="E2" s="3" t="s">
        <v>72</v>
      </c>
      <c r="G2" s="3" t="s">
        <v>73</v>
      </c>
      <c r="H2" s="3" t="s">
        <v>74</v>
      </c>
      <c r="J2" s="3" t="s">
        <v>75</v>
      </c>
      <c r="K2" s="3" t="s">
        <v>76</v>
      </c>
      <c r="M2" s="3" t="s">
        <v>77</v>
      </c>
      <c r="N2" s="3" t="s">
        <v>78</v>
      </c>
    </row>
    <row r="3" spans="1:14" x14ac:dyDescent="0.25">
      <c r="A3" s="4" t="s">
        <v>79</v>
      </c>
      <c r="B3" s="4" t="s">
        <v>80</v>
      </c>
      <c r="D3" s="4" t="s">
        <v>81</v>
      </c>
      <c r="E3" s="4" t="s">
        <v>82</v>
      </c>
      <c r="G3" s="4" t="s">
        <v>81</v>
      </c>
      <c r="H3" s="4" t="s">
        <v>82</v>
      </c>
      <c r="J3" s="4" t="s">
        <v>83</v>
      </c>
      <c r="K3" s="4" t="s">
        <v>84</v>
      </c>
      <c r="M3" s="4" t="s">
        <v>85</v>
      </c>
      <c r="N3" s="4" t="s">
        <v>86</v>
      </c>
    </row>
    <row r="4" spans="1:14" x14ac:dyDescent="0.25">
      <c r="D4" s="4" t="s">
        <v>87</v>
      </c>
      <c r="E4" s="4" t="s">
        <v>88</v>
      </c>
      <c r="G4" s="4" t="s">
        <v>87</v>
      </c>
      <c r="H4" s="4" t="s">
        <v>88</v>
      </c>
      <c r="M4" s="4" t="s">
        <v>89</v>
      </c>
      <c r="N4" s="4" t="s">
        <v>90</v>
      </c>
    </row>
    <row r="5" spans="1:14" x14ac:dyDescent="0.25">
      <c r="D5" s="4" t="s">
        <v>91</v>
      </c>
      <c r="E5" s="4" t="s">
        <v>92</v>
      </c>
      <c r="M5" s="4" t="s">
        <v>93</v>
      </c>
      <c r="N5" s="4" t="s">
        <v>94</v>
      </c>
    </row>
    <row r="6" spans="1:14" x14ac:dyDescent="0.25">
      <c r="M6" s="4" t="s">
        <v>95</v>
      </c>
      <c r="N6" s="4" t="s">
        <v>96</v>
      </c>
    </row>
    <row r="7" spans="1:14" x14ac:dyDescent="0.25">
      <c r="M7" s="4" t="s">
        <v>97</v>
      </c>
      <c r="N7" s="4" t="s">
        <v>98</v>
      </c>
    </row>
    <row r="8" spans="1:14" x14ac:dyDescent="0.25">
      <c r="M8" s="4" t="s">
        <v>99</v>
      </c>
      <c r="N8" s="4" t="s">
        <v>100</v>
      </c>
    </row>
    <row r="9" spans="1:14" x14ac:dyDescent="0.25">
      <c r="M9" s="4" t="s">
        <v>101</v>
      </c>
      <c r="N9" s="4" t="s">
        <v>102</v>
      </c>
    </row>
    <row r="10" spans="1:14" x14ac:dyDescent="0.25">
      <c r="M10" s="4" t="s">
        <v>103</v>
      </c>
      <c r="N10" s="4" t="s">
        <v>104</v>
      </c>
    </row>
    <row r="11" spans="1:14" x14ac:dyDescent="0.25">
      <c r="M11" s="4" t="s">
        <v>105</v>
      </c>
      <c r="N11" s="4" t="s">
        <v>106</v>
      </c>
    </row>
    <row r="12" spans="1:14" x14ac:dyDescent="0.25">
      <c r="M12" s="4" t="s">
        <v>107</v>
      </c>
      <c r="N12" s="4" t="s">
        <v>108</v>
      </c>
    </row>
    <row r="14" spans="1:14" x14ac:dyDescent="0.25">
      <c r="M14" s="2" t="s">
        <v>109</v>
      </c>
    </row>
    <row r="15" spans="1:14" x14ac:dyDescent="0.25">
      <c r="M15" s="3" t="s">
        <v>110</v>
      </c>
      <c r="N15" s="3" t="s">
        <v>111</v>
      </c>
    </row>
    <row r="16" spans="1:14" x14ac:dyDescent="0.25">
      <c r="M16" s="4" t="s">
        <v>112</v>
      </c>
      <c r="N16" s="4" t="s">
        <v>113</v>
      </c>
    </row>
    <row r="17" spans="13:14" x14ac:dyDescent="0.25">
      <c r="M17" s="4" t="s">
        <v>114</v>
      </c>
      <c r="N17" s="4" t="s">
        <v>115</v>
      </c>
    </row>
    <row r="18" spans="13:14" x14ac:dyDescent="0.25">
      <c r="M18" s="4" t="s">
        <v>116</v>
      </c>
      <c r="N18" s="4" t="s">
        <v>117</v>
      </c>
    </row>
    <row r="19" spans="13:14" x14ac:dyDescent="0.25">
      <c r="M19" s="4" t="s">
        <v>118</v>
      </c>
      <c r="N19" s="4" t="s">
        <v>119</v>
      </c>
    </row>
    <row r="20" spans="13:14" x14ac:dyDescent="0.25">
      <c r="M20" s="2" t="s">
        <v>120</v>
      </c>
    </row>
    <row r="21" spans="13:14" x14ac:dyDescent="0.25">
      <c r="M21" s="3" t="s">
        <v>121</v>
      </c>
      <c r="N21" s="3" t="s">
        <v>122</v>
      </c>
    </row>
    <row r="22" spans="13:14" x14ac:dyDescent="0.25">
      <c r="M22" s="4" t="s">
        <v>123</v>
      </c>
      <c r="N22" s="4" t="s">
        <v>124</v>
      </c>
    </row>
    <row r="23" spans="13:14" x14ac:dyDescent="0.25">
      <c r="M23" s="4" t="s">
        <v>97</v>
      </c>
      <c r="N23" s="4" t="s">
        <v>125</v>
      </c>
    </row>
    <row r="25" spans="13:14" x14ac:dyDescent="0.25">
      <c r="M25" s="2" t="s">
        <v>126</v>
      </c>
    </row>
    <row r="26" spans="13:14" x14ac:dyDescent="0.25">
      <c r="M26" s="3" t="s">
        <v>127</v>
      </c>
      <c r="N26" s="3" t="s">
        <v>128</v>
      </c>
    </row>
    <row r="27" spans="13:14" x14ac:dyDescent="0.25">
      <c r="M27" s="4"/>
      <c r="N27" s="4" t="s">
        <v>129</v>
      </c>
    </row>
    <row r="28" spans="13:14" x14ac:dyDescent="0.25">
      <c r="M28" s="4" t="s">
        <v>130</v>
      </c>
      <c r="N28" s="4" t="s">
        <v>131</v>
      </c>
    </row>
    <row r="30" spans="13:14" x14ac:dyDescent="0.25">
      <c r="M30" s="2" t="s">
        <v>132</v>
      </c>
    </row>
    <row r="31" spans="13:14" x14ac:dyDescent="0.25">
      <c r="M31" s="3" t="s">
        <v>133</v>
      </c>
      <c r="N31" s="3" t="s">
        <v>134</v>
      </c>
    </row>
    <row r="32" spans="13:14" x14ac:dyDescent="0.25">
      <c r="M32" s="4"/>
      <c r="N32" s="4" t="s">
        <v>135</v>
      </c>
    </row>
    <row r="33" spans="1:14" x14ac:dyDescent="0.25">
      <c r="M33" s="4" t="s">
        <v>136</v>
      </c>
      <c r="N33" s="4" t="s">
        <v>137</v>
      </c>
    </row>
    <row r="38" spans="1:14" ht="15.75" x14ac:dyDescent="0.25">
      <c r="A38" s="1" t="s">
        <v>138</v>
      </c>
    </row>
    <row r="39" spans="1:14" x14ac:dyDescent="0.25">
      <c r="A39" s="3" t="s">
        <v>139</v>
      </c>
      <c r="B39" s="3" t="s">
        <v>140</v>
      </c>
      <c r="D39" s="3" t="s">
        <v>141</v>
      </c>
      <c r="E39" s="3" t="s">
        <v>142</v>
      </c>
      <c r="F39" s="3" t="s">
        <v>143</v>
      </c>
      <c r="G39" s="3" t="s">
        <v>144</v>
      </c>
      <c r="I39" s="3" t="s">
        <v>145</v>
      </c>
      <c r="J39" s="3" t="s">
        <v>146</v>
      </c>
      <c r="K39" s="3" t="s">
        <v>147</v>
      </c>
    </row>
    <row r="40" spans="1:14" x14ac:dyDescent="0.25">
      <c r="A40" s="4" t="s">
        <v>148</v>
      </c>
      <c r="B40" s="4" t="s">
        <v>149</v>
      </c>
      <c r="D40" s="4" t="s">
        <v>150</v>
      </c>
      <c r="E40" s="4" t="s">
        <v>151</v>
      </c>
      <c r="F40" s="5" t="s">
        <v>152</v>
      </c>
      <c r="G40" s="5" t="s">
        <v>153</v>
      </c>
      <c r="I40" s="4" t="s">
        <v>154</v>
      </c>
      <c r="J40" s="4" t="s">
        <v>155</v>
      </c>
      <c r="K40" s="5" t="s">
        <v>156</v>
      </c>
    </row>
    <row r="41" spans="1:14" x14ac:dyDescent="0.25">
      <c r="D41" s="4" t="s">
        <v>157</v>
      </c>
      <c r="E41" s="4" t="s">
        <v>158</v>
      </c>
      <c r="F41" s="5" t="s">
        <v>159</v>
      </c>
      <c r="G41" s="5" t="s">
        <v>160</v>
      </c>
      <c r="I41" s="4" t="s">
        <v>161</v>
      </c>
      <c r="J41" s="4" t="s">
        <v>162</v>
      </c>
      <c r="K41" s="5" t="s">
        <v>163</v>
      </c>
    </row>
    <row r="42" spans="1:14" x14ac:dyDescent="0.25">
      <c r="D42" s="4" t="s">
        <v>164</v>
      </c>
      <c r="E42" s="4" t="s">
        <v>165</v>
      </c>
      <c r="F42" s="5" t="s">
        <v>166</v>
      </c>
      <c r="G42" s="5" t="s">
        <v>167</v>
      </c>
      <c r="I42" s="4" t="s">
        <v>168</v>
      </c>
      <c r="J42" s="4" t="s">
        <v>169</v>
      </c>
      <c r="K42" s="5" t="s">
        <v>170</v>
      </c>
    </row>
    <row r="43" spans="1:14" x14ac:dyDescent="0.25">
      <c r="D43" s="4" t="s">
        <v>171</v>
      </c>
      <c r="E43" s="4" t="s">
        <v>172</v>
      </c>
      <c r="F43" s="5" t="s">
        <v>173</v>
      </c>
      <c r="G43" s="5" t="s">
        <v>174</v>
      </c>
      <c r="I43" s="4" t="s">
        <v>175</v>
      </c>
      <c r="J43" s="4" t="s">
        <v>176</v>
      </c>
      <c r="K43" s="5" t="s">
        <v>177</v>
      </c>
    </row>
    <row r="44" spans="1:14" x14ac:dyDescent="0.25">
      <c r="D44" s="4" t="s">
        <v>178</v>
      </c>
      <c r="E44" s="4" t="s">
        <v>179</v>
      </c>
      <c r="F44" s="5" t="s">
        <v>180</v>
      </c>
      <c r="G44" s="5" t="s">
        <v>181</v>
      </c>
      <c r="I44" s="4" t="s">
        <v>182</v>
      </c>
      <c r="J44" s="4" t="s">
        <v>183</v>
      </c>
      <c r="K44" s="5" t="s">
        <v>184</v>
      </c>
    </row>
    <row r="45" spans="1:14" x14ac:dyDescent="0.25">
      <c r="D45" s="4" t="s">
        <v>107</v>
      </c>
      <c r="E45" s="4" t="s">
        <v>108</v>
      </c>
      <c r="F45" s="5" t="s">
        <v>185</v>
      </c>
      <c r="G45" s="5" t="s">
        <v>186</v>
      </c>
      <c r="I45" s="4" t="s">
        <v>187</v>
      </c>
      <c r="J45" s="4" t="s">
        <v>188</v>
      </c>
      <c r="K45" s="5" t="s">
        <v>189</v>
      </c>
    </row>
    <row r="46" spans="1:14" x14ac:dyDescent="0.25">
      <c r="I46" s="4" t="s">
        <v>190</v>
      </c>
      <c r="J46" s="4" t="s">
        <v>191</v>
      </c>
      <c r="K46" s="5" t="s">
        <v>192</v>
      </c>
    </row>
    <row r="47" spans="1:14" x14ac:dyDescent="0.25">
      <c r="I47" s="4" t="s">
        <v>107</v>
      </c>
      <c r="J47" s="4" t="s">
        <v>108</v>
      </c>
      <c r="K47" s="5" t="s">
        <v>193</v>
      </c>
    </row>
    <row r="52" spans="1:11" ht="15.75" x14ac:dyDescent="0.25">
      <c r="A52" s="1" t="s">
        <v>194</v>
      </c>
    </row>
    <row r="53" spans="1:11" x14ac:dyDescent="0.25">
      <c r="A53" s="3" t="s">
        <v>195</v>
      </c>
      <c r="B53" s="3" t="s">
        <v>196</v>
      </c>
      <c r="D53" s="3" t="s">
        <v>197</v>
      </c>
      <c r="E53" s="3" t="s">
        <v>198</v>
      </c>
      <c r="F53" s="3" t="s">
        <v>199</v>
      </c>
      <c r="G53" s="3" t="s">
        <v>144</v>
      </c>
      <c r="I53" s="3" t="s">
        <v>200</v>
      </c>
      <c r="J53" s="3" t="s">
        <v>201</v>
      </c>
      <c r="K53" s="3" t="s">
        <v>202</v>
      </c>
    </row>
    <row r="54" spans="1:11" x14ac:dyDescent="0.25">
      <c r="A54" s="4" t="s">
        <v>203</v>
      </c>
      <c r="B54" s="4" t="s">
        <v>204</v>
      </c>
      <c r="D54" s="4" t="s">
        <v>150</v>
      </c>
      <c r="E54" s="4" t="s">
        <v>151</v>
      </c>
      <c r="F54" s="5" t="s">
        <v>152</v>
      </c>
      <c r="G54" s="5" t="s">
        <v>153</v>
      </c>
      <c r="I54" s="4" t="s">
        <v>154</v>
      </c>
      <c r="J54" s="4" t="s">
        <v>155</v>
      </c>
      <c r="K54" s="5" t="s">
        <v>205</v>
      </c>
    </row>
    <row r="55" spans="1:11" x14ac:dyDescent="0.25">
      <c r="A55" s="4" t="s">
        <v>206</v>
      </c>
      <c r="B55" s="4" t="s">
        <v>207</v>
      </c>
      <c r="D55" s="4" t="s">
        <v>208</v>
      </c>
      <c r="E55" s="4" t="s">
        <v>209</v>
      </c>
      <c r="F55" s="5" t="s">
        <v>210</v>
      </c>
      <c r="G55" s="5" t="s">
        <v>160</v>
      </c>
      <c r="I55" s="4" t="s">
        <v>161</v>
      </c>
      <c r="J55" s="4" t="s">
        <v>162</v>
      </c>
      <c r="K55" s="5" t="s">
        <v>211</v>
      </c>
    </row>
    <row r="56" spans="1:11" x14ac:dyDescent="0.25">
      <c r="D56" s="4" t="s">
        <v>171</v>
      </c>
      <c r="E56" s="4" t="s">
        <v>172</v>
      </c>
      <c r="F56" s="5" t="s">
        <v>212</v>
      </c>
      <c r="G56" s="5" t="s">
        <v>167</v>
      </c>
      <c r="I56" s="4" t="s">
        <v>213</v>
      </c>
      <c r="J56" s="4" t="s">
        <v>214</v>
      </c>
      <c r="K56" s="5" t="s">
        <v>215</v>
      </c>
    </row>
    <row r="57" spans="1:11" x14ac:dyDescent="0.25">
      <c r="D57" s="4" t="s">
        <v>216</v>
      </c>
      <c r="E57" s="4" t="s">
        <v>217</v>
      </c>
      <c r="F57" s="5" t="s">
        <v>218</v>
      </c>
      <c r="G57" s="5" t="s">
        <v>174</v>
      </c>
      <c r="I57" s="4" t="s">
        <v>219</v>
      </c>
      <c r="J57" s="4" t="s">
        <v>220</v>
      </c>
      <c r="K57" s="5" t="s">
        <v>221</v>
      </c>
    </row>
    <row r="58" spans="1:11" x14ac:dyDescent="0.25">
      <c r="D58" s="4" t="s">
        <v>222</v>
      </c>
      <c r="E58" s="4" t="s">
        <v>223</v>
      </c>
      <c r="F58" s="5" t="s">
        <v>224</v>
      </c>
      <c r="G58" s="5" t="s">
        <v>181</v>
      </c>
      <c r="I58" s="4" t="s">
        <v>175</v>
      </c>
      <c r="J58" s="4" t="s">
        <v>176</v>
      </c>
      <c r="K58" s="5" t="s">
        <v>225</v>
      </c>
    </row>
    <row r="59" spans="1:11" x14ac:dyDescent="0.25">
      <c r="D59" s="4" t="s">
        <v>157</v>
      </c>
      <c r="E59" s="4" t="s">
        <v>158</v>
      </c>
      <c r="F59" s="5" t="s">
        <v>226</v>
      </c>
      <c r="G59" s="5" t="s">
        <v>227</v>
      </c>
      <c r="I59" s="4" t="s">
        <v>228</v>
      </c>
      <c r="J59" s="4" t="s">
        <v>229</v>
      </c>
      <c r="K59" s="5" t="s">
        <v>230</v>
      </c>
    </row>
    <row r="60" spans="1:11" x14ac:dyDescent="0.25">
      <c r="D60" s="4" t="s">
        <v>178</v>
      </c>
      <c r="E60" s="4" t="s">
        <v>179</v>
      </c>
      <c r="F60" s="5" t="s">
        <v>231</v>
      </c>
      <c r="G60" s="5" t="s">
        <v>232</v>
      </c>
      <c r="I60" s="4" t="s">
        <v>233</v>
      </c>
      <c r="J60" s="4" t="s">
        <v>234</v>
      </c>
      <c r="K60" s="5" t="s">
        <v>235</v>
      </c>
    </row>
    <row r="61" spans="1:11" x14ac:dyDescent="0.25">
      <c r="D61" s="4" t="s">
        <v>103</v>
      </c>
      <c r="E61" s="4" t="s">
        <v>236</v>
      </c>
      <c r="F61" s="5" t="s">
        <v>237</v>
      </c>
      <c r="G61" s="5" t="s">
        <v>238</v>
      </c>
      <c r="I61" s="4" t="s">
        <v>190</v>
      </c>
      <c r="J61" s="4" t="s">
        <v>191</v>
      </c>
      <c r="K61" s="5" t="s">
        <v>239</v>
      </c>
    </row>
    <row r="62" spans="1:11" x14ac:dyDescent="0.25">
      <c r="D62" s="4" t="s">
        <v>107</v>
      </c>
      <c r="E62" s="4" t="s">
        <v>108</v>
      </c>
      <c r="F62" s="5" t="s">
        <v>185</v>
      </c>
      <c r="G62" s="5" t="s">
        <v>186</v>
      </c>
      <c r="I62" s="4" t="s">
        <v>187</v>
      </c>
      <c r="J62" s="4" t="s">
        <v>188</v>
      </c>
      <c r="K62" s="5" t="s">
        <v>240</v>
      </c>
    </row>
    <row r="63" spans="1:11" x14ac:dyDescent="0.25">
      <c r="I63" s="4" t="s">
        <v>107</v>
      </c>
      <c r="J63" s="4" t="s">
        <v>108</v>
      </c>
      <c r="K63" s="5" t="s">
        <v>193</v>
      </c>
    </row>
    <row r="68" spans="1:11" ht="15.75" x14ac:dyDescent="0.25">
      <c r="A68" s="1" t="s">
        <v>241</v>
      </c>
    </row>
    <row r="69" spans="1:11" x14ac:dyDescent="0.25">
      <c r="A69" s="3" t="s">
        <v>242</v>
      </c>
      <c r="B69" s="3" t="s">
        <v>243</v>
      </c>
      <c r="D69" s="3" t="s">
        <v>244</v>
      </c>
      <c r="E69" s="3" t="s">
        <v>245</v>
      </c>
      <c r="F69" s="3" t="s">
        <v>246</v>
      </c>
      <c r="G69" s="3" t="s">
        <v>144</v>
      </c>
      <c r="I69" s="3" t="s">
        <v>247</v>
      </c>
      <c r="J69" s="3" t="s">
        <v>248</v>
      </c>
      <c r="K69" s="3" t="s">
        <v>249</v>
      </c>
    </row>
    <row r="70" spans="1:11" x14ac:dyDescent="0.25">
      <c r="A70" s="4" t="s">
        <v>250</v>
      </c>
      <c r="B70" s="4" t="s">
        <v>251</v>
      </c>
      <c r="D70" s="4" t="s">
        <v>150</v>
      </c>
      <c r="E70" s="4" t="s">
        <v>151</v>
      </c>
      <c r="F70" s="5" t="s">
        <v>152</v>
      </c>
      <c r="G70" s="5" t="s">
        <v>153</v>
      </c>
      <c r="I70" s="4" t="s">
        <v>252</v>
      </c>
      <c r="J70" s="4" t="s">
        <v>253</v>
      </c>
      <c r="K70" s="5" t="s">
        <v>254</v>
      </c>
    </row>
    <row r="71" spans="1:11" x14ac:dyDescent="0.25">
      <c r="A71" s="4" t="s">
        <v>255</v>
      </c>
      <c r="B71" s="4" t="s">
        <v>256</v>
      </c>
      <c r="D71" s="4" t="s">
        <v>208</v>
      </c>
      <c r="E71" s="4" t="s">
        <v>209</v>
      </c>
      <c r="F71" s="5" t="s">
        <v>210</v>
      </c>
      <c r="G71" s="5" t="s">
        <v>160</v>
      </c>
      <c r="I71" s="4" t="s">
        <v>257</v>
      </c>
      <c r="J71" s="4" t="s">
        <v>258</v>
      </c>
      <c r="K71" s="5" t="s">
        <v>259</v>
      </c>
    </row>
    <row r="72" spans="1:11" x14ac:dyDescent="0.25">
      <c r="D72" s="4" t="s">
        <v>171</v>
      </c>
      <c r="E72" s="4" t="s">
        <v>172</v>
      </c>
      <c r="F72" s="5" t="s">
        <v>260</v>
      </c>
      <c r="G72" s="5" t="s">
        <v>167</v>
      </c>
      <c r="I72" s="4" t="s">
        <v>261</v>
      </c>
      <c r="J72" s="4" t="s">
        <v>262</v>
      </c>
      <c r="K72" s="5" t="s">
        <v>263</v>
      </c>
    </row>
    <row r="73" spans="1:11" x14ac:dyDescent="0.25">
      <c r="D73" s="4" t="s">
        <v>216</v>
      </c>
      <c r="E73" s="4" t="s">
        <v>217</v>
      </c>
      <c r="F73" s="5" t="s">
        <v>264</v>
      </c>
      <c r="G73" s="5" t="s">
        <v>174</v>
      </c>
      <c r="I73" s="4" t="s">
        <v>265</v>
      </c>
      <c r="J73" s="4" t="s">
        <v>266</v>
      </c>
      <c r="K73" s="5" t="s">
        <v>267</v>
      </c>
    </row>
    <row r="74" spans="1:11" x14ac:dyDescent="0.25">
      <c r="D74" s="4" t="s">
        <v>222</v>
      </c>
      <c r="E74" s="4" t="s">
        <v>223</v>
      </c>
      <c r="F74" s="5" t="s">
        <v>268</v>
      </c>
      <c r="G74" s="5" t="s">
        <v>181</v>
      </c>
      <c r="I74" s="4" t="s">
        <v>269</v>
      </c>
      <c r="J74" s="4" t="s">
        <v>270</v>
      </c>
      <c r="K74" s="5" t="s">
        <v>271</v>
      </c>
    </row>
    <row r="75" spans="1:11" x14ac:dyDescent="0.25">
      <c r="D75" s="4" t="s">
        <v>157</v>
      </c>
      <c r="E75" s="4" t="s">
        <v>158</v>
      </c>
      <c r="F75" s="5" t="s">
        <v>226</v>
      </c>
      <c r="G75" s="5" t="s">
        <v>227</v>
      </c>
      <c r="I75" s="4" t="s">
        <v>272</v>
      </c>
      <c r="J75" s="4" t="s">
        <v>273</v>
      </c>
      <c r="K75" s="5" t="s">
        <v>274</v>
      </c>
    </row>
    <row r="76" spans="1:11" x14ac:dyDescent="0.25">
      <c r="D76" s="4" t="s">
        <v>178</v>
      </c>
      <c r="E76" s="4" t="s">
        <v>179</v>
      </c>
      <c r="F76" s="5" t="s">
        <v>275</v>
      </c>
      <c r="G76" s="5" t="s">
        <v>232</v>
      </c>
      <c r="I76" s="4" t="s">
        <v>190</v>
      </c>
      <c r="J76" s="4" t="s">
        <v>191</v>
      </c>
      <c r="K76" s="5" t="s">
        <v>239</v>
      </c>
    </row>
    <row r="77" spans="1:11" x14ac:dyDescent="0.25">
      <c r="D77" s="4" t="s">
        <v>103</v>
      </c>
      <c r="E77" s="4" t="s">
        <v>236</v>
      </c>
      <c r="F77" s="5" t="s">
        <v>276</v>
      </c>
      <c r="G77" s="5" t="s">
        <v>238</v>
      </c>
      <c r="I77" s="4" t="s">
        <v>107</v>
      </c>
      <c r="J77" s="4" t="s">
        <v>108</v>
      </c>
      <c r="K77" s="5" t="s">
        <v>193</v>
      </c>
    </row>
    <row r="78" spans="1:11" x14ac:dyDescent="0.25">
      <c r="D78" s="4" t="s">
        <v>107</v>
      </c>
      <c r="E78" s="4" t="s">
        <v>108</v>
      </c>
      <c r="F78" s="5" t="s">
        <v>277</v>
      </c>
      <c r="G78" s="5" t="s">
        <v>186</v>
      </c>
    </row>
    <row r="80" spans="1:11" x14ac:dyDescent="0.25">
      <c r="I80" s="3" t="s">
        <v>278</v>
      </c>
      <c r="J80" s="3" t="s">
        <v>279</v>
      </c>
      <c r="K80" s="3" t="s">
        <v>280</v>
      </c>
    </row>
    <row r="81" spans="1:11" x14ac:dyDescent="0.25">
      <c r="D81" s="3" t="s">
        <v>281</v>
      </c>
      <c r="E81" s="3" t="s">
        <v>282</v>
      </c>
      <c r="F81" s="3" t="s">
        <v>283</v>
      </c>
      <c r="G81" s="3" t="s">
        <v>144</v>
      </c>
      <c r="I81" s="4" t="s">
        <v>136</v>
      </c>
      <c r="J81" s="4" t="s">
        <v>284</v>
      </c>
      <c r="K81" s="5" t="s">
        <v>285</v>
      </c>
    </row>
    <row r="82" spans="1:11" x14ac:dyDescent="0.25">
      <c r="D82" s="4" t="s">
        <v>150</v>
      </c>
      <c r="E82" s="4" t="s">
        <v>151</v>
      </c>
      <c r="F82" s="5" t="s">
        <v>286</v>
      </c>
      <c r="G82" s="5" t="s">
        <v>153</v>
      </c>
      <c r="I82" s="4" t="s">
        <v>287</v>
      </c>
      <c r="J82" s="4" t="s">
        <v>288</v>
      </c>
      <c r="K82" s="5" t="s">
        <v>289</v>
      </c>
    </row>
    <row r="83" spans="1:11" x14ac:dyDescent="0.25">
      <c r="D83" s="4" t="s">
        <v>157</v>
      </c>
      <c r="E83" s="4" t="s">
        <v>158</v>
      </c>
      <c r="F83" s="5" t="s">
        <v>290</v>
      </c>
      <c r="G83" s="5" t="s">
        <v>160</v>
      </c>
      <c r="I83" s="4" t="s">
        <v>148</v>
      </c>
      <c r="J83" s="4" t="s">
        <v>291</v>
      </c>
      <c r="K83" s="5" t="s">
        <v>292</v>
      </c>
    </row>
    <row r="84" spans="1:11" x14ac:dyDescent="0.25">
      <c r="D84" s="4" t="s">
        <v>293</v>
      </c>
      <c r="E84" s="4" t="s">
        <v>294</v>
      </c>
      <c r="F84" s="5" t="s">
        <v>295</v>
      </c>
      <c r="G84" s="5" t="s">
        <v>167</v>
      </c>
      <c r="I84" s="4" t="s">
        <v>265</v>
      </c>
      <c r="J84" s="4" t="s">
        <v>266</v>
      </c>
      <c r="K84" s="5" t="s">
        <v>296</v>
      </c>
    </row>
    <row r="85" spans="1:11" x14ac:dyDescent="0.25">
      <c r="D85" s="4" t="s">
        <v>203</v>
      </c>
      <c r="E85" s="4" t="s">
        <v>297</v>
      </c>
      <c r="F85" s="5" t="s">
        <v>298</v>
      </c>
      <c r="G85" s="5" t="s">
        <v>174</v>
      </c>
      <c r="I85" s="4" t="s">
        <v>299</v>
      </c>
      <c r="J85" s="4" t="s">
        <v>300</v>
      </c>
      <c r="K85" s="5" t="s">
        <v>301</v>
      </c>
    </row>
    <row r="86" spans="1:11" x14ac:dyDescent="0.25">
      <c r="D86" s="4" t="s">
        <v>107</v>
      </c>
      <c r="E86" s="4" t="s">
        <v>108</v>
      </c>
      <c r="F86" s="5" t="s">
        <v>302</v>
      </c>
      <c r="G86" s="5" t="s">
        <v>186</v>
      </c>
      <c r="I86" s="4" t="s">
        <v>97</v>
      </c>
      <c r="J86" s="4" t="s">
        <v>303</v>
      </c>
      <c r="K86" s="5" t="s">
        <v>304</v>
      </c>
    </row>
    <row r="87" spans="1:11" x14ac:dyDescent="0.25">
      <c r="I87" s="4" t="s">
        <v>305</v>
      </c>
      <c r="J87" s="4" t="s">
        <v>306</v>
      </c>
      <c r="K87" s="5" t="s">
        <v>307</v>
      </c>
    </row>
    <row r="88" spans="1:11" x14ac:dyDescent="0.25">
      <c r="I88" s="4" t="s">
        <v>107</v>
      </c>
      <c r="J88" s="4" t="s">
        <v>108</v>
      </c>
      <c r="K88" s="5" t="s">
        <v>193</v>
      </c>
    </row>
    <row r="93" spans="1:11" ht="15.75" x14ac:dyDescent="0.25">
      <c r="A93" s="1" t="s">
        <v>308</v>
      </c>
    </row>
    <row r="94" spans="1:11" x14ac:dyDescent="0.25">
      <c r="A94" s="3" t="s">
        <v>309</v>
      </c>
      <c r="B94" s="3" t="s">
        <v>310</v>
      </c>
      <c r="D94" s="3" t="s">
        <v>311</v>
      </c>
      <c r="E94" s="3" t="s">
        <v>312</v>
      </c>
      <c r="F94" s="3" t="s">
        <v>313</v>
      </c>
      <c r="G94" s="3" t="s">
        <v>144</v>
      </c>
      <c r="I94" s="3" t="s">
        <v>314</v>
      </c>
      <c r="J94" s="3" t="s">
        <v>315</v>
      </c>
      <c r="K94" s="3" t="s">
        <v>316</v>
      </c>
    </row>
    <row r="95" spans="1:11" x14ac:dyDescent="0.25">
      <c r="A95" s="4" t="s">
        <v>299</v>
      </c>
      <c r="B95" s="4" t="s">
        <v>300</v>
      </c>
      <c r="D95" s="4" t="s">
        <v>150</v>
      </c>
      <c r="E95" s="4" t="s">
        <v>151</v>
      </c>
      <c r="F95" s="5" t="s">
        <v>286</v>
      </c>
      <c r="G95" s="5" t="s">
        <v>153</v>
      </c>
      <c r="I95" s="4" t="s">
        <v>261</v>
      </c>
      <c r="J95" s="4" t="s">
        <v>317</v>
      </c>
      <c r="K95" s="5" t="s">
        <v>318</v>
      </c>
    </row>
    <row r="96" spans="1:11" x14ac:dyDescent="0.25">
      <c r="D96" s="4" t="s">
        <v>319</v>
      </c>
      <c r="E96" s="4" t="s">
        <v>320</v>
      </c>
      <c r="F96" s="5" t="s">
        <v>321</v>
      </c>
      <c r="G96" s="5" t="s">
        <v>160</v>
      </c>
      <c r="I96" s="4" t="s">
        <v>322</v>
      </c>
      <c r="J96" s="4" t="s">
        <v>323</v>
      </c>
      <c r="K96" s="5" t="s">
        <v>324</v>
      </c>
    </row>
    <row r="97" spans="1:11" x14ac:dyDescent="0.25">
      <c r="D97" s="4" t="s">
        <v>325</v>
      </c>
      <c r="E97" s="4" t="s">
        <v>326</v>
      </c>
      <c r="F97" s="5" t="s">
        <v>327</v>
      </c>
      <c r="G97" s="5" t="s">
        <v>167</v>
      </c>
      <c r="I97" s="4" t="s">
        <v>328</v>
      </c>
      <c r="J97" s="4" t="s">
        <v>329</v>
      </c>
      <c r="K97" s="5" t="s">
        <v>330</v>
      </c>
    </row>
    <row r="98" spans="1:11" x14ac:dyDescent="0.25">
      <c r="D98" s="4" t="s">
        <v>331</v>
      </c>
      <c r="E98" s="4" t="s">
        <v>332</v>
      </c>
      <c r="F98" s="5" t="s">
        <v>333</v>
      </c>
      <c r="G98" s="5" t="s">
        <v>174</v>
      </c>
      <c r="I98" s="4" t="s">
        <v>85</v>
      </c>
      <c r="J98" s="4" t="s">
        <v>334</v>
      </c>
      <c r="K98" s="5" t="s">
        <v>335</v>
      </c>
    </row>
    <row r="99" spans="1:11" x14ac:dyDescent="0.25">
      <c r="D99" s="4" t="s">
        <v>336</v>
      </c>
      <c r="E99" s="4" t="s">
        <v>337</v>
      </c>
      <c r="F99" s="5" t="s">
        <v>338</v>
      </c>
      <c r="G99" s="5" t="s">
        <v>181</v>
      </c>
      <c r="I99" s="4" t="s">
        <v>339</v>
      </c>
      <c r="J99" s="4" t="s">
        <v>340</v>
      </c>
      <c r="K99" s="5" t="s">
        <v>341</v>
      </c>
    </row>
    <row r="100" spans="1:11" x14ac:dyDescent="0.25">
      <c r="D100" s="4" t="s">
        <v>342</v>
      </c>
      <c r="E100" s="4" t="s">
        <v>343</v>
      </c>
      <c r="F100" s="5" t="s">
        <v>344</v>
      </c>
      <c r="G100" s="5" t="s">
        <v>227</v>
      </c>
      <c r="I100" s="4" t="s">
        <v>216</v>
      </c>
      <c r="J100" s="4" t="s">
        <v>345</v>
      </c>
      <c r="K100" s="5" t="s">
        <v>346</v>
      </c>
    </row>
    <row r="101" spans="1:11" x14ac:dyDescent="0.25">
      <c r="D101" s="4" t="s">
        <v>107</v>
      </c>
      <c r="E101" s="4" t="s">
        <v>108</v>
      </c>
      <c r="F101" s="5" t="s">
        <v>302</v>
      </c>
      <c r="G101" s="5" t="s">
        <v>186</v>
      </c>
      <c r="I101" s="4" t="s">
        <v>107</v>
      </c>
      <c r="J101" s="4" t="s">
        <v>108</v>
      </c>
      <c r="K101" s="5" t="s">
        <v>193</v>
      </c>
    </row>
    <row r="106" spans="1:11" ht="15.75" x14ac:dyDescent="0.25">
      <c r="A106" s="1" t="s">
        <v>347</v>
      </c>
    </row>
    <row r="107" spans="1:11" x14ac:dyDescent="0.25">
      <c r="A107" s="3" t="s">
        <v>348</v>
      </c>
      <c r="B107" s="3" t="s">
        <v>349</v>
      </c>
      <c r="D107" s="3" t="s">
        <v>350</v>
      </c>
      <c r="E107" s="3" t="s">
        <v>351</v>
      </c>
      <c r="F107" s="3" t="s">
        <v>352</v>
      </c>
      <c r="G107" s="3" t="s">
        <v>144</v>
      </c>
      <c r="I107" s="3" t="s">
        <v>353</v>
      </c>
      <c r="J107" s="3" t="s">
        <v>354</v>
      </c>
      <c r="K107" s="3" t="s">
        <v>355</v>
      </c>
    </row>
    <row r="108" spans="1:11" x14ac:dyDescent="0.25">
      <c r="A108" s="4" t="s">
        <v>356</v>
      </c>
      <c r="B108" s="4" t="s">
        <v>357</v>
      </c>
      <c r="D108" s="4" t="s">
        <v>150</v>
      </c>
      <c r="E108" s="4" t="s">
        <v>151</v>
      </c>
      <c r="F108" s="5" t="s">
        <v>286</v>
      </c>
      <c r="G108" s="5" t="s">
        <v>153</v>
      </c>
      <c r="I108" s="4" t="s">
        <v>95</v>
      </c>
      <c r="J108" s="4" t="s">
        <v>358</v>
      </c>
      <c r="K108" s="5" t="s">
        <v>359</v>
      </c>
    </row>
    <row r="109" spans="1:11" x14ac:dyDescent="0.25">
      <c r="A109" s="4" t="s">
        <v>360</v>
      </c>
      <c r="B109" s="4" t="s">
        <v>361</v>
      </c>
      <c r="D109" s="4" t="s">
        <v>171</v>
      </c>
      <c r="E109" s="4" t="s">
        <v>172</v>
      </c>
      <c r="F109" s="5" t="s">
        <v>362</v>
      </c>
      <c r="G109" s="5" t="s">
        <v>160</v>
      </c>
      <c r="I109" s="4" t="s">
        <v>363</v>
      </c>
      <c r="J109" s="4" t="s">
        <v>364</v>
      </c>
      <c r="K109" s="5" t="s">
        <v>365</v>
      </c>
    </row>
    <row r="110" spans="1:11" x14ac:dyDescent="0.25">
      <c r="D110" s="4" t="s">
        <v>366</v>
      </c>
      <c r="E110" s="4" t="s">
        <v>367</v>
      </c>
      <c r="F110" s="5" t="s">
        <v>368</v>
      </c>
      <c r="G110" s="5" t="s">
        <v>167</v>
      </c>
      <c r="I110" s="4" t="s">
        <v>269</v>
      </c>
      <c r="J110" s="4" t="s">
        <v>369</v>
      </c>
      <c r="K110" s="5" t="s">
        <v>370</v>
      </c>
    </row>
    <row r="111" spans="1:11" x14ac:dyDescent="0.25">
      <c r="D111" s="4" t="s">
        <v>371</v>
      </c>
      <c r="E111" s="4" t="s">
        <v>372</v>
      </c>
      <c r="F111" s="5" t="s">
        <v>373</v>
      </c>
      <c r="G111" s="5" t="s">
        <v>174</v>
      </c>
      <c r="I111" s="4" t="s">
        <v>374</v>
      </c>
      <c r="J111" s="4" t="s">
        <v>375</v>
      </c>
      <c r="K111" s="5" t="s">
        <v>376</v>
      </c>
    </row>
    <row r="112" spans="1:11" x14ac:dyDescent="0.25">
      <c r="D112" s="4" t="s">
        <v>377</v>
      </c>
      <c r="E112" s="4" t="s">
        <v>378</v>
      </c>
      <c r="F112" s="5" t="s">
        <v>379</v>
      </c>
      <c r="G112" s="5" t="s">
        <v>181</v>
      </c>
      <c r="I112" s="4" t="s">
        <v>107</v>
      </c>
      <c r="J112" s="4" t="s">
        <v>108</v>
      </c>
      <c r="K112" s="5" t="s">
        <v>193</v>
      </c>
    </row>
    <row r="113" spans="1:11" x14ac:dyDescent="0.25">
      <c r="D113" s="4" t="s">
        <v>157</v>
      </c>
      <c r="E113" s="4" t="s">
        <v>158</v>
      </c>
      <c r="F113" s="5" t="s">
        <v>380</v>
      </c>
      <c r="G113" s="5" t="s">
        <v>227</v>
      </c>
    </row>
    <row r="114" spans="1:11" x14ac:dyDescent="0.25">
      <c r="D114" s="4" t="s">
        <v>107</v>
      </c>
      <c r="E114" s="4" t="s">
        <v>108</v>
      </c>
      <c r="F114" s="5" t="s">
        <v>302</v>
      </c>
      <c r="G114" s="5" t="s">
        <v>186</v>
      </c>
    </row>
    <row r="119" spans="1:11" ht="15.75" x14ac:dyDescent="0.25">
      <c r="A119" s="1" t="s">
        <v>381</v>
      </c>
    </row>
    <row r="120" spans="1:11" x14ac:dyDescent="0.25">
      <c r="A120" s="3" t="s">
        <v>382</v>
      </c>
      <c r="B120" s="3" t="s">
        <v>383</v>
      </c>
      <c r="D120" s="3" t="s">
        <v>384</v>
      </c>
      <c r="E120" s="3" t="s">
        <v>385</v>
      </c>
      <c r="F120" s="3" t="s">
        <v>386</v>
      </c>
      <c r="G120" s="3" t="s">
        <v>144</v>
      </c>
      <c r="I120" s="3" t="s">
        <v>387</v>
      </c>
      <c r="J120" s="3" t="s">
        <v>388</v>
      </c>
      <c r="K120" s="3" t="s">
        <v>389</v>
      </c>
    </row>
    <row r="121" spans="1:11" x14ac:dyDescent="0.25">
      <c r="A121" s="4" t="s">
        <v>390</v>
      </c>
      <c r="B121" s="4" t="s">
        <v>391</v>
      </c>
      <c r="D121" s="4" t="s">
        <v>150</v>
      </c>
      <c r="E121" s="4" t="s">
        <v>151</v>
      </c>
      <c r="F121" s="5" t="s">
        <v>286</v>
      </c>
      <c r="G121" s="5" t="s">
        <v>153</v>
      </c>
      <c r="I121" s="4" t="s">
        <v>269</v>
      </c>
      <c r="J121" s="4" t="s">
        <v>137</v>
      </c>
      <c r="K121" s="5" t="s">
        <v>392</v>
      </c>
    </row>
    <row r="122" spans="1:11" x14ac:dyDescent="0.25">
      <c r="A122" s="4" t="s">
        <v>393</v>
      </c>
      <c r="B122" s="4" t="s">
        <v>394</v>
      </c>
      <c r="D122" s="4" t="s">
        <v>171</v>
      </c>
      <c r="E122" s="4" t="s">
        <v>172</v>
      </c>
      <c r="F122" s="5" t="s">
        <v>395</v>
      </c>
      <c r="G122" s="5" t="s">
        <v>160</v>
      </c>
      <c r="I122" s="4" t="s">
        <v>228</v>
      </c>
      <c r="J122" s="4" t="s">
        <v>396</v>
      </c>
      <c r="K122" s="5" t="s">
        <v>397</v>
      </c>
    </row>
    <row r="123" spans="1:11" x14ac:dyDescent="0.25">
      <c r="D123" s="4" t="s">
        <v>222</v>
      </c>
      <c r="E123" s="4" t="s">
        <v>223</v>
      </c>
      <c r="F123" s="5" t="s">
        <v>398</v>
      </c>
      <c r="G123" s="5" t="s">
        <v>167</v>
      </c>
      <c r="I123" s="4" t="s">
        <v>374</v>
      </c>
      <c r="J123" s="4" t="s">
        <v>375</v>
      </c>
      <c r="K123" s="5" t="s">
        <v>399</v>
      </c>
    </row>
    <row r="124" spans="1:11" x14ac:dyDescent="0.25">
      <c r="D124" s="4" t="s">
        <v>157</v>
      </c>
      <c r="E124" s="4" t="s">
        <v>158</v>
      </c>
      <c r="F124" s="5" t="s">
        <v>400</v>
      </c>
      <c r="G124" s="5" t="s">
        <v>174</v>
      </c>
      <c r="I124" s="4" t="s">
        <v>107</v>
      </c>
      <c r="J124" s="4" t="s">
        <v>108</v>
      </c>
      <c r="K124" s="5" t="s">
        <v>193</v>
      </c>
    </row>
    <row r="125" spans="1:11" x14ac:dyDescent="0.25">
      <c r="D125" s="4" t="s">
        <v>107</v>
      </c>
      <c r="E125" s="4" t="s">
        <v>108</v>
      </c>
      <c r="F125" s="5" t="s">
        <v>302</v>
      </c>
      <c r="G125" s="5" t="s">
        <v>186</v>
      </c>
    </row>
    <row r="130" spans="1:11" ht="15.75" x14ac:dyDescent="0.25">
      <c r="A130" s="1" t="s">
        <v>401</v>
      </c>
    </row>
    <row r="131" spans="1:11" x14ac:dyDescent="0.25">
      <c r="A131" s="3" t="s">
        <v>402</v>
      </c>
      <c r="B131" s="3" t="s">
        <v>403</v>
      </c>
      <c r="D131" s="3" t="s">
        <v>404</v>
      </c>
      <c r="E131" s="3" t="s">
        <v>405</v>
      </c>
      <c r="F131" s="3" t="s">
        <v>406</v>
      </c>
      <c r="G131" s="3" t="s">
        <v>144</v>
      </c>
      <c r="I131" s="3" t="s">
        <v>407</v>
      </c>
      <c r="J131" s="3" t="s">
        <v>408</v>
      </c>
      <c r="K131" s="3" t="s">
        <v>409</v>
      </c>
    </row>
    <row r="132" spans="1:11" x14ac:dyDescent="0.25">
      <c r="A132" s="4" t="s">
        <v>410</v>
      </c>
      <c r="B132" s="4" t="s">
        <v>411</v>
      </c>
      <c r="D132" s="4" t="s">
        <v>150</v>
      </c>
      <c r="E132" s="4" t="s">
        <v>151</v>
      </c>
      <c r="F132" s="5" t="s">
        <v>286</v>
      </c>
      <c r="G132" s="5" t="s">
        <v>153</v>
      </c>
      <c r="I132" s="4" t="s">
        <v>154</v>
      </c>
      <c r="J132" s="4" t="s">
        <v>155</v>
      </c>
      <c r="K132" s="5" t="s">
        <v>412</v>
      </c>
    </row>
    <row r="133" spans="1:11" x14ac:dyDescent="0.25">
      <c r="A133" s="4" t="s">
        <v>413</v>
      </c>
      <c r="B133" s="4" t="s">
        <v>414</v>
      </c>
      <c r="D133" s="4" t="s">
        <v>366</v>
      </c>
      <c r="E133" s="4" t="s">
        <v>367</v>
      </c>
      <c r="F133" s="5" t="s">
        <v>368</v>
      </c>
      <c r="G133" s="5" t="s">
        <v>167</v>
      </c>
      <c r="I133" s="4" t="s">
        <v>161</v>
      </c>
      <c r="J133" s="4" t="s">
        <v>162</v>
      </c>
      <c r="K133" s="5" t="s">
        <v>415</v>
      </c>
    </row>
    <row r="134" spans="1:11" x14ac:dyDescent="0.25">
      <c r="A134" s="4" t="s">
        <v>103</v>
      </c>
      <c r="B134" s="4" t="s">
        <v>416</v>
      </c>
      <c r="D134" s="4" t="s">
        <v>371</v>
      </c>
      <c r="E134" s="4" t="s">
        <v>372</v>
      </c>
      <c r="F134" s="5" t="s">
        <v>373</v>
      </c>
      <c r="G134" s="5" t="s">
        <v>174</v>
      </c>
      <c r="I134" s="4" t="s">
        <v>417</v>
      </c>
      <c r="J134" s="4" t="s">
        <v>418</v>
      </c>
      <c r="K134" s="5" t="s">
        <v>419</v>
      </c>
    </row>
    <row r="135" spans="1:11" x14ac:dyDescent="0.25">
      <c r="D135" s="4" t="s">
        <v>377</v>
      </c>
      <c r="E135" s="4" t="s">
        <v>378</v>
      </c>
      <c r="F135" s="5" t="s">
        <v>420</v>
      </c>
      <c r="G135" s="5" t="s">
        <v>181</v>
      </c>
      <c r="I135" s="4" t="s">
        <v>421</v>
      </c>
      <c r="J135" s="4" t="s">
        <v>422</v>
      </c>
      <c r="K135" s="5" t="s">
        <v>423</v>
      </c>
    </row>
    <row r="136" spans="1:11" x14ac:dyDescent="0.25">
      <c r="D136" s="4" t="s">
        <v>157</v>
      </c>
      <c r="E136" s="4" t="s">
        <v>158</v>
      </c>
      <c r="F136" s="5" t="s">
        <v>380</v>
      </c>
      <c r="G136" s="5" t="s">
        <v>227</v>
      </c>
      <c r="I136" s="4" t="s">
        <v>424</v>
      </c>
      <c r="J136" s="4" t="s">
        <v>425</v>
      </c>
      <c r="K136" s="5" t="s">
        <v>426</v>
      </c>
    </row>
    <row r="137" spans="1:11" x14ac:dyDescent="0.25">
      <c r="D137" s="4" t="s">
        <v>107</v>
      </c>
      <c r="E137" s="4" t="s">
        <v>108</v>
      </c>
      <c r="F137" s="5" t="s">
        <v>302</v>
      </c>
      <c r="G137" s="5" t="s">
        <v>186</v>
      </c>
      <c r="I137" s="4" t="s">
        <v>107</v>
      </c>
      <c r="J137" s="4" t="s">
        <v>108</v>
      </c>
      <c r="K137" s="5" t="s">
        <v>193</v>
      </c>
    </row>
    <row r="140" spans="1:11" x14ac:dyDescent="0.25">
      <c r="D140" s="3" t="s">
        <v>427</v>
      </c>
      <c r="E140" s="3" t="s">
        <v>428</v>
      </c>
      <c r="F140" s="3" t="s">
        <v>429</v>
      </c>
      <c r="G140" s="3" t="s">
        <v>144</v>
      </c>
    </row>
    <row r="141" spans="1:11" x14ac:dyDescent="0.25">
      <c r="D141" s="4" t="s">
        <v>150</v>
      </c>
      <c r="E141" s="4" t="s">
        <v>151</v>
      </c>
      <c r="F141" s="5" t="s">
        <v>286</v>
      </c>
      <c r="G141" s="5" t="s">
        <v>153</v>
      </c>
    </row>
    <row r="142" spans="1:11" x14ac:dyDescent="0.25">
      <c r="D142" s="4" t="s">
        <v>171</v>
      </c>
      <c r="E142" s="4" t="s">
        <v>172</v>
      </c>
      <c r="F142" s="5" t="s">
        <v>430</v>
      </c>
      <c r="G142" s="5" t="s">
        <v>160</v>
      </c>
    </row>
    <row r="143" spans="1:11" x14ac:dyDescent="0.25">
      <c r="D143" s="4" t="s">
        <v>377</v>
      </c>
      <c r="E143" s="4" t="s">
        <v>378</v>
      </c>
      <c r="F143" s="5" t="s">
        <v>431</v>
      </c>
      <c r="G143" s="5" t="s">
        <v>181</v>
      </c>
    </row>
    <row r="144" spans="1:11" x14ac:dyDescent="0.25">
      <c r="D144" s="4" t="s">
        <v>107</v>
      </c>
      <c r="E144" s="4" t="s">
        <v>108</v>
      </c>
      <c r="F144" s="5" t="s">
        <v>302</v>
      </c>
      <c r="G144" s="5" t="s">
        <v>186</v>
      </c>
    </row>
    <row r="147" spans="1:11" x14ac:dyDescent="0.25">
      <c r="D147" s="3" t="s">
        <v>432</v>
      </c>
      <c r="E147" s="3" t="s">
        <v>433</v>
      </c>
      <c r="F147" s="3" t="s">
        <v>434</v>
      </c>
      <c r="G147" s="3" t="s">
        <v>144</v>
      </c>
    </row>
    <row r="148" spans="1:11" x14ac:dyDescent="0.25">
      <c r="D148" s="4" t="s">
        <v>150</v>
      </c>
      <c r="E148" s="4" t="s">
        <v>151</v>
      </c>
      <c r="F148" s="5" t="s">
        <v>286</v>
      </c>
      <c r="G148" s="5" t="s">
        <v>153</v>
      </c>
    </row>
    <row r="149" spans="1:11" x14ac:dyDescent="0.25">
      <c r="D149" s="4" t="s">
        <v>171</v>
      </c>
      <c r="E149" s="4" t="s">
        <v>172</v>
      </c>
      <c r="F149" s="5" t="s">
        <v>435</v>
      </c>
      <c r="G149" s="5" t="s">
        <v>160</v>
      </c>
    </row>
    <row r="150" spans="1:11" x14ac:dyDescent="0.25">
      <c r="D150" s="4" t="s">
        <v>366</v>
      </c>
      <c r="E150" s="4" t="s">
        <v>367</v>
      </c>
      <c r="F150" s="5" t="s">
        <v>436</v>
      </c>
      <c r="G150" s="5" t="s">
        <v>167</v>
      </c>
    </row>
    <row r="151" spans="1:11" x14ac:dyDescent="0.25">
      <c r="D151" s="4" t="s">
        <v>107</v>
      </c>
      <c r="E151" s="4" t="s">
        <v>108</v>
      </c>
      <c r="F151" s="5" t="s">
        <v>302</v>
      </c>
      <c r="G151" s="5" t="s">
        <v>186</v>
      </c>
    </row>
    <row r="156" spans="1:11" ht="15.75" x14ac:dyDescent="0.25">
      <c r="A156" s="1" t="s">
        <v>437</v>
      </c>
    </row>
    <row r="157" spans="1:11" x14ac:dyDescent="0.25">
      <c r="A157" s="3" t="s">
        <v>438</v>
      </c>
      <c r="B157" s="3" t="s">
        <v>439</v>
      </c>
      <c r="D157" s="3" t="s">
        <v>440</v>
      </c>
      <c r="E157" s="3" t="s">
        <v>441</v>
      </c>
      <c r="F157" s="3" t="s">
        <v>442</v>
      </c>
      <c r="G157" s="3" t="s">
        <v>144</v>
      </c>
      <c r="I157" s="3" t="s">
        <v>443</v>
      </c>
      <c r="J157" s="3" t="s">
        <v>444</v>
      </c>
      <c r="K157" s="3" t="s">
        <v>445</v>
      </c>
    </row>
    <row r="158" spans="1:11" x14ac:dyDescent="0.25">
      <c r="A158" s="4" t="s">
        <v>446</v>
      </c>
      <c r="B158" s="4" t="s">
        <v>447</v>
      </c>
      <c r="D158" s="4" t="s">
        <v>150</v>
      </c>
      <c r="E158" s="4" t="s">
        <v>151</v>
      </c>
      <c r="F158" s="5" t="s">
        <v>286</v>
      </c>
      <c r="G158" s="5" t="s">
        <v>153</v>
      </c>
      <c r="I158" s="4" t="s">
        <v>187</v>
      </c>
      <c r="J158" s="4" t="s">
        <v>448</v>
      </c>
      <c r="K158" s="5" t="s">
        <v>449</v>
      </c>
    </row>
    <row r="159" spans="1:11" x14ac:dyDescent="0.25">
      <c r="D159" s="4" t="s">
        <v>171</v>
      </c>
      <c r="E159" s="4" t="s">
        <v>172</v>
      </c>
      <c r="F159" s="5" t="s">
        <v>450</v>
      </c>
      <c r="G159" s="5" t="s">
        <v>160</v>
      </c>
      <c r="I159" s="4" t="s">
        <v>451</v>
      </c>
      <c r="J159" s="4" t="s">
        <v>452</v>
      </c>
      <c r="K159" s="5" t="s">
        <v>453</v>
      </c>
    </row>
    <row r="160" spans="1:11" x14ac:dyDescent="0.25">
      <c r="D160" s="4" t="s">
        <v>222</v>
      </c>
      <c r="E160" s="4" t="s">
        <v>223</v>
      </c>
      <c r="F160" s="5" t="s">
        <v>454</v>
      </c>
      <c r="G160" s="5" t="s">
        <v>167</v>
      </c>
      <c r="I160" s="4" t="s">
        <v>455</v>
      </c>
      <c r="J160" s="4" t="s">
        <v>456</v>
      </c>
      <c r="K160" s="5" t="s">
        <v>457</v>
      </c>
    </row>
    <row r="161" spans="1:11" x14ac:dyDescent="0.25">
      <c r="D161" s="4" t="s">
        <v>157</v>
      </c>
      <c r="E161" s="4" t="s">
        <v>158</v>
      </c>
      <c r="F161" s="5" t="s">
        <v>400</v>
      </c>
      <c r="G161" s="5" t="s">
        <v>174</v>
      </c>
      <c r="I161" s="4" t="s">
        <v>458</v>
      </c>
      <c r="J161" s="4" t="s">
        <v>459</v>
      </c>
      <c r="K161" s="5" t="s">
        <v>460</v>
      </c>
    </row>
    <row r="162" spans="1:11" x14ac:dyDescent="0.25">
      <c r="D162" s="4" t="s">
        <v>107</v>
      </c>
      <c r="E162" s="4" t="s">
        <v>108</v>
      </c>
      <c r="F162" s="5" t="s">
        <v>302</v>
      </c>
      <c r="G162" s="5" t="s">
        <v>186</v>
      </c>
      <c r="I162" s="4" t="s">
        <v>107</v>
      </c>
      <c r="J162" s="4" t="s">
        <v>108</v>
      </c>
      <c r="K162" s="5" t="s">
        <v>193</v>
      </c>
    </row>
    <row r="167" spans="1:11" ht="15.75" x14ac:dyDescent="0.25">
      <c r="A167" s="1" t="s">
        <v>461</v>
      </c>
    </row>
    <row r="168" spans="1:11" x14ac:dyDescent="0.25">
      <c r="A168" s="3" t="s">
        <v>462</v>
      </c>
      <c r="B168" s="3" t="s">
        <v>463</v>
      </c>
      <c r="D168" s="3" t="s">
        <v>464</v>
      </c>
      <c r="E168" s="3" t="s">
        <v>465</v>
      </c>
      <c r="F168" s="3" t="s">
        <v>466</v>
      </c>
      <c r="G168" s="3" t="s">
        <v>144</v>
      </c>
      <c r="I168" s="3" t="s">
        <v>467</v>
      </c>
      <c r="J168" s="3" t="s">
        <v>468</v>
      </c>
      <c r="K168" s="3" t="s">
        <v>469</v>
      </c>
    </row>
    <row r="169" spans="1:11" x14ac:dyDescent="0.25">
      <c r="A169" s="4" t="s">
        <v>470</v>
      </c>
      <c r="B169" s="4" t="s">
        <v>471</v>
      </c>
      <c r="D169" s="4" t="s">
        <v>150</v>
      </c>
      <c r="E169" s="4" t="s">
        <v>151</v>
      </c>
      <c r="F169" s="5" t="s">
        <v>152</v>
      </c>
      <c r="G169" s="5" t="s">
        <v>153</v>
      </c>
      <c r="I169" s="4" t="s">
        <v>154</v>
      </c>
      <c r="J169" s="4" t="s">
        <v>155</v>
      </c>
      <c r="K169" s="5" t="s">
        <v>472</v>
      </c>
    </row>
    <row r="170" spans="1:11" x14ac:dyDescent="0.25">
      <c r="A170" s="4" t="s">
        <v>473</v>
      </c>
      <c r="B170" s="4" t="s">
        <v>474</v>
      </c>
      <c r="D170" s="4" t="s">
        <v>157</v>
      </c>
      <c r="E170" s="4" t="s">
        <v>158</v>
      </c>
      <c r="F170" s="5" t="s">
        <v>475</v>
      </c>
      <c r="G170" s="5" t="s">
        <v>160</v>
      </c>
      <c r="I170" s="4" t="s">
        <v>476</v>
      </c>
      <c r="J170" s="4" t="s">
        <v>477</v>
      </c>
      <c r="K170" s="5" t="s">
        <v>478</v>
      </c>
    </row>
    <row r="171" spans="1:11" x14ac:dyDescent="0.25">
      <c r="D171" s="4" t="s">
        <v>342</v>
      </c>
      <c r="E171" s="4" t="s">
        <v>479</v>
      </c>
      <c r="F171" s="5" t="s">
        <v>480</v>
      </c>
      <c r="G171" s="5" t="s">
        <v>167</v>
      </c>
      <c r="I171" s="4" t="s">
        <v>161</v>
      </c>
      <c r="J171" s="4" t="s">
        <v>162</v>
      </c>
      <c r="K171" s="5" t="s">
        <v>481</v>
      </c>
    </row>
    <row r="172" spans="1:11" x14ac:dyDescent="0.25">
      <c r="D172" s="4" t="s">
        <v>171</v>
      </c>
      <c r="E172" s="4" t="s">
        <v>172</v>
      </c>
      <c r="F172" s="5" t="s">
        <v>482</v>
      </c>
      <c r="G172" s="5" t="s">
        <v>174</v>
      </c>
      <c r="I172" s="4" t="s">
        <v>483</v>
      </c>
      <c r="J172" s="4" t="s">
        <v>484</v>
      </c>
      <c r="K172" s="5" t="s">
        <v>485</v>
      </c>
    </row>
    <row r="173" spans="1:11" x14ac:dyDescent="0.25">
      <c r="D173" s="4" t="s">
        <v>178</v>
      </c>
      <c r="E173" s="4" t="s">
        <v>179</v>
      </c>
      <c r="F173" s="5" t="s">
        <v>231</v>
      </c>
      <c r="G173" s="5" t="s">
        <v>181</v>
      </c>
      <c r="I173" s="4" t="s">
        <v>486</v>
      </c>
      <c r="J173" s="4" t="s">
        <v>487</v>
      </c>
      <c r="K173" s="5" t="s">
        <v>488</v>
      </c>
    </row>
    <row r="174" spans="1:11" x14ac:dyDescent="0.25">
      <c r="D174" s="4" t="s">
        <v>107</v>
      </c>
      <c r="E174" s="4" t="s">
        <v>108</v>
      </c>
      <c r="F174" s="5" t="s">
        <v>185</v>
      </c>
      <c r="G174" s="5" t="s">
        <v>186</v>
      </c>
      <c r="I174" s="4" t="s">
        <v>489</v>
      </c>
      <c r="J174" s="4" t="s">
        <v>490</v>
      </c>
      <c r="K174" s="5" t="s">
        <v>491</v>
      </c>
    </row>
    <row r="175" spans="1:11" x14ac:dyDescent="0.25">
      <c r="I175" s="4" t="s">
        <v>168</v>
      </c>
      <c r="J175" s="4" t="s">
        <v>169</v>
      </c>
      <c r="K175" s="5" t="s">
        <v>492</v>
      </c>
    </row>
    <row r="176" spans="1:11" x14ac:dyDescent="0.25">
      <c r="I176" s="4" t="s">
        <v>493</v>
      </c>
      <c r="J176" s="4" t="s">
        <v>494</v>
      </c>
      <c r="K176" s="5" t="s">
        <v>495</v>
      </c>
    </row>
    <row r="177" spans="4:11" x14ac:dyDescent="0.25">
      <c r="D177" s="3" t="s">
        <v>496</v>
      </c>
      <c r="E177" s="3" t="s">
        <v>497</v>
      </c>
      <c r="F177" s="3" t="s">
        <v>498</v>
      </c>
      <c r="G177" s="3" t="s">
        <v>144</v>
      </c>
      <c r="I177" s="4" t="s">
        <v>148</v>
      </c>
      <c r="J177" s="4" t="s">
        <v>499</v>
      </c>
      <c r="K177" s="5" t="s">
        <v>500</v>
      </c>
    </row>
    <row r="178" spans="4:11" x14ac:dyDescent="0.25">
      <c r="D178" s="4" t="s">
        <v>150</v>
      </c>
      <c r="E178" s="4" t="s">
        <v>151</v>
      </c>
      <c r="F178" s="5" t="s">
        <v>286</v>
      </c>
      <c r="G178" s="5" t="s">
        <v>153</v>
      </c>
      <c r="I178" s="4" t="s">
        <v>182</v>
      </c>
      <c r="J178" s="4" t="s">
        <v>183</v>
      </c>
      <c r="K178" s="5" t="s">
        <v>501</v>
      </c>
    </row>
    <row r="179" spans="4:11" x14ac:dyDescent="0.25">
      <c r="D179" s="4" t="s">
        <v>157</v>
      </c>
      <c r="E179" s="4" t="s">
        <v>158</v>
      </c>
      <c r="F179" s="5" t="s">
        <v>502</v>
      </c>
      <c r="G179" s="5" t="s">
        <v>160</v>
      </c>
      <c r="I179" s="4" t="s">
        <v>190</v>
      </c>
      <c r="J179" s="4" t="s">
        <v>191</v>
      </c>
      <c r="K179" s="5" t="s">
        <v>239</v>
      </c>
    </row>
    <row r="180" spans="4:11" x14ac:dyDescent="0.25">
      <c r="D180" s="4" t="s">
        <v>293</v>
      </c>
      <c r="E180" s="4" t="s">
        <v>294</v>
      </c>
      <c r="F180" s="5" t="s">
        <v>295</v>
      </c>
      <c r="G180" s="5" t="s">
        <v>167</v>
      </c>
      <c r="I180" s="4" t="s">
        <v>187</v>
      </c>
      <c r="J180" s="4" t="s">
        <v>188</v>
      </c>
      <c r="K180" s="5" t="s">
        <v>503</v>
      </c>
    </row>
    <row r="181" spans="4:11" x14ac:dyDescent="0.25">
      <c r="D181" s="4" t="s">
        <v>203</v>
      </c>
      <c r="E181" s="4" t="s">
        <v>297</v>
      </c>
      <c r="F181" s="5" t="s">
        <v>504</v>
      </c>
      <c r="G181" s="5" t="s">
        <v>174</v>
      </c>
      <c r="I181" s="4" t="s">
        <v>107</v>
      </c>
      <c r="J181" s="4" t="s">
        <v>108</v>
      </c>
      <c r="K181" s="5" t="s">
        <v>193</v>
      </c>
    </row>
    <row r="182" spans="4:11" x14ac:dyDescent="0.25">
      <c r="D182" s="4" t="s">
        <v>505</v>
      </c>
      <c r="E182" s="4" t="s">
        <v>506</v>
      </c>
      <c r="F182" s="5" t="s">
        <v>507</v>
      </c>
      <c r="G182" s="5" t="s">
        <v>181</v>
      </c>
    </row>
    <row r="183" spans="4:11" x14ac:dyDescent="0.25">
      <c r="D183" s="4" t="s">
        <v>508</v>
      </c>
      <c r="E183" s="4" t="s">
        <v>509</v>
      </c>
      <c r="F183" s="5" t="s">
        <v>510</v>
      </c>
      <c r="G183" s="5" t="s">
        <v>227</v>
      </c>
    </row>
    <row r="184" spans="4:11" x14ac:dyDescent="0.25">
      <c r="D184" s="4" t="s">
        <v>107</v>
      </c>
      <c r="E184" s="4" t="s">
        <v>108</v>
      </c>
      <c r="F184" s="5" t="s">
        <v>302</v>
      </c>
      <c r="G184" s="5" t="s">
        <v>186</v>
      </c>
      <c r="I184" s="3" t="s">
        <v>511</v>
      </c>
      <c r="J184" s="3" t="s">
        <v>512</v>
      </c>
      <c r="K184" s="3" t="s">
        <v>513</v>
      </c>
    </row>
    <row r="185" spans="4:11" x14ac:dyDescent="0.25">
      <c r="I185" s="4" t="s">
        <v>287</v>
      </c>
      <c r="J185" s="4" t="s">
        <v>288</v>
      </c>
      <c r="K185" s="5" t="s">
        <v>514</v>
      </c>
    </row>
    <row r="186" spans="4:11" x14ac:dyDescent="0.25">
      <c r="I186" s="4" t="s">
        <v>371</v>
      </c>
      <c r="J186" s="4" t="s">
        <v>515</v>
      </c>
      <c r="K186" s="5" t="s">
        <v>516</v>
      </c>
    </row>
    <row r="187" spans="4:11" x14ac:dyDescent="0.25">
      <c r="I187" s="4" t="s">
        <v>366</v>
      </c>
      <c r="J187" s="4" t="s">
        <v>517</v>
      </c>
      <c r="K187" s="5" t="s">
        <v>518</v>
      </c>
    </row>
    <row r="188" spans="4:11" x14ac:dyDescent="0.25">
      <c r="I188" s="4" t="s">
        <v>85</v>
      </c>
      <c r="J188" s="4" t="s">
        <v>334</v>
      </c>
      <c r="K188" s="5" t="s">
        <v>519</v>
      </c>
    </row>
    <row r="189" spans="4:11" x14ac:dyDescent="0.25">
      <c r="I189" s="4" t="s">
        <v>299</v>
      </c>
      <c r="J189" s="4" t="s">
        <v>300</v>
      </c>
      <c r="K189" s="5" t="s">
        <v>520</v>
      </c>
    </row>
    <row r="190" spans="4:11" x14ac:dyDescent="0.25">
      <c r="I190" s="4" t="s">
        <v>374</v>
      </c>
      <c r="J190" s="4" t="s">
        <v>521</v>
      </c>
      <c r="K190" s="5" t="s">
        <v>522</v>
      </c>
    </row>
    <row r="191" spans="4:11" x14ac:dyDescent="0.25">
      <c r="I191" s="4" t="s">
        <v>523</v>
      </c>
      <c r="J191" s="4" t="s">
        <v>524</v>
      </c>
      <c r="K191" s="5" t="s">
        <v>525</v>
      </c>
    </row>
    <row r="192" spans="4:11" x14ac:dyDescent="0.25">
      <c r="I192" s="4" t="s">
        <v>305</v>
      </c>
      <c r="J192" s="4" t="s">
        <v>306</v>
      </c>
      <c r="K192" s="5" t="s">
        <v>307</v>
      </c>
    </row>
    <row r="193" spans="1:11" x14ac:dyDescent="0.25">
      <c r="I193" s="4" t="s">
        <v>97</v>
      </c>
      <c r="J193" s="4" t="s">
        <v>303</v>
      </c>
      <c r="K193" s="5" t="s">
        <v>304</v>
      </c>
    </row>
    <row r="194" spans="1:11" x14ac:dyDescent="0.25">
      <c r="I194" s="4" t="s">
        <v>424</v>
      </c>
      <c r="J194" s="4" t="s">
        <v>526</v>
      </c>
      <c r="K194" s="5" t="s">
        <v>527</v>
      </c>
    </row>
    <row r="195" spans="1:11" x14ac:dyDescent="0.25">
      <c r="I195" s="4" t="s">
        <v>107</v>
      </c>
      <c r="J195" s="4" t="s">
        <v>108</v>
      </c>
      <c r="K195" s="5" t="s">
        <v>193</v>
      </c>
    </row>
    <row r="200" spans="1:11" ht="15.75" x14ac:dyDescent="0.25">
      <c r="A200" s="1" t="s">
        <v>528</v>
      </c>
    </row>
    <row r="201" spans="1:11" x14ac:dyDescent="0.25">
      <c r="A201" s="3" t="s">
        <v>529</v>
      </c>
      <c r="B201" s="3" t="s">
        <v>530</v>
      </c>
      <c r="D201" s="3" t="s">
        <v>531</v>
      </c>
      <c r="E201" s="3" t="s">
        <v>532</v>
      </c>
      <c r="F201" s="3" t="s">
        <v>533</v>
      </c>
      <c r="G201" s="3" t="s">
        <v>144</v>
      </c>
      <c r="I201" s="3" t="s">
        <v>534</v>
      </c>
      <c r="J201" s="3" t="s">
        <v>535</v>
      </c>
      <c r="K201" s="3" t="s">
        <v>536</v>
      </c>
    </row>
    <row r="202" spans="1:11" x14ac:dyDescent="0.25">
      <c r="A202" s="4" t="s">
        <v>265</v>
      </c>
      <c r="B202" s="4" t="s">
        <v>537</v>
      </c>
      <c r="D202" s="4" t="s">
        <v>150</v>
      </c>
      <c r="E202" s="4" t="s">
        <v>151</v>
      </c>
      <c r="F202" s="5" t="s">
        <v>286</v>
      </c>
      <c r="G202" s="5" t="s">
        <v>153</v>
      </c>
      <c r="I202" s="4" t="s">
        <v>150</v>
      </c>
      <c r="J202" s="4" t="s">
        <v>151</v>
      </c>
      <c r="K202" s="5" t="s">
        <v>538</v>
      </c>
    </row>
    <row r="203" spans="1:11" x14ac:dyDescent="0.25">
      <c r="D203" s="4" t="s">
        <v>539</v>
      </c>
      <c r="E203" s="4" t="s">
        <v>540</v>
      </c>
      <c r="F203" s="5" t="s">
        <v>541</v>
      </c>
      <c r="G203" s="5" t="s">
        <v>160</v>
      </c>
      <c r="I203" s="4" t="s">
        <v>542</v>
      </c>
      <c r="J203" s="4" t="s">
        <v>543</v>
      </c>
      <c r="K203" s="5" t="s">
        <v>544</v>
      </c>
    </row>
    <row r="204" spans="1:11" x14ac:dyDescent="0.25">
      <c r="D204" s="4" t="s">
        <v>95</v>
      </c>
      <c r="E204" s="4" t="s">
        <v>545</v>
      </c>
      <c r="F204" s="5" t="s">
        <v>546</v>
      </c>
      <c r="G204" s="5" t="s">
        <v>167</v>
      </c>
      <c r="I204" s="4" t="s">
        <v>547</v>
      </c>
      <c r="J204" s="4" t="s">
        <v>548</v>
      </c>
      <c r="K204" s="5" t="s">
        <v>549</v>
      </c>
    </row>
    <row r="205" spans="1:11" x14ac:dyDescent="0.25">
      <c r="D205" s="4" t="s">
        <v>550</v>
      </c>
      <c r="E205" s="4" t="s">
        <v>551</v>
      </c>
      <c r="F205" s="5" t="s">
        <v>552</v>
      </c>
      <c r="G205" s="5" t="s">
        <v>174</v>
      </c>
      <c r="I205" s="4" t="s">
        <v>553</v>
      </c>
      <c r="J205" s="4" t="s">
        <v>554</v>
      </c>
      <c r="K205" s="5" t="s">
        <v>555</v>
      </c>
    </row>
    <row r="206" spans="1:11" x14ac:dyDescent="0.25">
      <c r="D206" s="4" t="s">
        <v>556</v>
      </c>
      <c r="E206" s="4" t="s">
        <v>557</v>
      </c>
      <c r="F206" s="5" t="s">
        <v>558</v>
      </c>
      <c r="G206" s="5" t="s">
        <v>181</v>
      </c>
      <c r="I206" s="4" t="s">
        <v>559</v>
      </c>
      <c r="J206" s="4" t="s">
        <v>560</v>
      </c>
      <c r="K206" s="5" t="s">
        <v>561</v>
      </c>
    </row>
    <row r="207" spans="1:11" x14ac:dyDescent="0.25">
      <c r="D207" s="4" t="s">
        <v>562</v>
      </c>
      <c r="E207" s="4" t="s">
        <v>563</v>
      </c>
      <c r="F207" s="5" t="s">
        <v>564</v>
      </c>
      <c r="G207" s="5" t="s">
        <v>227</v>
      </c>
      <c r="I207" s="4" t="s">
        <v>107</v>
      </c>
      <c r="J207" s="4" t="s">
        <v>108</v>
      </c>
      <c r="K207" s="5" t="s">
        <v>193</v>
      </c>
    </row>
    <row r="208" spans="1:11" x14ac:dyDescent="0.25">
      <c r="D208" s="4" t="s">
        <v>565</v>
      </c>
      <c r="E208" s="4" t="s">
        <v>566</v>
      </c>
      <c r="F208" s="5" t="s">
        <v>567</v>
      </c>
      <c r="G208" s="5" t="s">
        <v>232</v>
      </c>
    </row>
    <row r="209" spans="1:11" x14ac:dyDescent="0.25">
      <c r="D209" s="4" t="s">
        <v>107</v>
      </c>
      <c r="E209" s="4" t="s">
        <v>108</v>
      </c>
      <c r="F209" s="5" t="s">
        <v>302</v>
      </c>
      <c r="G209" s="5" t="s">
        <v>186</v>
      </c>
    </row>
    <row r="214" spans="1:11" ht="15.75" x14ac:dyDescent="0.25">
      <c r="A214" s="1" t="s">
        <v>568</v>
      </c>
    </row>
    <row r="215" spans="1:11" x14ac:dyDescent="0.25">
      <c r="A215" s="3" t="s">
        <v>569</v>
      </c>
      <c r="B215" s="3" t="s">
        <v>570</v>
      </c>
      <c r="D215" s="3" t="s">
        <v>571</v>
      </c>
      <c r="E215" s="3" t="s">
        <v>572</v>
      </c>
      <c r="F215" s="3" t="s">
        <v>573</v>
      </c>
      <c r="G215" s="3" t="s">
        <v>144</v>
      </c>
      <c r="I215" s="3" t="s">
        <v>574</v>
      </c>
      <c r="J215" s="3" t="s">
        <v>575</v>
      </c>
      <c r="K215" s="3" t="s">
        <v>576</v>
      </c>
    </row>
    <row r="216" spans="1:11" x14ac:dyDescent="0.25">
      <c r="A216" s="4" t="s">
        <v>577</v>
      </c>
      <c r="B216" s="4" t="s">
        <v>578</v>
      </c>
      <c r="D216" s="4" t="s">
        <v>150</v>
      </c>
      <c r="E216" s="4" t="s">
        <v>151</v>
      </c>
      <c r="F216" s="5" t="s">
        <v>286</v>
      </c>
      <c r="G216" s="5" t="s">
        <v>153</v>
      </c>
      <c r="I216" s="4" t="s">
        <v>261</v>
      </c>
      <c r="J216" s="4" t="s">
        <v>317</v>
      </c>
      <c r="K216" s="5" t="s">
        <v>579</v>
      </c>
    </row>
    <row r="217" spans="1:11" x14ac:dyDescent="0.25">
      <c r="D217" s="4" t="s">
        <v>95</v>
      </c>
      <c r="E217" s="4" t="s">
        <v>545</v>
      </c>
      <c r="F217" s="5" t="s">
        <v>580</v>
      </c>
      <c r="G217" s="5" t="s">
        <v>160</v>
      </c>
      <c r="I217" s="4" t="s">
        <v>322</v>
      </c>
      <c r="J217" s="4" t="s">
        <v>581</v>
      </c>
      <c r="K217" s="5" t="s">
        <v>582</v>
      </c>
    </row>
    <row r="218" spans="1:11" x14ac:dyDescent="0.25">
      <c r="D218" s="4" t="s">
        <v>539</v>
      </c>
      <c r="E218" s="4" t="s">
        <v>540</v>
      </c>
      <c r="F218" s="5" t="s">
        <v>583</v>
      </c>
      <c r="G218" s="5" t="s">
        <v>167</v>
      </c>
      <c r="I218" s="4" t="s">
        <v>584</v>
      </c>
      <c r="J218" s="4" t="s">
        <v>585</v>
      </c>
      <c r="K218" s="5" t="s">
        <v>586</v>
      </c>
    </row>
    <row r="219" spans="1:11" x14ac:dyDescent="0.25">
      <c r="D219" s="4" t="s">
        <v>587</v>
      </c>
      <c r="E219" s="4" t="s">
        <v>588</v>
      </c>
      <c r="F219" s="5" t="s">
        <v>589</v>
      </c>
      <c r="G219" s="5" t="s">
        <v>174</v>
      </c>
      <c r="I219" s="4" t="s">
        <v>107</v>
      </c>
      <c r="J219" s="4" t="s">
        <v>108</v>
      </c>
      <c r="K219" s="5" t="s">
        <v>193</v>
      </c>
    </row>
    <row r="220" spans="1:11" x14ac:dyDescent="0.25">
      <c r="D220" s="4" t="s">
        <v>590</v>
      </c>
      <c r="E220" s="4" t="s">
        <v>591</v>
      </c>
      <c r="F220" s="5" t="s">
        <v>592</v>
      </c>
      <c r="G220" s="5" t="s">
        <v>181</v>
      </c>
    </row>
    <row r="221" spans="1:11" x14ac:dyDescent="0.25">
      <c r="D221" s="4" t="s">
        <v>107</v>
      </c>
      <c r="E221" s="4" t="s">
        <v>108</v>
      </c>
      <c r="F221" s="5" t="s">
        <v>302</v>
      </c>
      <c r="G221" s="5" t="s">
        <v>186</v>
      </c>
    </row>
    <row r="226" spans="1:11" ht="15.75" x14ac:dyDescent="0.25">
      <c r="A226" s="1" t="s">
        <v>593</v>
      </c>
    </row>
    <row r="227" spans="1:11" x14ac:dyDescent="0.25">
      <c r="A227" s="3" t="s">
        <v>594</v>
      </c>
      <c r="B227" s="3" t="s">
        <v>595</v>
      </c>
      <c r="I227" s="3" t="s">
        <v>596</v>
      </c>
      <c r="J227" s="3" t="s">
        <v>597</v>
      </c>
      <c r="K227" s="3" t="s">
        <v>598</v>
      </c>
    </row>
    <row r="228" spans="1:11" x14ac:dyDescent="0.25">
      <c r="A228" s="4" t="s">
        <v>322</v>
      </c>
      <c r="B228" s="4" t="s">
        <v>323</v>
      </c>
      <c r="I228" s="4" t="s">
        <v>599</v>
      </c>
      <c r="J228" s="4" t="s">
        <v>600</v>
      </c>
      <c r="K228" s="5" t="s">
        <v>601</v>
      </c>
    </row>
    <row r="229" spans="1:11" x14ac:dyDescent="0.25">
      <c r="I229" s="4" t="s">
        <v>602</v>
      </c>
      <c r="J229" s="4" t="s">
        <v>603</v>
      </c>
      <c r="K229" s="5" t="s">
        <v>604</v>
      </c>
    </row>
    <row r="230" spans="1:11" x14ac:dyDescent="0.25">
      <c r="I230" s="4" t="s">
        <v>605</v>
      </c>
      <c r="J230" s="4" t="s">
        <v>606</v>
      </c>
      <c r="K230" s="5" t="s">
        <v>607</v>
      </c>
    </row>
    <row r="231" spans="1:11" x14ac:dyDescent="0.25">
      <c r="I231" s="4" t="s">
        <v>493</v>
      </c>
      <c r="J231" s="4" t="s">
        <v>608</v>
      </c>
      <c r="K231" s="5" t="s">
        <v>609</v>
      </c>
    </row>
    <row r="232" spans="1:11" x14ac:dyDescent="0.25">
      <c r="I232" s="4" t="s">
        <v>107</v>
      </c>
      <c r="J232" s="4" t="s">
        <v>108</v>
      </c>
      <c r="K232" s="5" t="s">
        <v>193</v>
      </c>
    </row>
    <row r="237" spans="1:11" ht="15.75" x14ac:dyDescent="0.25">
      <c r="A237" s="1" t="s">
        <v>610</v>
      </c>
    </row>
    <row r="238" spans="1:11" x14ac:dyDescent="0.25">
      <c r="A238" s="3" t="s">
        <v>611</v>
      </c>
      <c r="B238" s="3" t="s">
        <v>612</v>
      </c>
      <c r="D238" s="3" t="s">
        <v>613</v>
      </c>
      <c r="E238" s="3" t="s">
        <v>614</v>
      </c>
      <c r="F238" s="3" t="s">
        <v>615</v>
      </c>
      <c r="G238" s="3" t="s">
        <v>144</v>
      </c>
      <c r="I238" s="3" t="s">
        <v>616</v>
      </c>
      <c r="J238" s="3" t="s">
        <v>617</v>
      </c>
      <c r="K238" s="3" t="s">
        <v>618</v>
      </c>
    </row>
    <row r="239" spans="1:11" x14ac:dyDescent="0.25">
      <c r="A239" s="4" t="s">
        <v>371</v>
      </c>
      <c r="B239" s="4" t="s">
        <v>619</v>
      </c>
      <c r="D239" s="4" t="s">
        <v>150</v>
      </c>
      <c r="E239" s="4" t="s">
        <v>151</v>
      </c>
      <c r="F239" s="5" t="s">
        <v>286</v>
      </c>
      <c r="G239" s="5" t="s">
        <v>153</v>
      </c>
      <c r="I239" s="4" t="s">
        <v>620</v>
      </c>
      <c r="J239" s="4" t="s">
        <v>621</v>
      </c>
      <c r="K239" s="5" t="s">
        <v>622</v>
      </c>
    </row>
    <row r="240" spans="1:11" x14ac:dyDescent="0.25">
      <c r="D240" s="4" t="s">
        <v>99</v>
      </c>
      <c r="E240" s="4" t="s">
        <v>623</v>
      </c>
      <c r="F240" s="5" t="s">
        <v>624</v>
      </c>
      <c r="G240" s="5" t="s">
        <v>160</v>
      </c>
      <c r="I240" s="4" t="s">
        <v>130</v>
      </c>
      <c r="J240" s="4" t="s">
        <v>515</v>
      </c>
      <c r="K240" s="5" t="s">
        <v>625</v>
      </c>
    </row>
    <row r="241" spans="1:11" x14ac:dyDescent="0.25">
      <c r="D241" s="4" t="s">
        <v>626</v>
      </c>
      <c r="E241" s="4" t="s">
        <v>627</v>
      </c>
      <c r="F241" s="5" t="s">
        <v>628</v>
      </c>
      <c r="G241" s="5" t="s">
        <v>167</v>
      </c>
      <c r="I241" s="4" t="s">
        <v>629</v>
      </c>
      <c r="J241" s="4" t="s">
        <v>630</v>
      </c>
      <c r="K241" s="5" t="s">
        <v>631</v>
      </c>
    </row>
    <row r="242" spans="1:11" x14ac:dyDescent="0.25">
      <c r="D242" s="4" t="s">
        <v>136</v>
      </c>
      <c r="E242" s="4" t="s">
        <v>137</v>
      </c>
      <c r="F242" s="5" t="s">
        <v>632</v>
      </c>
      <c r="G242" s="5" t="s">
        <v>174</v>
      </c>
      <c r="I242" s="4" t="s">
        <v>633</v>
      </c>
      <c r="J242" s="4" t="s">
        <v>634</v>
      </c>
      <c r="K242" s="5" t="s">
        <v>635</v>
      </c>
    </row>
    <row r="243" spans="1:11" x14ac:dyDescent="0.25">
      <c r="D243" s="4" t="s">
        <v>342</v>
      </c>
      <c r="E243" s="4" t="s">
        <v>343</v>
      </c>
      <c r="F243" s="5" t="s">
        <v>636</v>
      </c>
      <c r="G243" s="5" t="s">
        <v>181</v>
      </c>
      <c r="I243" s="4" t="s">
        <v>590</v>
      </c>
      <c r="J243" s="4" t="s">
        <v>270</v>
      </c>
      <c r="K243" s="5" t="s">
        <v>637</v>
      </c>
    </row>
    <row r="244" spans="1:11" x14ac:dyDescent="0.25">
      <c r="D244" s="4" t="s">
        <v>638</v>
      </c>
      <c r="E244" s="4" t="s">
        <v>639</v>
      </c>
      <c r="F244" s="5" t="s">
        <v>640</v>
      </c>
      <c r="G244" s="5" t="s">
        <v>227</v>
      </c>
      <c r="I244" s="4" t="s">
        <v>107</v>
      </c>
      <c r="J244" s="4" t="s">
        <v>108</v>
      </c>
      <c r="K244" s="5" t="s">
        <v>193</v>
      </c>
    </row>
    <row r="245" spans="1:11" x14ac:dyDescent="0.25">
      <c r="D245" s="4" t="s">
        <v>107</v>
      </c>
      <c r="E245" s="4" t="s">
        <v>108</v>
      </c>
      <c r="F245" s="5" t="s">
        <v>302</v>
      </c>
      <c r="G245" s="5" t="s">
        <v>186</v>
      </c>
    </row>
    <row r="250" spans="1:11" ht="15.75" x14ac:dyDescent="0.25">
      <c r="A250" s="1" t="s">
        <v>641</v>
      </c>
    </row>
    <row r="251" spans="1:11" x14ac:dyDescent="0.25">
      <c r="A251" s="3" t="s">
        <v>642</v>
      </c>
      <c r="B251" s="3" t="s">
        <v>643</v>
      </c>
      <c r="D251" s="3" t="s">
        <v>644</v>
      </c>
      <c r="E251" s="3" t="s">
        <v>645</v>
      </c>
      <c r="F251" s="3" t="s">
        <v>646</v>
      </c>
      <c r="G251" s="3" t="s">
        <v>144</v>
      </c>
      <c r="I251" s="3" t="s">
        <v>647</v>
      </c>
      <c r="J251" s="3" t="s">
        <v>648</v>
      </c>
      <c r="K251" s="3" t="s">
        <v>649</v>
      </c>
    </row>
    <row r="252" spans="1:11" x14ac:dyDescent="0.25">
      <c r="A252" s="4" t="s">
        <v>650</v>
      </c>
      <c r="B252" s="4" t="s">
        <v>651</v>
      </c>
      <c r="D252" s="4" t="s">
        <v>150</v>
      </c>
      <c r="E252" s="4" t="s">
        <v>151</v>
      </c>
      <c r="F252" s="5" t="s">
        <v>152</v>
      </c>
      <c r="G252" s="5" t="s">
        <v>153</v>
      </c>
      <c r="I252" s="4" t="s">
        <v>652</v>
      </c>
      <c r="J252" s="4" t="s">
        <v>653</v>
      </c>
      <c r="K252" s="5" t="s">
        <v>654</v>
      </c>
    </row>
    <row r="253" spans="1:11" x14ac:dyDescent="0.25">
      <c r="D253" s="4" t="s">
        <v>655</v>
      </c>
      <c r="E253" s="4" t="s">
        <v>656</v>
      </c>
      <c r="F253" s="5" t="s">
        <v>657</v>
      </c>
      <c r="G253" s="5" t="s">
        <v>160</v>
      </c>
      <c r="I253" s="4" t="s">
        <v>658</v>
      </c>
      <c r="J253" s="4" t="s">
        <v>659</v>
      </c>
      <c r="K253" s="5" t="s">
        <v>660</v>
      </c>
    </row>
    <row r="254" spans="1:11" x14ac:dyDescent="0.25">
      <c r="D254" s="4" t="s">
        <v>97</v>
      </c>
      <c r="E254" s="4" t="s">
        <v>661</v>
      </c>
      <c r="F254" s="5" t="s">
        <v>662</v>
      </c>
      <c r="G254" s="5" t="s">
        <v>167</v>
      </c>
      <c r="I254" s="4" t="s">
        <v>663</v>
      </c>
      <c r="J254" s="4" t="s">
        <v>664</v>
      </c>
      <c r="K254" s="5" t="s">
        <v>665</v>
      </c>
    </row>
    <row r="255" spans="1:11" x14ac:dyDescent="0.25">
      <c r="D255" s="4" t="s">
        <v>489</v>
      </c>
      <c r="E255" s="4" t="s">
        <v>666</v>
      </c>
      <c r="F255" s="5" t="s">
        <v>667</v>
      </c>
      <c r="G255" s="5" t="s">
        <v>174</v>
      </c>
      <c r="I255" s="4" t="s">
        <v>668</v>
      </c>
      <c r="J255" s="4" t="s">
        <v>669</v>
      </c>
      <c r="K255" s="5" t="s">
        <v>670</v>
      </c>
    </row>
    <row r="256" spans="1:11" x14ac:dyDescent="0.25">
      <c r="D256" s="4" t="s">
        <v>671</v>
      </c>
      <c r="E256" s="4" t="s">
        <v>672</v>
      </c>
      <c r="F256" s="5" t="s">
        <v>673</v>
      </c>
      <c r="G256" s="5" t="s">
        <v>181</v>
      </c>
      <c r="I256" s="4" t="s">
        <v>674</v>
      </c>
      <c r="J256" s="4" t="s">
        <v>675</v>
      </c>
      <c r="K256" s="5" t="s">
        <v>676</v>
      </c>
    </row>
    <row r="257" spans="1:11" x14ac:dyDescent="0.25">
      <c r="D257" s="4" t="s">
        <v>107</v>
      </c>
      <c r="E257" s="4" t="s">
        <v>108</v>
      </c>
      <c r="F257" s="5" t="s">
        <v>185</v>
      </c>
      <c r="G257" s="5" t="s">
        <v>186</v>
      </c>
      <c r="I257" s="4" t="s">
        <v>107</v>
      </c>
      <c r="J257" s="4" t="s">
        <v>108</v>
      </c>
      <c r="K257" s="5" t="s">
        <v>193</v>
      </c>
    </row>
    <row r="263" spans="1:11" x14ac:dyDescent="0.25">
      <c r="A263" s="2" t="s">
        <v>677</v>
      </c>
    </row>
    <row r="265" spans="1:11" x14ac:dyDescent="0.25">
      <c r="A265" s="2" t="s">
        <v>678</v>
      </c>
    </row>
  </sheetData>
  <pageMargins left="0.75" right="0.75" top="1" bottom="1" header="0.5" footer="0.5"/>
  <tableParts count="56">
    <tablePart r:id="rId1"/>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 r:id="rId23"/>
    <tablePart r:id="rId24"/>
    <tablePart r:id="rId25"/>
    <tablePart r:id="rId26"/>
    <tablePart r:id="rId27"/>
    <tablePart r:id="rId28"/>
    <tablePart r:id="rId29"/>
    <tablePart r:id="rId30"/>
    <tablePart r:id="rId31"/>
    <tablePart r:id="rId32"/>
    <tablePart r:id="rId33"/>
    <tablePart r:id="rId34"/>
    <tablePart r:id="rId35"/>
    <tablePart r:id="rId36"/>
    <tablePart r:id="rId37"/>
    <tablePart r:id="rId38"/>
    <tablePart r:id="rId39"/>
    <tablePart r:id="rId40"/>
    <tablePart r:id="rId41"/>
    <tablePart r:id="rId42"/>
    <tablePart r:id="rId43"/>
    <tablePart r:id="rId44"/>
    <tablePart r:id="rId45"/>
    <tablePart r:id="rId46"/>
    <tablePart r:id="rId47"/>
    <tablePart r:id="rId48"/>
    <tablePart r:id="rId49"/>
    <tablePart r:id="rId50"/>
    <tablePart r:id="rId51"/>
    <tablePart r:id="rId52"/>
    <tablePart r:id="rId53"/>
    <tablePart r:id="rId54"/>
    <tablePart r:id="rId55"/>
    <tablePart r:id="rId56"/>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93"/>
  <sheetViews>
    <sheetView showGridLines="0" workbookViewId="0">
      <pane ySplit="4" topLeftCell="A5" activePane="bottomLeft" state="frozen"/>
      <selection pane="bottomLeft" activeCell="T25" sqref="T25"/>
    </sheetView>
  </sheetViews>
  <sheetFormatPr defaultRowHeight="15" x14ac:dyDescent="0.25"/>
  <cols>
    <col min="1" max="1" width="3" customWidth="1"/>
    <col min="2" max="2" width="15" customWidth="1"/>
    <col min="3" max="3" width="5" customWidth="1"/>
    <col min="4" max="4" width="8.140625" customWidth="1"/>
    <col min="5" max="5" width="4" customWidth="1"/>
    <col min="6" max="6" width="17" customWidth="1"/>
    <col min="7" max="7" width="4" customWidth="1"/>
    <col min="8" max="8" width="15" customWidth="1"/>
    <col min="9" max="9" width="4" customWidth="1"/>
    <col min="10" max="10" width="6" customWidth="1"/>
    <col min="11" max="11" width="15" customWidth="1"/>
    <col min="12" max="12" width="4" customWidth="1"/>
    <col min="13" max="13" width="11" customWidth="1"/>
    <col min="14" max="14" width="5" customWidth="1"/>
    <col min="15" max="15" width="12" customWidth="1"/>
    <col min="16" max="16" width="19" customWidth="1"/>
    <col min="17" max="17" width="12" customWidth="1"/>
    <col min="18" max="18" width="10" customWidth="1"/>
    <col min="19" max="19" width="8" customWidth="1"/>
    <col min="20" max="21" width="11" customWidth="1"/>
    <col min="22" max="22" width="22" customWidth="1"/>
    <col min="23" max="23" width="12" customWidth="1"/>
    <col min="24" max="24" width="40" customWidth="1"/>
    <col min="25" max="26" width="13" hidden="1" customWidth="1"/>
  </cols>
  <sheetData>
    <row r="1" spans="1:26" ht="19.5" x14ac:dyDescent="0.3">
      <c r="A1" s="6" t="s">
        <v>679</v>
      </c>
    </row>
    <row r="2" spans="1:26" x14ac:dyDescent="0.25">
      <c r="A2" s="7" t="s">
        <v>680</v>
      </c>
    </row>
    <row r="3" spans="1:26" x14ac:dyDescent="0.25">
      <c r="A3" s="8" t="s">
        <v>681</v>
      </c>
    </row>
    <row r="4" spans="1:26" ht="30" customHeight="1" x14ac:dyDescent="0.25">
      <c r="A4" s="9" t="s">
        <v>682</v>
      </c>
      <c r="B4" s="9" t="s">
        <v>70</v>
      </c>
      <c r="C4" s="9" t="s">
        <v>683</v>
      </c>
      <c r="D4" s="10" t="s">
        <v>84</v>
      </c>
      <c r="E4" s="9" t="s">
        <v>83</v>
      </c>
      <c r="F4" s="9" t="s">
        <v>684</v>
      </c>
      <c r="G4" s="9" t="s">
        <v>685</v>
      </c>
      <c r="H4" s="9" t="s">
        <v>686</v>
      </c>
      <c r="I4" s="9" t="s">
        <v>687</v>
      </c>
      <c r="J4" s="9" t="s">
        <v>688</v>
      </c>
      <c r="K4" s="9" t="s">
        <v>689</v>
      </c>
      <c r="L4" s="9" t="s">
        <v>690</v>
      </c>
      <c r="M4" s="9" t="s">
        <v>72</v>
      </c>
      <c r="N4" s="9" t="s">
        <v>691</v>
      </c>
      <c r="O4" s="9" t="s">
        <v>692</v>
      </c>
      <c r="P4" s="9" t="s">
        <v>693</v>
      </c>
      <c r="Q4" s="9" t="s">
        <v>694</v>
      </c>
      <c r="R4" s="9" t="s">
        <v>695</v>
      </c>
      <c r="S4" s="10" t="s">
        <v>696</v>
      </c>
      <c r="T4" s="10" t="s">
        <v>697</v>
      </c>
      <c r="U4" s="10" t="s">
        <v>698</v>
      </c>
      <c r="V4" s="10" t="s">
        <v>699</v>
      </c>
      <c r="W4" s="9" t="s">
        <v>700</v>
      </c>
      <c r="X4" s="9" t="s">
        <v>701</v>
      </c>
      <c r="Y4" s="9" t="s">
        <v>702</v>
      </c>
      <c r="Z4" s="9" t="s">
        <v>703</v>
      </c>
    </row>
    <row r="5" spans="1:26" x14ac:dyDescent="0.25">
      <c r="A5" s="11" t="s">
        <v>704</v>
      </c>
      <c r="B5" s="12" t="s">
        <v>80</v>
      </c>
      <c r="C5" s="13" t="str">
        <f t="shared" ref="C5:C30" si="0">IFERROR(INDEX(Author_Code,MATCH($B5,Author_Name,0)),"")</f>
        <v>e</v>
      </c>
      <c r="D5" s="14"/>
      <c r="E5" s="13" t="str">
        <f t="shared" ref="E5:E30" si="1">IFERROR(INDEX(InPl_Code,MATCH($D5,InPl_Name,0)),"")</f>
        <v/>
      </c>
      <c r="F5" s="12" t="s">
        <v>149</v>
      </c>
      <c r="G5" s="13" t="str">
        <f t="shared" ref="G5:G30" si="2">IFERROR(INDEX(CL_Cat_Code,MATCH($F5,CL_Cat_Name,0)),"")</f>
        <v>CL</v>
      </c>
      <c r="H5" s="12" t="s">
        <v>158</v>
      </c>
      <c r="I5" s="13" t="str">
        <f t="shared" ref="I5:I30" si="3">IFERROR(INDEX(CL_G1_Code,MATCH($H5,CL_G1_Name,0)),"")</f>
        <v>FR</v>
      </c>
      <c r="J5" s="13" t="str">
        <f t="shared" ref="J5:J30" si="4">IFERROR(LEFT(INDEX(CL_G1_TM,MATCH($H5,CL_G1_Name,0)),1),"")</f>
        <v>1</v>
      </c>
      <c r="K5" s="12" t="s">
        <v>155</v>
      </c>
      <c r="L5" s="13" t="str">
        <f t="shared" ref="L5:L30" si="5">IFERROR(INDEX(CL_G2_Code,MATCH($K5,CL_G2_Name,0)),"")</f>
        <v>IN</v>
      </c>
      <c r="M5" s="12" t="s">
        <v>88</v>
      </c>
      <c r="N5" s="13" t="str">
        <f t="shared" ref="N5:N30" si="6">IFERROR(INDEX(Fin01_Code,MATCH($M5,Fin01_Name,0)),"")</f>
        <v>1F</v>
      </c>
      <c r="O5" s="12">
        <v>1</v>
      </c>
      <c r="P5" s="15"/>
      <c r="Q5" s="13" t="str">
        <f t="shared" ref="Q5:Q30" si="7">IF($I5="OT",$P5,IF(OR($G5="",$J5="",$O5=""),"",$G5&amp;"-"&amp;$J5&amp;IF(UPPER($O5)="XX","XX",TEXT($O5,"00"))))</f>
        <v>CL-101</v>
      </c>
      <c r="R5" s="12">
        <v>100</v>
      </c>
      <c r="S5" s="14"/>
      <c r="T5" s="14"/>
      <c r="U5" s="14"/>
      <c r="V5" s="16"/>
      <c r="W5" s="13" t="str">
        <f t="shared" ref="W5:W30" si="8">$G5&amp;IF($I5&lt;&gt;"","."&amp;$I5,"")&amp;IF($L5&lt;&gt;"","."&amp;$L5,"")</f>
        <v>CL.FR.IN</v>
      </c>
      <c r="X5" s="17" t="str">
        <f t="shared" ref="X5:X30" si="9">IF(AND($F5&lt;&gt;"",$H5&lt;&gt;"",$Q5&lt;&gt;"",AND($M5&lt;&gt;"",$R5&lt;&gt;"")),$C5&amp;"_"&amp;$Q5&amp;"_"&amp;$E5&amp;$W5&amp;"_"&amp;$N5&amp;"."&amp;TEXT($R5,"0")&amp;IF($S5&lt;&gt;"","_"&amp;$S5,"")&amp;IF($T5&amp;$U5&lt;&gt;"","_"&amp;$T5&amp;$U5,"")&amp;IF($V5&lt;&gt;"","_"&amp;$V5,""),"")</f>
        <v>e_CL-101_CL.FR.IN_1F.100</v>
      </c>
      <c r="Y5" s="18" t="str">
        <f t="shared" ref="Y5:Y30" si="10">IF(OR($L5="IN"),"_src!$B$1","_src!$B$2")</f>
        <v>_src!$B$1</v>
      </c>
      <c r="Z5" s="18" t="str">
        <f t="shared" ref="Z5:Z30" si="11">IF(OR($L5="IN"),"_src!$C$1","_src!$C$2")</f>
        <v>_src!$C$1</v>
      </c>
    </row>
    <row r="6" spans="1:26" x14ac:dyDescent="0.25">
      <c r="A6" s="11" t="s">
        <v>705</v>
      </c>
      <c r="B6" s="12" t="s">
        <v>80</v>
      </c>
      <c r="C6" s="13" t="str">
        <f t="shared" si="0"/>
        <v>e</v>
      </c>
      <c r="D6" s="14"/>
      <c r="E6" s="13" t="str">
        <f t="shared" si="1"/>
        <v/>
      </c>
      <c r="F6" s="12" t="s">
        <v>149</v>
      </c>
      <c r="G6" s="13" t="str">
        <f t="shared" si="2"/>
        <v>CL</v>
      </c>
      <c r="H6" s="12" t="s">
        <v>158</v>
      </c>
      <c r="I6" s="13" t="str">
        <f t="shared" si="3"/>
        <v>FR</v>
      </c>
      <c r="J6" s="13" t="str">
        <f t="shared" si="4"/>
        <v>1</v>
      </c>
      <c r="K6" s="12" t="s">
        <v>155</v>
      </c>
      <c r="L6" s="13" t="str">
        <f t="shared" si="5"/>
        <v>IN</v>
      </c>
      <c r="M6" s="12" t="s">
        <v>88</v>
      </c>
      <c r="N6" s="13" t="str">
        <f t="shared" si="6"/>
        <v>1F</v>
      </c>
      <c r="O6" s="12">
        <v>2</v>
      </c>
      <c r="P6" s="15"/>
      <c r="Q6" s="13" t="str">
        <f t="shared" si="7"/>
        <v>CL-102</v>
      </c>
      <c r="R6" s="12">
        <v>125</v>
      </c>
      <c r="S6" s="14" t="s">
        <v>706</v>
      </c>
      <c r="T6" s="14"/>
      <c r="U6" s="14"/>
      <c r="V6" s="16"/>
      <c r="W6" s="13" t="str">
        <f t="shared" si="8"/>
        <v>CL.FR.IN</v>
      </c>
      <c r="X6" s="17" t="str">
        <f t="shared" si="9"/>
        <v>e_CL-102_CL.FR.IN_1F.125_REI120</v>
      </c>
      <c r="Y6" s="18" t="str">
        <f t="shared" si="10"/>
        <v>_src!$B$1</v>
      </c>
      <c r="Z6" s="18" t="str">
        <f t="shared" si="11"/>
        <v>_src!$C$1</v>
      </c>
    </row>
    <row r="7" spans="1:26" x14ac:dyDescent="0.25">
      <c r="A7" s="11" t="s">
        <v>707</v>
      </c>
      <c r="B7" s="12" t="s">
        <v>80</v>
      </c>
      <c r="C7" s="13" t="str">
        <f t="shared" si="0"/>
        <v>e</v>
      </c>
      <c r="D7" s="14"/>
      <c r="E7" s="13" t="str">
        <f t="shared" si="1"/>
        <v/>
      </c>
      <c r="F7" s="12" t="s">
        <v>149</v>
      </c>
      <c r="G7" s="13" t="str">
        <f t="shared" si="2"/>
        <v>CL</v>
      </c>
      <c r="H7" s="12" t="s">
        <v>158</v>
      </c>
      <c r="I7" s="13" t="str">
        <f t="shared" si="3"/>
        <v>FR</v>
      </c>
      <c r="J7" s="13" t="str">
        <f t="shared" si="4"/>
        <v>1</v>
      </c>
      <c r="K7" s="12" t="s">
        <v>155</v>
      </c>
      <c r="L7" s="13" t="str">
        <f t="shared" si="5"/>
        <v>IN</v>
      </c>
      <c r="M7" s="12" t="s">
        <v>88</v>
      </c>
      <c r="N7" s="13" t="str">
        <f t="shared" si="6"/>
        <v>1F</v>
      </c>
      <c r="O7" s="12">
        <v>3</v>
      </c>
      <c r="P7" s="15"/>
      <c r="Q7" s="13" t="str">
        <f t="shared" si="7"/>
        <v>CL-103</v>
      </c>
      <c r="R7" s="12">
        <v>150</v>
      </c>
      <c r="S7" s="14"/>
      <c r="T7" s="14"/>
      <c r="U7" s="14" t="s">
        <v>708</v>
      </c>
      <c r="V7" s="16"/>
      <c r="W7" s="13" t="str">
        <f t="shared" si="8"/>
        <v>CL.FR.IN</v>
      </c>
      <c r="X7" s="17" t="str">
        <f t="shared" si="9"/>
        <v>e_CL-103_CL.FR.IN_1F.150_I</v>
      </c>
      <c r="Y7" s="18" t="str">
        <f t="shared" si="10"/>
        <v>_src!$B$1</v>
      </c>
      <c r="Z7" s="18" t="str">
        <f t="shared" si="11"/>
        <v>_src!$C$1</v>
      </c>
    </row>
    <row r="8" spans="1:26" x14ac:dyDescent="0.25">
      <c r="A8" s="11" t="s">
        <v>709</v>
      </c>
      <c r="B8" s="12" t="s">
        <v>80</v>
      </c>
      <c r="C8" s="13" t="str">
        <f t="shared" si="0"/>
        <v>e</v>
      </c>
      <c r="D8" s="14"/>
      <c r="E8" s="13" t="str">
        <f t="shared" si="1"/>
        <v/>
      </c>
      <c r="F8" s="12" t="s">
        <v>149</v>
      </c>
      <c r="G8" s="13" t="str">
        <f t="shared" si="2"/>
        <v>CL</v>
      </c>
      <c r="H8" s="12" t="s">
        <v>158</v>
      </c>
      <c r="I8" s="13" t="str">
        <f t="shared" si="3"/>
        <v>FR</v>
      </c>
      <c r="J8" s="13" t="str">
        <f t="shared" si="4"/>
        <v>1</v>
      </c>
      <c r="K8" s="12" t="s">
        <v>155</v>
      </c>
      <c r="L8" s="13" t="str">
        <f t="shared" si="5"/>
        <v>IN</v>
      </c>
      <c r="M8" s="12" t="s">
        <v>88</v>
      </c>
      <c r="N8" s="13" t="str">
        <f t="shared" si="6"/>
        <v>1F</v>
      </c>
      <c r="O8" s="12">
        <v>4</v>
      </c>
      <c r="P8" s="15"/>
      <c r="Q8" s="13" t="str">
        <f t="shared" si="7"/>
        <v>CL-104</v>
      </c>
      <c r="R8" s="12">
        <v>130</v>
      </c>
      <c r="S8" s="14"/>
      <c r="T8" s="14" t="s">
        <v>710</v>
      </c>
      <c r="U8" s="14"/>
      <c r="V8" s="16"/>
      <c r="W8" s="13" t="str">
        <f t="shared" si="8"/>
        <v>CL.FR.IN</v>
      </c>
      <c r="X8" s="17" t="str">
        <f t="shared" si="9"/>
        <v>e_CL-104_CL.FR.IN_1F.130_W</v>
      </c>
      <c r="Y8" s="18" t="str">
        <f t="shared" si="10"/>
        <v>_src!$B$1</v>
      </c>
      <c r="Z8" s="18" t="str">
        <f t="shared" si="11"/>
        <v>_src!$C$1</v>
      </c>
    </row>
    <row r="9" spans="1:26" x14ac:dyDescent="0.25">
      <c r="A9" s="11" t="s">
        <v>711</v>
      </c>
      <c r="B9" s="12" t="s">
        <v>80</v>
      </c>
      <c r="C9" s="13" t="str">
        <f t="shared" si="0"/>
        <v>e</v>
      </c>
      <c r="D9" s="14"/>
      <c r="E9" s="13" t="str">
        <f t="shared" si="1"/>
        <v/>
      </c>
      <c r="F9" s="12" t="s">
        <v>149</v>
      </c>
      <c r="G9" s="13" t="str">
        <f t="shared" si="2"/>
        <v>CL</v>
      </c>
      <c r="H9" s="12" t="s">
        <v>158</v>
      </c>
      <c r="I9" s="13" t="str">
        <f t="shared" si="3"/>
        <v>FR</v>
      </c>
      <c r="J9" s="13" t="str">
        <f t="shared" si="4"/>
        <v>1</v>
      </c>
      <c r="K9" s="12" t="s">
        <v>169</v>
      </c>
      <c r="L9" s="13" t="str">
        <f t="shared" si="5"/>
        <v>BL</v>
      </c>
      <c r="M9" s="12" t="s">
        <v>88</v>
      </c>
      <c r="N9" s="13" t="str">
        <f t="shared" si="6"/>
        <v>1F</v>
      </c>
      <c r="O9" s="12">
        <v>5</v>
      </c>
      <c r="P9" s="15"/>
      <c r="Q9" s="13" t="str">
        <f t="shared" si="7"/>
        <v>CL-105</v>
      </c>
      <c r="R9" s="12">
        <v>100</v>
      </c>
      <c r="S9" s="14"/>
      <c r="T9" s="14"/>
      <c r="U9" s="14"/>
      <c r="V9" s="16"/>
      <c r="W9" s="13" t="str">
        <f t="shared" si="8"/>
        <v>CL.FR.BL</v>
      </c>
      <c r="X9" s="17" t="str">
        <f t="shared" si="9"/>
        <v>e_CL-105_CL.FR.BL_1F.100</v>
      </c>
      <c r="Y9" s="18" t="str">
        <f t="shared" si="10"/>
        <v>_src!$B$2</v>
      </c>
      <c r="Z9" s="18" t="str">
        <f t="shared" si="11"/>
        <v>_src!$C$2</v>
      </c>
    </row>
    <row r="10" spans="1:26" x14ac:dyDescent="0.25">
      <c r="A10" s="11" t="s">
        <v>712</v>
      </c>
      <c r="B10" s="12" t="s">
        <v>80</v>
      </c>
      <c r="C10" s="13" t="str">
        <f t="shared" si="0"/>
        <v>e</v>
      </c>
      <c r="D10" s="14"/>
      <c r="E10" s="13" t="str">
        <f t="shared" si="1"/>
        <v/>
      </c>
      <c r="F10" s="12" t="s">
        <v>149</v>
      </c>
      <c r="G10" s="13" t="str">
        <f t="shared" si="2"/>
        <v>CL</v>
      </c>
      <c r="H10" s="12" t="s">
        <v>165</v>
      </c>
      <c r="I10" s="13" t="str">
        <f t="shared" si="3"/>
        <v>MD</v>
      </c>
      <c r="J10" s="13" t="str">
        <f t="shared" si="4"/>
        <v>2</v>
      </c>
      <c r="K10" s="12" t="s">
        <v>155</v>
      </c>
      <c r="L10" s="13" t="str">
        <f t="shared" si="5"/>
        <v>IN</v>
      </c>
      <c r="M10" s="12" t="s">
        <v>88</v>
      </c>
      <c r="N10" s="13" t="str">
        <f t="shared" si="6"/>
        <v>1F</v>
      </c>
      <c r="O10" s="12">
        <v>1</v>
      </c>
      <c r="P10" s="15"/>
      <c r="Q10" s="13" t="str">
        <f t="shared" si="7"/>
        <v>CL-201</v>
      </c>
      <c r="R10" s="12">
        <v>60</v>
      </c>
      <c r="S10" s="14"/>
      <c r="T10" s="14"/>
      <c r="U10" s="14"/>
      <c r="V10" s="16"/>
      <c r="W10" s="13" t="str">
        <f t="shared" si="8"/>
        <v>CL.MD.IN</v>
      </c>
      <c r="X10" s="17" t="str">
        <f t="shared" si="9"/>
        <v>e_CL-201_CL.MD.IN_1F.60</v>
      </c>
      <c r="Y10" s="18" t="str">
        <f t="shared" si="10"/>
        <v>_src!$B$1</v>
      </c>
      <c r="Z10" s="18" t="str">
        <f t="shared" si="11"/>
        <v>_src!$C$1</v>
      </c>
    </row>
    <row r="11" spans="1:26" x14ac:dyDescent="0.25">
      <c r="A11" s="11" t="s">
        <v>713</v>
      </c>
      <c r="B11" s="12" t="s">
        <v>80</v>
      </c>
      <c r="C11" s="13" t="str">
        <f t="shared" si="0"/>
        <v>e</v>
      </c>
      <c r="D11" s="14"/>
      <c r="E11" s="13" t="str">
        <f t="shared" si="1"/>
        <v/>
      </c>
      <c r="F11" s="12" t="s">
        <v>149</v>
      </c>
      <c r="G11" s="13" t="str">
        <f t="shared" si="2"/>
        <v>CL</v>
      </c>
      <c r="H11" s="12" t="s">
        <v>165</v>
      </c>
      <c r="I11" s="13" t="str">
        <f t="shared" si="3"/>
        <v>MD</v>
      </c>
      <c r="J11" s="13" t="str">
        <f t="shared" si="4"/>
        <v>2</v>
      </c>
      <c r="K11" s="12" t="s">
        <v>155</v>
      </c>
      <c r="L11" s="13" t="str">
        <f t="shared" si="5"/>
        <v>IN</v>
      </c>
      <c r="M11" s="12" t="s">
        <v>88</v>
      </c>
      <c r="N11" s="13" t="str">
        <f t="shared" si="6"/>
        <v>1F</v>
      </c>
      <c r="O11" s="12">
        <v>2</v>
      </c>
      <c r="P11" s="15"/>
      <c r="Q11" s="13" t="str">
        <f t="shared" si="7"/>
        <v>CL-202</v>
      </c>
      <c r="R11" s="12">
        <v>80</v>
      </c>
      <c r="S11" s="14" t="s">
        <v>714</v>
      </c>
      <c r="T11" s="14"/>
      <c r="U11" s="14"/>
      <c r="V11" s="16"/>
      <c r="W11" s="13" t="str">
        <f t="shared" si="8"/>
        <v>CL.MD.IN</v>
      </c>
      <c r="X11" s="17" t="str">
        <f t="shared" si="9"/>
        <v>e_CL-202_CL.MD.IN_1F.80_REI60</v>
      </c>
      <c r="Y11" s="18" t="str">
        <f t="shared" si="10"/>
        <v>_src!$B$1</v>
      </c>
      <c r="Z11" s="18" t="str">
        <f t="shared" si="11"/>
        <v>_src!$C$1</v>
      </c>
    </row>
    <row r="12" spans="1:26" x14ac:dyDescent="0.25">
      <c r="A12" s="11" t="s">
        <v>715</v>
      </c>
      <c r="B12" s="12" t="s">
        <v>80</v>
      </c>
      <c r="C12" s="13" t="str">
        <f t="shared" si="0"/>
        <v>e</v>
      </c>
      <c r="D12" s="14"/>
      <c r="E12" s="13" t="str">
        <f t="shared" si="1"/>
        <v/>
      </c>
      <c r="F12" s="12" t="s">
        <v>149</v>
      </c>
      <c r="G12" s="13" t="str">
        <f t="shared" si="2"/>
        <v>CL</v>
      </c>
      <c r="H12" s="12" t="s">
        <v>172</v>
      </c>
      <c r="I12" s="13" t="str">
        <f t="shared" si="3"/>
        <v>MN</v>
      </c>
      <c r="J12" s="13" t="str">
        <f t="shared" si="4"/>
        <v>3</v>
      </c>
      <c r="K12" s="12" t="s">
        <v>155</v>
      </c>
      <c r="L12" s="13" t="str">
        <f t="shared" si="5"/>
        <v>IN</v>
      </c>
      <c r="M12" s="12" t="s">
        <v>88</v>
      </c>
      <c r="N12" s="13" t="str">
        <f t="shared" si="6"/>
        <v>1F</v>
      </c>
      <c r="O12" s="12">
        <v>1</v>
      </c>
      <c r="P12" s="15"/>
      <c r="Q12" s="13" t="str">
        <f t="shared" si="7"/>
        <v>CL-301</v>
      </c>
      <c r="R12" s="12">
        <v>20</v>
      </c>
      <c r="S12" s="14"/>
      <c r="T12" s="14"/>
      <c r="U12" s="14"/>
      <c r="V12" s="16"/>
      <c r="W12" s="13" t="str">
        <f t="shared" si="8"/>
        <v>CL.MN.IN</v>
      </c>
      <c r="X12" s="17" t="str">
        <f t="shared" si="9"/>
        <v>e_CL-301_CL.MN.IN_1F.20</v>
      </c>
      <c r="Y12" s="18" t="str">
        <f t="shared" si="10"/>
        <v>_src!$B$1</v>
      </c>
      <c r="Z12" s="18" t="str">
        <f t="shared" si="11"/>
        <v>_src!$C$1</v>
      </c>
    </row>
    <row r="13" spans="1:26" x14ac:dyDescent="0.25">
      <c r="A13" s="11" t="s">
        <v>716</v>
      </c>
      <c r="B13" s="12" t="s">
        <v>80</v>
      </c>
      <c r="C13" s="13" t="str">
        <f t="shared" si="0"/>
        <v>e</v>
      </c>
      <c r="D13" s="14"/>
      <c r="E13" s="13" t="str">
        <f t="shared" si="1"/>
        <v/>
      </c>
      <c r="F13" s="12" t="s">
        <v>149</v>
      </c>
      <c r="G13" s="13" t="str">
        <f t="shared" si="2"/>
        <v>CL</v>
      </c>
      <c r="H13" s="12" t="s">
        <v>179</v>
      </c>
      <c r="I13" s="13" t="str">
        <f t="shared" si="3"/>
        <v>PN</v>
      </c>
      <c r="J13" s="13" t="str">
        <f t="shared" si="4"/>
        <v>4</v>
      </c>
      <c r="K13" s="12" t="s">
        <v>188</v>
      </c>
      <c r="L13" s="13" t="str">
        <f t="shared" si="5"/>
        <v>AC</v>
      </c>
      <c r="M13" s="12" t="s">
        <v>82</v>
      </c>
      <c r="N13" s="13" t="str">
        <f t="shared" si="6"/>
        <v>0F</v>
      </c>
      <c r="O13" s="12">
        <v>1</v>
      </c>
      <c r="P13" s="15"/>
      <c r="Q13" s="13" t="str">
        <f t="shared" si="7"/>
        <v>CL-401</v>
      </c>
      <c r="R13" s="12">
        <v>40</v>
      </c>
      <c r="S13" s="14"/>
      <c r="T13" s="14"/>
      <c r="U13" s="14"/>
      <c r="V13" s="16"/>
      <c r="W13" s="13" t="str">
        <f t="shared" si="8"/>
        <v>CL.PN.AC</v>
      </c>
      <c r="X13" s="17" t="str">
        <f t="shared" si="9"/>
        <v>e_CL-401_CL.PN.AC_0F.40</v>
      </c>
      <c r="Y13" s="18" t="str">
        <f t="shared" si="10"/>
        <v>_src!$B$2</v>
      </c>
      <c r="Z13" s="18" t="str">
        <f t="shared" si="11"/>
        <v>_src!$C$2</v>
      </c>
    </row>
    <row r="14" spans="1:26" x14ac:dyDescent="0.25">
      <c r="A14" s="11" t="s">
        <v>717</v>
      </c>
      <c r="B14" s="12" t="s">
        <v>80</v>
      </c>
      <c r="C14" s="13" t="str">
        <f t="shared" si="0"/>
        <v>e</v>
      </c>
      <c r="D14" s="14" t="s">
        <v>84</v>
      </c>
      <c r="E14" s="13" t="str">
        <f t="shared" si="1"/>
        <v>(I)</v>
      </c>
      <c r="F14" s="12" t="s">
        <v>149</v>
      </c>
      <c r="G14" s="13" t="str">
        <f t="shared" si="2"/>
        <v>CL</v>
      </c>
      <c r="H14" s="12" t="s">
        <v>108</v>
      </c>
      <c r="I14" s="13" t="str">
        <f t="shared" si="3"/>
        <v>OT</v>
      </c>
      <c r="J14" s="13" t="str">
        <f t="shared" si="4"/>
        <v>9</v>
      </c>
      <c r="K14" s="12" t="s">
        <v>183</v>
      </c>
      <c r="L14" s="13" t="str">
        <f t="shared" si="5"/>
        <v>LN</v>
      </c>
      <c r="M14" s="12" t="s">
        <v>82</v>
      </c>
      <c r="N14" s="13" t="str">
        <f t="shared" si="6"/>
        <v>0F</v>
      </c>
      <c r="O14" s="12"/>
      <c r="P14" s="15" t="s">
        <v>718</v>
      </c>
      <c r="Q14" s="13" t="str">
        <f t="shared" si="7"/>
        <v>PT-001</v>
      </c>
      <c r="R14" s="12">
        <v>5</v>
      </c>
      <c r="S14" s="14"/>
      <c r="T14" s="14"/>
      <c r="U14" s="14"/>
      <c r="V14" s="16"/>
      <c r="W14" s="13" t="str">
        <f t="shared" si="8"/>
        <v>CL.OT.LN</v>
      </c>
      <c r="X14" s="17" t="str">
        <f t="shared" si="9"/>
        <v>e_PT-001_(I)CL.OT.LN_0F.5</v>
      </c>
      <c r="Y14" s="18" t="str">
        <f t="shared" si="10"/>
        <v>_src!$B$2</v>
      </c>
      <c r="Z14" s="18" t="str">
        <f t="shared" si="11"/>
        <v>_src!$C$2</v>
      </c>
    </row>
    <row r="15" spans="1:26" x14ac:dyDescent="0.25">
      <c r="A15" s="11" t="s">
        <v>719</v>
      </c>
      <c r="B15" s="12" t="s">
        <v>80</v>
      </c>
      <c r="C15" s="13" t="str">
        <f t="shared" si="0"/>
        <v>e</v>
      </c>
      <c r="D15" s="14" t="s">
        <v>84</v>
      </c>
      <c r="E15" s="13" t="str">
        <f t="shared" si="1"/>
        <v>(I)</v>
      </c>
      <c r="F15" s="12" t="s">
        <v>149</v>
      </c>
      <c r="G15" s="13" t="str">
        <f t="shared" si="2"/>
        <v>CL</v>
      </c>
      <c r="H15" s="12" t="s">
        <v>158</v>
      </c>
      <c r="I15" s="13" t="str">
        <f t="shared" si="3"/>
        <v>FR</v>
      </c>
      <c r="J15" s="13" t="str">
        <f t="shared" si="4"/>
        <v>1</v>
      </c>
      <c r="K15" s="12" t="s">
        <v>155</v>
      </c>
      <c r="L15" s="13" t="str">
        <f t="shared" si="5"/>
        <v>IN</v>
      </c>
      <c r="M15" s="12" t="s">
        <v>88</v>
      </c>
      <c r="N15" s="13" t="str">
        <f t="shared" si="6"/>
        <v>1F</v>
      </c>
      <c r="O15" s="12">
        <v>1</v>
      </c>
      <c r="P15" s="15"/>
      <c r="Q15" s="13" t="str">
        <f t="shared" si="7"/>
        <v>CL-101</v>
      </c>
      <c r="R15" s="12">
        <v>100</v>
      </c>
      <c r="S15" s="14"/>
      <c r="T15" s="14"/>
      <c r="U15" s="14"/>
      <c r="V15" s="16"/>
      <c r="W15" s="13" t="str">
        <f t="shared" si="8"/>
        <v>CL.FR.IN</v>
      </c>
      <c r="X15" s="17" t="str">
        <f t="shared" si="9"/>
        <v>e_CL-101_(I)CL.FR.IN_1F.100</v>
      </c>
      <c r="Y15" s="18" t="str">
        <f t="shared" si="10"/>
        <v>_src!$B$1</v>
      </c>
      <c r="Z15" s="18" t="str">
        <f t="shared" si="11"/>
        <v>_src!$C$1</v>
      </c>
    </row>
    <row r="16" spans="1:26" x14ac:dyDescent="0.25">
      <c r="A16" s="19">
        <v>1</v>
      </c>
      <c r="B16" s="20"/>
      <c r="C16" s="21" t="str">
        <f t="shared" si="0"/>
        <v/>
      </c>
      <c r="D16" s="22"/>
      <c r="E16" s="21" t="str">
        <f t="shared" si="1"/>
        <v/>
      </c>
      <c r="F16" s="20"/>
      <c r="G16" s="21" t="str">
        <f t="shared" si="2"/>
        <v/>
      </c>
      <c r="H16" s="20"/>
      <c r="I16" s="21" t="str">
        <f t="shared" si="3"/>
        <v/>
      </c>
      <c r="J16" s="21" t="str">
        <f t="shared" si="4"/>
        <v/>
      </c>
      <c r="K16" s="20"/>
      <c r="L16" s="21" t="str">
        <f t="shared" si="5"/>
        <v/>
      </c>
      <c r="M16" s="20"/>
      <c r="N16" s="21" t="str">
        <f t="shared" si="6"/>
        <v/>
      </c>
      <c r="O16" s="20"/>
      <c r="P16" s="23"/>
      <c r="Q16" s="21" t="str">
        <f t="shared" si="7"/>
        <v/>
      </c>
      <c r="R16" s="20"/>
      <c r="S16" s="22"/>
      <c r="T16" s="22"/>
      <c r="U16" s="22"/>
      <c r="V16" s="24"/>
      <c r="W16" s="21" t="str">
        <f t="shared" si="8"/>
        <v/>
      </c>
      <c r="X16" s="25" t="str">
        <f t="shared" si="9"/>
        <v/>
      </c>
      <c r="Y16" s="18" t="str">
        <f t="shared" si="10"/>
        <v>_src!$B$2</v>
      </c>
      <c r="Z16" s="18" t="str">
        <f t="shared" si="11"/>
        <v>_src!$C$2</v>
      </c>
    </row>
    <row r="17" spans="1:26" x14ac:dyDescent="0.25">
      <c r="A17" s="19">
        <v>2</v>
      </c>
      <c r="B17" s="20"/>
      <c r="C17" s="21" t="str">
        <f t="shared" si="0"/>
        <v/>
      </c>
      <c r="D17" s="22"/>
      <c r="E17" s="21" t="str">
        <f t="shared" si="1"/>
        <v/>
      </c>
      <c r="F17" s="20"/>
      <c r="G17" s="21" t="str">
        <f t="shared" si="2"/>
        <v/>
      </c>
      <c r="H17" s="20"/>
      <c r="I17" s="21" t="str">
        <f t="shared" si="3"/>
        <v/>
      </c>
      <c r="J17" s="21" t="str">
        <f t="shared" si="4"/>
        <v/>
      </c>
      <c r="K17" s="20"/>
      <c r="L17" s="21" t="str">
        <f t="shared" si="5"/>
        <v/>
      </c>
      <c r="M17" s="20"/>
      <c r="N17" s="21" t="str">
        <f t="shared" si="6"/>
        <v/>
      </c>
      <c r="O17" s="20"/>
      <c r="P17" s="23"/>
      <c r="Q17" s="21" t="str">
        <f t="shared" si="7"/>
        <v/>
      </c>
      <c r="R17" s="20"/>
      <c r="S17" s="22"/>
      <c r="T17" s="22"/>
      <c r="U17" s="22"/>
      <c r="V17" s="24"/>
      <c r="W17" s="21" t="str">
        <f t="shared" si="8"/>
        <v/>
      </c>
      <c r="X17" s="25" t="str">
        <f t="shared" si="9"/>
        <v/>
      </c>
      <c r="Y17" s="18" t="str">
        <f t="shared" si="10"/>
        <v>_src!$B$2</v>
      </c>
      <c r="Z17" s="18" t="str">
        <f t="shared" si="11"/>
        <v>_src!$C$2</v>
      </c>
    </row>
    <row r="18" spans="1:26" x14ac:dyDescent="0.25">
      <c r="A18" s="19">
        <v>3</v>
      </c>
      <c r="B18" s="20"/>
      <c r="C18" s="21" t="str">
        <f t="shared" si="0"/>
        <v/>
      </c>
      <c r="D18" s="22"/>
      <c r="E18" s="21" t="str">
        <f t="shared" si="1"/>
        <v/>
      </c>
      <c r="F18" s="20"/>
      <c r="G18" s="21" t="str">
        <f t="shared" si="2"/>
        <v/>
      </c>
      <c r="H18" s="20"/>
      <c r="I18" s="21" t="str">
        <f t="shared" si="3"/>
        <v/>
      </c>
      <c r="J18" s="21" t="str">
        <f t="shared" si="4"/>
        <v/>
      </c>
      <c r="K18" s="20"/>
      <c r="L18" s="21" t="str">
        <f t="shared" si="5"/>
        <v/>
      </c>
      <c r="M18" s="20"/>
      <c r="N18" s="21" t="str">
        <f t="shared" si="6"/>
        <v/>
      </c>
      <c r="O18" s="20"/>
      <c r="P18" s="23"/>
      <c r="Q18" s="21" t="str">
        <f t="shared" si="7"/>
        <v/>
      </c>
      <c r="R18" s="20"/>
      <c r="S18" s="22"/>
      <c r="T18" s="22"/>
      <c r="U18" s="22"/>
      <c r="V18" s="24"/>
      <c r="W18" s="21" t="str">
        <f t="shared" si="8"/>
        <v/>
      </c>
      <c r="X18" s="25" t="str">
        <f t="shared" si="9"/>
        <v/>
      </c>
      <c r="Y18" s="18" t="str">
        <f t="shared" si="10"/>
        <v>_src!$B$2</v>
      </c>
      <c r="Z18" s="18" t="str">
        <f t="shared" si="11"/>
        <v>_src!$C$2</v>
      </c>
    </row>
    <row r="19" spans="1:26" x14ac:dyDescent="0.25">
      <c r="A19" s="19">
        <v>4</v>
      </c>
      <c r="B19" s="20"/>
      <c r="C19" s="21" t="str">
        <f t="shared" si="0"/>
        <v/>
      </c>
      <c r="D19" s="22"/>
      <c r="E19" s="21" t="str">
        <f t="shared" si="1"/>
        <v/>
      </c>
      <c r="F19" s="20"/>
      <c r="G19" s="21" t="str">
        <f t="shared" si="2"/>
        <v/>
      </c>
      <c r="H19" s="20"/>
      <c r="I19" s="21" t="str">
        <f t="shared" si="3"/>
        <v/>
      </c>
      <c r="J19" s="21" t="str">
        <f t="shared" si="4"/>
        <v/>
      </c>
      <c r="K19" s="20"/>
      <c r="L19" s="21" t="str">
        <f t="shared" si="5"/>
        <v/>
      </c>
      <c r="M19" s="20"/>
      <c r="N19" s="21" t="str">
        <f t="shared" si="6"/>
        <v/>
      </c>
      <c r="O19" s="20"/>
      <c r="P19" s="23"/>
      <c r="Q19" s="21" t="str">
        <f t="shared" si="7"/>
        <v/>
      </c>
      <c r="R19" s="20"/>
      <c r="S19" s="22"/>
      <c r="T19" s="22"/>
      <c r="U19" s="22"/>
      <c r="V19" s="24"/>
      <c r="W19" s="21" t="str">
        <f t="shared" si="8"/>
        <v/>
      </c>
      <c r="X19" s="25" t="str">
        <f t="shared" si="9"/>
        <v/>
      </c>
      <c r="Y19" s="18" t="str">
        <f t="shared" si="10"/>
        <v>_src!$B$2</v>
      </c>
      <c r="Z19" s="18" t="str">
        <f t="shared" si="11"/>
        <v>_src!$C$2</v>
      </c>
    </row>
    <row r="20" spans="1:26" x14ac:dyDescent="0.25">
      <c r="A20" s="19">
        <v>5</v>
      </c>
      <c r="B20" s="20"/>
      <c r="C20" s="21" t="str">
        <f t="shared" si="0"/>
        <v/>
      </c>
      <c r="D20" s="22"/>
      <c r="E20" s="21" t="str">
        <f t="shared" si="1"/>
        <v/>
      </c>
      <c r="F20" s="20"/>
      <c r="G20" s="21" t="str">
        <f t="shared" si="2"/>
        <v/>
      </c>
      <c r="H20" s="20"/>
      <c r="I20" s="21" t="str">
        <f t="shared" si="3"/>
        <v/>
      </c>
      <c r="J20" s="21" t="str">
        <f t="shared" si="4"/>
        <v/>
      </c>
      <c r="K20" s="20"/>
      <c r="L20" s="21" t="str">
        <f t="shared" si="5"/>
        <v/>
      </c>
      <c r="M20" s="20"/>
      <c r="N20" s="21" t="str">
        <f t="shared" si="6"/>
        <v/>
      </c>
      <c r="O20" s="20"/>
      <c r="P20" s="23"/>
      <c r="Q20" s="21" t="str">
        <f t="shared" si="7"/>
        <v/>
      </c>
      <c r="R20" s="20"/>
      <c r="S20" s="22"/>
      <c r="T20" s="22"/>
      <c r="U20" s="22"/>
      <c r="V20" s="24"/>
      <c r="W20" s="21" t="str">
        <f t="shared" si="8"/>
        <v/>
      </c>
      <c r="X20" s="25" t="str">
        <f t="shared" si="9"/>
        <v/>
      </c>
      <c r="Y20" s="18" t="str">
        <f t="shared" si="10"/>
        <v>_src!$B$2</v>
      </c>
      <c r="Z20" s="18" t="str">
        <f t="shared" si="11"/>
        <v>_src!$C$2</v>
      </c>
    </row>
    <row r="21" spans="1:26" x14ac:dyDescent="0.25">
      <c r="A21" s="19">
        <v>6</v>
      </c>
      <c r="B21" s="20"/>
      <c r="C21" s="21" t="str">
        <f t="shared" si="0"/>
        <v/>
      </c>
      <c r="D21" s="22"/>
      <c r="E21" s="21" t="str">
        <f t="shared" si="1"/>
        <v/>
      </c>
      <c r="F21" s="20"/>
      <c r="G21" s="21" t="str">
        <f t="shared" si="2"/>
        <v/>
      </c>
      <c r="H21" s="20"/>
      <c r="I21" s="21" t="str">
        <f t="shared" si="3"/>
        <v/>
      </c>
      <c r="J21" s="21" t="str">
        <f t="shared" si="4"/>
        <v/>
      </c>
      <c r="K21" s="20"/>
      <c r="L21" s="21" t="str">
        <f t="shared" si="5"/>
        <v/>
      </c>
      <c r="M21" s="20"/>
      <c r="N21" s="21" t="str">
        <f t="shared" si="6"/>
        <v/>
      </c>
      <c r="O21" s="20"/>
      <c r="P21" s="23"/>
      <c r="Q21" s="21" t="str">
        <f t="shared" si="7"/>
        <v/>
      </c>
      <c r="R21" s="20"/>
      <c r="S21" s="22"/>
      <c r="T21" s="22"/>
      <c r="U21" s="22"/>
      <c r="V21" s="24"/>
      <c r="W21" s="21" t="str">
        <f t="shared" si="8"/>
        <v/>
      </c>
      <c r="X21" s="25" t="str">
        <f t="shared" si="9"/>
        <v/>
      </c>
      <c r="Y21" s="18" t="str">
        <f t="shared" si="10"/>
        <v>_src!$B$2</v>
      </c>
      <c r="Z21" s="18" t="str">
        <f t="shared" si="11"/>
        <v>_src!$C$2</v>
      </c>
    </row>
    <row r="22" spans="1:26" x14ac:dyDescent="0.25">
      <c r="A22" s="19">
        <v>7</v>
      </c>
      <c r="B22" s="20"/>
      <c r="C22" s="21" t="str">
        <f t="shared" si="0"/>
        <v/>
      </c>
      <c r="D22" s="22"/>
      <c r="E22" s="21" t="str">
        <f t="shared" si="1"/>
        <v/>
      </c>
      <c r="F22" s="20"/>
      <c r="G22" s="21" t="str">
        <f t="shared" si="2"/>
        <v/>
      </c>
      <c r="H22" s="20"/>
      <c r="I22" s="21" t="str">
        <f t="shared" si="3"/>
        <v/>
      </c>
      <c r="J22" s="21" t="str">
        <f t="shared" si="4"/>
        <v/>
      </c>
      <c r="K22" s="20"/>
      <c r="L22" s="21" t="str">
        <f t="shared" si="5"/>
        <v/>
      </c>
      <c r="M22" s="20"/>
      <c r="N22" s="21" t="str">
        <f t="shared" si="6"/>
        <v/>
      </c>
      <c r="O22" s="20"/>
      <c r="P22" s="23"/>
      <c r="Q22" s="21" t="str">
        <f t="shared" si="7"/>
        <v/>
      </c>
      <c r="R22" s="20"/>
      <c r="S22" s="22"/>
      <c r="T22" s="22"/>
      <c r="U22" s="22"/>
      <c r="V22" s="24"/>
      <c r="W22" s="21" t="str">
        <f t="shared" si="8"/>
        <v/>
      </c>
      <c r="X22" s="25" t="str">
        <f t="shared" si="9"/>
        <v/>
      </c>
      <c r="Y22" s="18" t="str">
        <f t="shared" si="10"/>
        <v>_src!$B$2</v>
      </c>
      <c r="Z22" s="18" t="str">
        <f t="shared" si="11"/>
        <v>_src!$C$2</v>
      </c>
    </row>
    <row r="23" spans="1:26" x14ac:dyDescent="0.25">
      <c r="A23" s="19">
        <v>8</v>
      </c>
      <c r="B23" s="20"/>
      <c r="C23" s="21" t="str">
        <f t="shared" si="0"/>
        <v/>
      </c>
      <c r="D23" s="22"/>
      <c r="E23" s="21" t="str">
        <f t="shared" si="1"/>
        <v/>
      </c>
      <c r="F23" s="20"/>
      <c r="G23" s="21" t="str">
        <f t="shared" si="2"/>
        <v/>
      </c>
      <c r="H23" s="20"/>
      <c r="I23" s="21" t="str">
        <f t="shared" si="3"/>
        <v/>
      </c>
      <c r="J23" s="21" t="str">
        <f t="shared" si="4"/>
        <v/>
      </c>
      <c r="K23" s="20"/>
      <c r="L23" s="21" t="str">
        <f t="shared" si="5"/>
        <v/>
      </c>
      <c r="M23" s="20"/>
      <c r="N23" s="21" t="str">
        <f t="shared" si="6"/>
        <v/>
      </c>
      <c r="O23" s="20"/>
      <c r="P23" s="23"/>
      <c r="Q23" s="21" t="str">
        <f t="shared" si="7"/>
        <v/>
      </c>
      <c r="R23" s="20"/>
      <c r="S23" s="22"/>
      <c r="T23" s="22"/>
      <c r="U23" s="22"/>
      <c r="V23" s="24"/>
      <c r="W23" s="21" t="str">
        <f t="shared" si="8"/>
        <v/>
      </c>
      <c r="X23" s="25" t="str">
        <f t="shared" si="9"/>
        <v/>
      </c>
      <c r="Y23" s="18" t="str">
        <f t="shared" si="10"/>
        <v>_src!$B$2</v>
      </c>
      <c r="Z23" s="18" t="str">
        <f t="shared" si="11"/>
        <v>_src!$C$2</v>
      </c>
    </row>
    <row r="24" spans="1:26" x14ac:dyDescent="0.25">
      <c r="A24" s="19">
        <v>9</v>
      </c>
      <c r="B24" s="20"/>
      <c r="C24" s="21" t="str">
        <f t="shared" si="0"/>
        <v/>
      </c>
      <c r="D24" s="22"/>
      <c r="E24" s="21" t="str">
        <f t="shared" si="1"/>
        <v/>
      </c>
      <c r="F24" s="20"/>
      <c r="G24" s="21" t="str">
        <f t="shared" si="2"/>
        <v/>
      </c>
      <c r="H24" s="20"/>
      <c r="I24" s="21" t="str">
        <f t="shared" si="3"/>
        <v/>
      </c>
      <c r="J24" s="21" t="str">
        <f t="shared" si="4"/>
        <v/>
      </c>
      <c r="K24" s="20"/>
      <c r="L24" s="21" t="str">
        <f t="shared" si="5"/>
        <v/>
      </c>
      <c r="M24" s="20"/>
      <c r="N24" s="21" t="str">
        <f t="shared" si="6"/>
        <v/>
      </c>
      <c r="O24" s="20"/>
      <c r="P24" s="23"/>
      <c r="Q24" s="21" t="str">
        <f t="shared" si="7"/>
        <v/>
      </c>
      <c r="R24" s="20"/>
      <c r="S24" s="22"/>
      <c r="T24" s="22"/>
      <c r="U24" s="22"/>
      <c r="V24" s="24"/>
      <c r="W24" s="21" t="str">
        <f t="shared" si="8"/>
        <v/>
      </c>
      <c r="X24" s="25" t="str">
        <f t="shared" si="9"/>
        <v/>
      </c>
      <c r="Y24" s="18" t="str">
        <f t="shared" si="10"/>
        <v>_src!$B$2</v>
      </c>
      <c r="Z24" s="18" t="str">
        <f t="shared" si="11"/>
        <v>_src!$C$2</v>
      </c>
    </row>
    <row r="25" spans="1:26" x14ac:dyDescent="0.25">
      <c r="A25" s="19">
        <v>10</v>
      </c>
      <c r="B25" s="20"/>
      <c r="C25" s="21" t="str">
        <f t="shared" si="0"/>
        <v/>
      </c>
      <c r="D25" s="22"/>
      <c r="E25" s="21" t="str">
        <f t="shared" si="1"/>
        <v/>
      </c>
      <c r="F25" s="20"/>
      <c r="G25" s="21" t="str">
        <f t="shared" si="2"/>
        <v/>
      </c>
      <c r="H25" s="20"/>
      <c r="I25" s="21" t="str">
        <f t="shared" si="3"/>
        <v/>
      </c>
      <c r="J25" s="21" t="str">
        <f t="shared" si="4"/>
        <v/>
      </c>
      <c r="K25" s="20"/>
      <c r="L25" s="21" t="str">
        <f t="shared" si="5"/>
        <v/>
      </c>
      <c r="M25" s="20"/>
      <c r="N25" s="21" t="str">
        <f t="shared" si="6"/>
        <v/>
      </c>
      <c r="O25" s="20"/>
      <c r="P25" s="23"/>
      <c r="Q25" s="21" t="str">
        <f t="shared" si="7"/>
        <v/>
      </c>
      <c r="R25" s="20"/>
      <c r="S25" s="22"/>
      <c r="T25" s="22"/>
      <c r="U25" s="22"/>
      <c r="V25" s="24"/>
      <c r="W25" s="21" t="str">
        <f t="shared" si="8"/>
        <v/>
      </c>
      <c r="X25" s="25" t="str">
        <f t="shared" si="9"/>
        <v/>
      </c>
      <c r="Y25" s="18" t="str">
        <f t="shared" si="10"/>
        <v>_src!$B$2</v>
      </c>
      <c r="Z25" s="18" t="str">
        <f t="shared" si="11"/>
        <v>_src!$C$2</v>
      </c>
    </row>
    <row r="26" spans="1:26" x14ac:dyDescent="0.25">
      <c r="A26" s="19">
        <v>11</v>
      </c>
      <c r="B26" s="20"/>
      <c r="C26" s="21" t="str">
        <f t="shared" si="0"/>
        <v/>
      </c>
      <c r="D26" s="22"/>
      <c r="E26" s="21" t="str">
        <f t="shared" si="1"/>
        <v/>
      </c>
      <c r="F26" s="20"/>
      <c r="G26" s="21" t="str">
        <f t="shared" si="2"/>
        <v/>
      </c>
      <c r="H26" s="20"/>
      <c r="I26" s="21" t="str">
        <f t="shared" si="3"/>
        <v/>
      </c>
      <c r="J26" s="21" t="str">
        <f t="shared" si="4"/>
        <v/>
      </c>
      <c r="K26" s="20"/>
      <c r="L26" s="21" t="str">
        <f t="shared" si="5"/>
        <v/>
      </c>
      <c r="M26" s="20"/>
      <c r="N26" s="21" t="str">
        <f t="shared" si="6"/>
        <v/>
      </c>
      <c r="O26" s="20"/>
      <c r="P26" s="23"/>
      <c r="Q26" s="21" t="str">
        <f t="shared" si="7"/>
        <v/>
      </c>
      <c r="R26" s="20"/>
      <c r="S26" s="22"/>
      <c r="T26" s="22"/>
      <c r="U26" s="22"/>
      <c r="V26" s="24"/>
      <c r="W26" s="21" t="str">
        <f t="shared" si="8"/>
        <v/>
      </c>
      <c r="X26" s="25" t="str">
        <f t="shared" si="9"/>
        <v/>
      </c>
      <c r="Y26" s="18" t="str">
        <f t="shared" si="10"/>
        <v>_src!$B$2</v>
      </c>
      <c r="Z26" s="18" t="str">
        <f t="shared" si="11"/>
        <v>_src!$C$2</v>
      </c>
    </row>
    <row r="27" spans="1:26" x14ac:dyDescent="0.25">
      <c r="A27" s="19">
        <v>12</v>
      </c>
      <c r="B27" s="20"/>
      <c r="C27" s="21" t="str">
        <f t="shared" si="0"/>
        <v/>
      </c>
      <c r="D27" s="22"/>
      <c r="E27" s="21" t="str">
        <f t="shared" si="1"/>
        <v/>
      </c>
      <c r="F27" s="20"/>
      <c r="G27" s="21" t="str">
        <f t="shared" si="2"/>
        <v/>
      </c>
      <c r="H27" s="20"/>
      <c r="I27" s="21" t="str">
        <f t="shared" si="3"/>
        <v/>
      </c>
      <c r="J27" s="21" t="str">
        <f t="shared" si="4"/>
        <v/>
      </c>
      <c r="K27" s="20"/>
      <c r="L27" s="21" t="str">
        <f t="shared" si="5"/>
        <v/>
      </c>
      <c r="M27" s="20"/>
      <c r="N27" s="21" t="str">
        <f t="shared" si="6"/>
        <v/>
      </c>
      <c r="O27" s="20"/>
      <c r="P27" s="23"/>
      <c r="Q27" s="21" t="str">
        <f t="shared" si="7"/>
        <v/>
      </c>
      <c r="R27" s="20"/>
      <c r="S27" s="22"/>
      <c r="T27" s="22"/>
      <c r="U27" s="22"/>
      <c r="V27" s="24"/>
      <c r="W27" s="21" t="str">
        <f t="shared" si="8"/>
        <v/>
      </c>
      <c r="X27" s="25" t="str">
        <f t="shared" si="9"/>
        <v/>
      </c>
      <c r="Y27" s="18" t="str">
        <f t="shared" si="10"/>
        <v>_src!$B$2</v>
      </c>
      <c r="Z27" s="18" t="str">
        <f t="shared" si="11"/>
        <v>_src!$C$2</v>
      </c>
    </row>
    <row r="28" spans="1:26" x14ac:dyDescent="0.25">
      <c r="A28" s="19">
        <v>13</v>
      </c>
      <c r="B28" s="20"/>
      <c r="C28" s="21" t="str">
        <f t="shared" si="0"/>
        <v/>
      </c>
      <c r="D28" s="22"/>
      <c r="E28" s="21" t="str">
        <f t="shared" si="1"/>
        <v/>
      </c>
      <c r="F28" s="20"/>
      <c r="G28" s="21" t="str">
        <f t="shared" si="2"/>
        <v/>
      </c>
      <c r="H28" s="20"/>
      <c r="I28" s="21" t="str">
        <f t="shared" si="3"/>
        <v/>
      </c>
      <c r="J28" s="21" t="str">
        <f t="shared" si="4"/>
        <v/>
      </c>
      <c r="K28" s="20"/>
      <c r="L28" s="21" t="str">
        <f t="shared" si="5"/>
        <v/>
      </c>
      <c r="M28" s="20"/>
      <c r="N28" s="21" t="str">
        <f t="shared" si="6"/>
        <v/>
      </c>
      <c r="O28" s="20"/>
      <c r="P28" s="23"/>
      <c r="Q28" s="21" t="str">
        <f t="shared" si="7"/>
        <v/>
      </c>
      <c r="R28" s="20"/>
      <c r="S28" s="22"/>
      <c r="T28" s="22"/>
      <c r="U28" s="22"/>
      <c r="V28" s="24"/>
      <c r="W28" s="21" t="str">
        <f t="shared" si="8"/>
        <v/>
      </c>
      <c r="X28" s="25" t="str">
        <f t="shared" si="9"/>
        <v/>
      </c>
      <c r="Y28" s="18" t="str">
        <f t="shared" si="10"/>
        <v>_src!$B$2</v>
      </c>
      <c r="Z28" s="18" t="str">
        <f t="shared" si="11"/>
        <v>_src!$C$2</v>
      </c>
    </row>
    <row r="29" spans="1:26" x14ac:dyDescent="0.25">
      <c r="A29" s="19">
        <v>14</v>
      </c>
      <c r="B29" s="20"/>
      <c r="C29" s="21" t="str">
        <f t="shared" si="0"/>
        <v/>
      </c>
      <c r="D29" s="22"/>
      <c r="E29" s="21" t="str">
        <f t="shared" si="1"/>
        <v/>
      </c>
      <c r="F29" s="20"/>
      <c r="G29" s="21" t="str">
        <f t="shared" si="2"/>
        <v/>
      </c>
      <c r="H29" s="20"/>
      <c r="I29" s="21" t="str">
        <f t="shared" si="3"/>
        <v/>
      </c>
      <c r="J29" s="21" t="str">
        <f t="shared" si="4"/>
        <v/>
      </c>
      <c r="K29" s="20"/>
      <c r="L29" s="21" t="str">
        <f t="shared" si="5"/>
        <v/>
      </c>
      <c r="M29" s="20"/>
      <c r="N29" s="21" t="str">
        <f t="shared" si="6"/>
        <v/>
      </c>
      <c r="O29" s="20"/>
      <c r="P29" s="23"/>
      <c r="Q29" s="21" t="str">
        <f t="shared" si="7"/>
        <v/>
      </c>
      <c r="R29" s="20"/>
      <c r="S29" s="22"/>
      <c r="T29" s="22"/>
      <c r="U29" s="22"/>
      <c r="V29" s="24"/>
      <c r="W29" s="21" t="str">
        <f t="shared" si="8"/>
        <v/>
      </c>
      <c r="X29" s="25" t="str">
        <f t="shared" si="9"/>
        <v/>
      </c>
      <c r="Y29" s="18" t="str">
        <f t="shared" si="10"/>
        <v>_src!$B$2</v>
      </c>
      <c r="Z29" s="18" t="str">
        <f t="shared" si="11"/>
        <v>_src!$C$2</v>
      </c>
    </row>
    <row r="30" spans="1:26" x14ac:dyDescent="0.25">
      <c r="A30" s="19">
        <v>15</v>
      </c>
      <c r="B30" s="20"/>
      <c r="C30" s="21" t="str">
        <f t="shared" si="0"/>
        <v/>
      </c>
      <c r="D30" s="22"/>
      <c r="E30" s="21" t="str">
        <f t="shared" si="1"/>
        <v/>
      </c>
      <c r="F30" s="20"/>
      <c r="G30" s="21" t="str">
        <f t="shared" si="2"/>
        <v/>
      </c>
      <c r="H30" s="20"/>
      <c r="I30" s="21" t="str">
        <f t="shared" si="3"/>
        <v/>
      </c>
      <c r="J30" s="21" t="str">
        <f t="shared" si="4"/>
        <v/>
      </c>
      <c r="K30" s="20"/>
      <c r="L30" s="21" t="str">
        <f t="shared" si="5"/>
        <v/>
      </c>
      <c r="M30" s="20"/>
      <c r="N30" s="21" t="str">
        <f t="shared" si="6"/>
        <v/>
      </c>
      <c r="O30" s="20"/>
      <c r="P30" s="23"/>
      <c r="Q30" s="21" t="str">
        <f t="shared" si="7"/>
        <v/>
      </c>
      <c r="R30" s="20"/>
      <c r="S30" s="22"/>
      <c r="T30" s="22"/>
      <c r="U30" s="22"/>
      <c r="V30" s="24"/>
      <c r="W30" s="21" t="str">
        <f t="shared" si="8"/>
        <v/>
      </c>
      <c r="X30" s="25" t="str">
        <f t="shared" si="9"/>
        <v/>
      </c>
      <c r="Y30" s="18" t="str">
        <f t="shared" si="10"/>
        <v>_src!$B$2</v>
      </c>
      <c r="Z30" s="18" t="str">
        <f t="shared" si="11"/>
        <v>_src!$C$2</v>
      </c>
    </row>
    <row r="33" spans="1:24" ht="21.95" customHeight="1" x14ac:dyDescent="0.25">
      <c r="A33" s="38" t="s">
        <v>720</v>
      </c>
      <c r="B33" s="39"/>
      <c r="C33" s="39"/>
      <c r="D33" s="39"/>
      <c r="E33" s="39"/>
      <c r="F33" s="39"/>
      <c r="G33" s="39"/>
      <c r="H33" s="39"/>
      <c r="I33" s="39"/>
      <c r="J33" s="39"/>
      <c r="K33" s="39"/>
      <c r="L33" s="39"/>
      <c r="M33" s="39"/>
      <c r="N33" s="39"/>
      <c r="O33" s="39"/>
      <c r="P33" s="39"/>
      <c r="Q33" s="39"/>
      <c r="R33" s="39"/>
      <c r="S33" s="39"/>
      <c r="T33" s="39"/>
      <c r="U33" s="39"/>
      <c r="V33" s="39"/>
      <c r="W33" s="39"/>
      <c r="X33" s="39"/>
    </row>
    <row r="34" spans="1:24" ht="15.95" customHeight="1" x14ac:dyDescent="0.25">
      <c r="A34" s="40" t="s">
        <v>721</v>
      </c>
      <c r="B34" s="31"/>
      <c r="C34" s="31"/>
      <c r="D34" s="31"/>
      <c r="E34" s="31"/>
      <c r="F34" s="31"/>
      <c r="G34" s="31"/>
      <c r="H34" s="31"/>
      <c r="I34" s="31"/>
      <c r="J34" s="31"/>
      <c r="K34" s="31"/>
      <c r="L34" s="31"/>
      <c r="M34" s="31"/>
      <c r="N34" s="31"/>
      <c r="O34" s="31"/>
      <c r="P34" s="31"/>
      <c r="Q34" s="31"/>
      <c r="R34" s="31"/>
      <c r="S34" s="31"/>
      <c r="T34" s="31"/>
      <c r="U34" s="31"/>
      <c r="V34" s="31"/>
      <c r="W34" s="31"/>
      <c r="X34" s="31"/>
    </row>
    <row r="36" spans="1:24" ht="18" customHeight="1" x14ac:dyDescent="0.25">
      <c r="A36" s="36" t="s">
        <v>722</v>
      </c>
      <c r="B36" s="31"/>
      <c r="C36" s="31"/>
      <c r="D36" s="31"/>
      <c r="E36" s="31"/>
      <c r="F36" s="31"/>
      <c r="G36" s="31"/>
      <c r="H36" s="31"/>
      <c r="I36" s="31"/>
      <c r="J36" s="31"/>
      <c r="K36" s="31"/>
      <c r="L36" s="31"/>
      <c r="M36" s="31"/>
      <c r="N36" s="31"/>
      <c r="O36" s="31"/>
      <c r="P36" s="31"/>
      <c r="Q36" s="31"/>
      <c r="R36" s="31"/>
      <c r="S36" s="31"/>
      <c r="T36" s="31"/>
      <c r="U36" s="31"/>
      <c r="V36" s="31"/>
      <c r="W36" s="31"/>
      <c r="X36" s="31"/>
    </row>
    <row r="37" spans="1:24" ht="21" customHeight="1" x14ac:dyDescent="0.25">
      <c r="A37" s="37" t="s">
        <v>723</v>
      </c>
      <c r="B37" s="31"/>
      <c r="C37" s="31"/>
      <c r="D37" s="31"/>
      <c r="E37" s="31"/>
      <c r="F37" s="31"/>
      <c r="G37" s="31"/>
      <c r="H37" s="31"/>
      <c r="I37" s="31"/>
      <c r="J37" s="31"/>
      <c r="K37" s="31"/>
      <c r="L37" s="31"/>
      <c r="M37" s="31"/>
      <c r="N37" s="31"/>
      <c r="O37" s="31"/>
      <c r="P37" s="31"/>
      <c r="Q37" s="31"/>
      <c r="R37" s="31"/>
      <c r="S37" s="31"/>
      <c r="T37" s="31"/>
      <c r="U37" s="31"/>
      <c r="V37" s="31"/>
      <c r="W37" s="31"/>
      <c r="X37" s="31"/>
    </row>
    <row r="38" spans="1:24" ht="6" customHeight="1" x14ac:dyDescent="0.25"/>
    <row r="39" spans="1:24" ht="18" customHeight="1" x14ac:dyDescent="0.25">
      <c r="A39" s="36" t="s">
        <v>724</v>
      </c>
      <c r="B39" s="31"/>
      <c r="C39" s="31"/>
      <c r="D39" s="31"/>
      <c r="E39" s="31"/>
      <c r="F39" s="31"/>
      <c r="G39" s="31"/>
      <c r="H39" s="31"/>
      <c r="I39" s="31"/>
      <c r="J39" s="31"/>
      <c r="K39" s="31"/>
      <c r="L39" s="31"/>
      <c r="M39" s="31"/>
      <c r="N39" s="31"/>
      <c r="O39" s="31"/>
      <c r="P39" s="31"/>
      <c r="Q39" s="31"/>
      <c r="R39" s="31"/>
      <c r="S39" s="31"/>
      <c r="T39" s="31"/>
      <c r="U39" s="31"/>
      <c r="V39" s="31"/>
      <c r="W39" s="31"/>
      <c r="X39" s="31"/>
    </row>
    <row r="40" spans="1:24" ht="21" customHeight="1" x14ac:dyDescent="0.25">
      <c r="A40" s="37" t="s">
        <v>725</v>
      </c>
      <c r="B40" s="31"/>
      <c r="C40" s="31"/>
      <c r="D40" s="31"/>
      <c r="E40" s="31"/>
      <c r="F40" s="31"/>
      <c r="G40" s="31"/>
      <c r="H40" s="31"/>
      <c r="I40" s="31"/>
      <c r="J40" s="31"/>
      <c r="K40" s="31"/>
      <c r="L40" s="31"/>
      <c r="M40" s="31"/>
      <c r="N40" s="31"/>
      <c r="O40" s="31"/>
      <c r="P40" s="31"/>
      <c r="Q40" s="31"/>
      <c r="R40" s="31"/>
      <c r="S40" s="31"/>
      <c r="T40" s="31"/>
      <c r="U40" s="31"/>
      <c r="V40" s="31"/>
      <c r="W40" s="31"/>
      <c r="X40" s="31"/>
    </row>
    <row r="41" spans="1:24" ht="6" customHeight="1" x14ac:dyDescent="0.25"/>
    <row r="42" spans="1:24" ht="18" customHeight="1" x14ac:dyDescent="0.25">
      <c r="A42" s="36" t="s">
        <v>726</v>
      </c>
      <c r="B42" s="31"/>
      <c r="C42" s="31"/>
      <c r="D42" s="31"/>
      <c r="E42" s="31"/>
      <c r="F42" s="31"/>
      <c r="G42" s="31"/>
      <c r="H42" s="31"/>
      <c r="I42" s="31"/>
      <c r="J42" s="31"/>
      <c r="K42" s="31"/>
      <c r="L42" s="31"/>
      <c r="M42" s="31"/>
      <c r="N42" s="31"/>
      <c r="O42" s="31"/>
      <c r="P42" s="31"/>
      <c r="Q42" s="31"/>
      <c r="R42" s="31"/>
      <c r="S42" s="31"/>
      <c r="T42" s="31"/>
      <c r="U42" s="31"/>
      <c r="V42" s="31"/>
      <c r="W42" s="31"/>
      <c r="X42" s="31"/>
    </row>
    <row r="43" spans="1:24" ht="21" customHeight="1" x14ac:dyDescent="0.25">
      <c r="A43" s="37" t="s">
        <v>727</v>
      </c>
      <c r="B43" s="31"/>
      <c r="C43" s="31"/>
      <c r="D43" s="31"/>
      <c r="E43" s="31"/>
      <c r="F43" s="31"/>
      <c r="G43" s="31"/>
      <c r="H43" s="31"/>
      <c r="I43" s="31"/>
      <c r="J43" s="31"/>
      <c r="K43" s="31"/>
      <c r="L43" s="31"/>
      <c r="M43" s="31"/>
      <c r="N43" s="31"/>
      <c r="O43" s="31"/>
      <c r="P43" s="31"/>
      <c r="Q43" s="31"/>
      <c r="R43" s="31"/>
      <c r="S43" s="31"/>
      <c r="T43" s="31"/>
      <c r="U43" s="31"/>
      <c r="V43" s="31"/>
      <c r="W43" s="31"/>
      <c r="X43" s="31"/>
    </row>
    <row r="44" spans="1:24" ht="6" customHeight="1" x14ac:dyDescent="0.25"/>
    <row r="45" spans="1:24" ht="18" customHeight="1" x14ac:dyDescent="0.25">
      <c r="A45" s="36" t="s">
        <v>728</v>
      </c>
      <c r="B45" s="31"/>
      <c r="C45" s="31"/>
      <c r="D45" s="31"/>
      <c r="E45" s="31"/>
      <c r="F45" s="31"/>
      <c r="G45" s="31"/>
      <c r="H45" s="31"/>
      <c r="I45" s="31"/>
      <c r="J45" s="31"/>
      <c r="K45" s="31"/>
      <c r="L45" s="31"/>
      <c r="M45" s="31"/>
      <c r="N45" s="31"/>
      <c r="O45" s="31"/>
      <c r="P45" s="31"/>
      <c r="Q45" s="31"/>
      <c r="R45" s="31"/>
      <c r="S45" s="31"/>
      <c r="T45" s="31"/>
      <c r="U45" s="31"/>
      <c r="V45" s="31"/>
      <c r="W45" s="31"/>
      <c r="X45" s="31"/>
    </row>
    <row r="46" spans="1:24" ht="51" customHeight="1" x14ac:dyDescent="0.25">
      <c r="A46" s="37" t="s">
        <v>729</v>
      </c>
      <c r="B46" s="31"/>
      <c r="C46" s="31"/>
      <c r="D46" s="31"/>
      <c r="E46" s="31"/>
      <c r="F46" s="31"/>
      <c r="G46" s="31"/>
      <c r="H46" s="31"/>
      <c r="I46" s="31"/>
      <c r="J46" s="31"/>
      <c r="K46" s="31"/>
      <c r="L46" s="31"/>
      <c r="M46" s="31"/>
      <c r="N46" s="31"/>
      <c r="O46" s="31"/>
      <c r="P46" s="31"/>
      <c r="Q46" s="31"/>
      <c r="R46" s="31"/>
      <c r="S46" s="31"/>
      <c r="T46" s="31"/>
      <c r="U46" s="31"/>
      <c r="V46" s="31"/>
      <c r="W46" s="31"/>
      <c r="X46" s="31"/>
    </row>
    <row r="47" spans="1:24" ht="6" customHeight="1" x14ac:dyDescent="0.25"/>
    <row r="50" spans="1:24" ht="21.95" customHeight="1" x14ac:dyDescent="0.25">
      <c r="A50" s="38" t="s">
        <v>730</v>
      </c>
      <c r="B50" s="39"/>
      <c r="C50" s="39"/>
      <c r="D50" s="39"/>
      <c r="E50" s="39"/>
      <c r="F50" s="39"/>
      <c r="G50" s="39"/>
      <c r="H50" s="39"/>
      <c r="I50" s="39"/>
      <c r="J50" s="39"/>
      <c r="K50" s="39"/>
      <c r="L50" s="39"/>
      <c r="M50" s="39"/>
      <c r="N50" s="39"/>
      <c r="O50" s="39"/>
      <c r="P50" s="39"/>
      <c r="Q50" s="39"/>
      <c r="R50" s="39"/>
      <c r="S50" s="39"/>
      <c r="T50" s="39"/>
      <c r="U50" s="39"/>
      <c r="V50" s="39"/>
      <c r="W50" s="39"/>
      <c r="X50" s="39"/>
    </row>
    <row r="52" spans="1:24" ht="18" customHeight="1" x14ac:dyDescent="0.25">
      <c r="A52" s="36" t="s">
        <v>70</v>
      </c>
      <c r="B52" s="31"/>
      <c r="C52" s="31"/>
      <c r="D52" s="31"/>
      <c r="E52" s="31"/>
      <c r="F52" s="31"/>
      <c r="G52" s="31"/>
      <c r="H52" s="31"/>
      <c r="I52" s="31"/>
      <c r="J52" s="31"/>
      <c r="K52" s="31"/>
      <c r="L52" s="31"/>
      <c r="M52" s="31"/>
      <c r="N52" s="31"/>
      <c r="O52" s="31"/>
      <c r="P52" s="31"/>
      <c r="Q52" s="31"/>
      <c r="R52" s="31"/>
      <c r="S52" s="31"/>
      <c r="T52" s="31"/>
      <c r="U52" s="31"/>
      <c r="V52" s="31"/>
      <c r="W52" s="31"/>
      <c r="X52" s="31"/>
    </row>
    <row r="53" spans="1:24" ht="21" customHeight="1" x14ac:dyDescent="0.25">
      <c r="A53" s="37" t="s">
        <v>731</v>
      </c>
      <c r="B53" s="31"/>
      <c r="C53" s="31"/>
      <c r="D53" s="31"/>
      <c r="E53" s="31"/>
      <c r="F53" s="31"/>
      <c r="G53" s="31"/>
      <c r="H53" s="31"/>
      <c r="I53" s="31"/>
      <c r="J53" s="31"/>
      <c r="K53" s="31"/>
      <c r="L53" s="31"/>
      <c r="M53" s="31"/>
      <c r="N53" s="31"/>
      <c r="O53" s="31"/>
      <c r="P53" s="31"/>
      <c r="Q53" s="31"/>
      <c r="R53" s="31"/>
      <c r="S53" s="31"/>
      <c r="T53" s="31"/>
      <c r="U53" s="31"/>
      <c r="V53" s="31"/>
      <c r="W53" s="31"/>
      <c r="X53" s="31"/>
    </row>
    <row r="54" spans="1:24" ht="6" customHeight="1" x14ac:dyDescent="0.25"/>
    <row r="55" spans="1:24" ht="18" customHeight="1" x14ac:dyDescent="0.25">
      <c r="A55" s="36" t="s">
        <v>84</v>
      </c>
      <c r="B55" s="31"/>
      <c r="C55" s="31"/>
      <c r="D55" s="31"/>
      <c r="E55" s="31"/>
      <c r="F55" s="31"/>
      <c r="G55" s="31"/>
      <c r="H55" s="31"/>
      <c r="I55" s="31"/>
      <c r="J55" s="31"/>
      <c r="K55" s="31"/>
      <c r="L55" s="31"/>
      <c r="M55" s="31"/>
      <c r="N55" s="31"/>
      <c r="O55" s="31"/>
      <c r="P55" s="31"/>
      <c r="Q55" s="31"/>
      <c r="R55" s="31"/>
      <c r="S55" s="31"/>
      <c r="T55" s="31"/>
      <c r="U55" s="31"/>
      <c r="V55" s="31"/>
      <c r="W55" s="31"/>
      <c r="X55" s="31"/>
    </row>
    <row r="56" spans="1:24" ht="36" customHeight="1" x14ac:dyDescent="0.25">
      <c r="A56" s="37" t="s">
        <v>732</v>
      </c>
      <c r="B56" s="31"/>
      <c r="C56" s="31"/>
      <c r="D56" s="31"/>
      <c r="E56" s="31"/>
      <c r="F56" s="31"/>
      <c r="G56" s="31"/>
      <c r="H56" s="31"/>
      <c r="I56" s="31"/>
      <c r="J56" s="31"/>
      <c r="K56" s="31"/>
      <c r="L56" s="31"/>
      <c r="M56" s="31"/>
      <c r="N56" s="31"/>
      <c r="O56" s="31"/>
      <c r="P56" s="31"/>
      <c r="Q56" s="31"/>
      <c r="R56" s="31"/>
      <c r="S56" s="31"/>
      <c r="T56" s="31"/>
      <c r="U56" s="31"/>
      <c r="V56" s="31"/>
      <c r="W56" s="31"/>
      <c r="X56" s="31"/>
    </row>
    <row r="57" spans="1:24" ht="6" customHeight="1" x14ac:dyDescent="0.25"/>
    <row r="58" spans="1:24" ht="18" customHeight="1" x14ac:dyDescent="0.25">
      <c r="A58" s="36" t="s">
        <v>684</v>
      </c>
      <c r="B58" s="31"/>
      <c r="C58" s="31"/>
      <c r="D58" s="31"/>
      <c r="E58" s="31"/>
      <c r="F58" s="31"/>
      <c r="G58" s="31"/>
      <c r="H58" s="31"/>
      <c r="I58" s="31"/>
      <c r="J58" s="31"/>
      <c r="K58" s="31"/>
      <c r="L58" s="31"/>
      <c r="M58" s="31"/>
      <c r="N58" s="31"/>
      <c r="O58" s="31"/>
      <c r="P58" s="31"/>
      <c r="Q58" s="31"/>
      <c r="R58" s="31"/>
      <c r="S58" s="31"/>
      <c r="T58" s="31"/>
      <c r="U58" s="31"/>
      <c r="V58" s="31"/>
      <c r="W58" s="31"/>
      <c r="X58" s="31"/>
    </row>
    <row r="59" spans="1:24" ht="21" customHeight="1" x14ac:dyDescent="0.25">
      <c r="A59" s="37" t="s">
        <v>733</v>
      </c>
      <c r="B59" s="31"/>
      <c r="C59" s="31"/>
      <c r="D59" s="31"/>
      <c r="E59" s="31"/>
      <c r="F59" s="31"/>
      <c r="G59" s="31"/>
      <c r="H59" s="31"/>
      <c r="I59" s="31"/>
      <c r="J59" s="31"/>
      <c r="K59" s="31"/>
      <c r="L59" s="31"/>
      <c r="M59" s="31"/>
      <c r="N59" s="31"/>
      <c r="O59" s="31"/>
      <c r="P59" s="31"/>
      <c r="Q59" s="31"/>
      <c r="R59" s="31"/>
      <c r="S59" s="31"/>
      <c r="T59" s="31"/>
      <c r="U59" s="31"/>
      <c r="V59" s="31"/>
      <c r="W59" s="31"/>
      <c r="X59" s="31"/>
    </row>
    <row r="60" spans="1:24" ht="6" customHeight="1" x14ac:dyDescent="0.25"/>
    <row r="61" spans="1:24" ht="18" customHeight="1" x14ac:dyDescent="0.25">
      <c r="A61" s="36" t="s">
        <v>686</v>
      </c>
      <c r="B61" s="31"/>
      <c r="C61" s="31"/>
      <c r="D61" s="31"/>
      <c r="E61" s="31"/>
      <c r="F61" s="31"/>
      <c r="G61" s="31"/>
      <c r="H61" s="31"/>
      <c r="I61" s="31"/>
      <c r="J61" s="31"/>
      <c r="K61" s="31"/>
      <c r="L61" s="31"/>
      <c r="M61" s="31"/>
      <c r="N61" s="31"/>
      <c r="O61" s="31"/>
      <c r="P61" s="31"/>
      <c r="Q61" s="31"/>
      <c r="R61" s="31"/>
      <c r="S61" s="31"/>
      <c r="T61" s="31"/>
      <c r="U61" s="31"/>
      <c r="V61" s="31"/>
      <c r="W61" s="31"/>
      <c r="X61" s="31"/>
    </row>
    <row r="62" spans="1:24" ht="21" customHeight="1" x14ac:dyDescent="0.25">
      <c r="A62" s="37" t="s">
        <v>734</v>
      </c>
      <c r="B62" s="31"/>
      <c r="C62" s="31"/>
      <c r="D62" s="31"/>
      <c r="E62" s="31"/>
      <c r="F62" s="31"/>
      <c r="G62" s="31"/>
      <c r="H62" s="31"/>
      <c r="I62" s="31"/>
      <c r="J62" s="31"/>
      <c r="K62" s="31"/>
      <c r="L62" s="31"/>
      <c r="M62" s="31"/>
      <c r="N62" s="31"/>
      <c r="O62" s="31"/>
      <c r="P62" s="31"/>
      <c r="Q62" s="31"/>
      <c r="R62" s="31"/>
      <c r="S62" s="31"/>
      <c r="T62" s="31"/>
      <c r="U62" s="31"/>
      <c r="V62" s="31"/>
      <c r="W62" s="31"/>
      <c r="X62" s="31"/>
    </row>
    <row r="63" spans="1:24" ht="6" customHeight="1" x14ac:dyDescent="0.25"/>
    <row r="64" spans="1:24" ht="18" customHeight="1" x14ac:dyDescent="0.25">
      <c r="A64" s="36" t="s">
        <v>689</v>
      </c>
      <c r="B64" s="31"/>
      <c r="C64" s="31"/>
      <c r="D64" s="31"/>
      <c r="E64" s="31"/>
      <c r="F64" s="31"/>
      <c r="G64" s="31"/>
      <c r="H64" s="31"/>
      <c r="I64" s="31"/>
      <c r="J64" s="31"/>
      <c r="K64" s="31"/>
      <c r="L64" s="31"/>
      <c r="M64" s="31"/>
      <c r="N64" s="31"/>
      <c r="O64" s="31"/>
      <c r="P64" s="31"/>
      <c r="Q64" s="31"/>
      <c r="R64" s="31"/>
      <c r="S64" s="31"/>
      <c r="T64" s="31"/>
      <c r="U64" s="31"/>
      <c r="V64" s="31"/>
      <c r="W64" s="31"/>
      <c r="X64" s="31"/>
    </row>
    <row r="65" spans="1:24" ht="21" customHeight="1" x14ac:dyDescent="0.25">
      <c r="A65" s="37" t="s">
        <v>735</v>
      </c>
      <c r="B65" s="31"/>
      <c r="C65" s="31"/>
      <c r="D65" s="31"/>
      <c r="E65" s="31"/>
      <c r="F65" s="31"/>
      <c r="G65" s="31"/>
      <c r="H65" s="31"/>
      <c r="I65" s="31"/>
      <c r="J65" s="31"/>
      <c r="K65" s="31"/>
      <c r="L65" s="31"/>
      <c r="M65" s="31"/>
      <c r="N65" s="31"/>
      <c r="O65" s="31"/>
      <c r="P65" s="31"/>
      <c r="Q65" s="31"/>
      <c r="R65" s="31"/>
      <c r="S65" s="31"/>
      <c r="T65" s="31"/>
      <c r="U65" s="31"/>
      <c r="V65" s="31"/>
      <c r="W65" s="31"/>
      <c r="X65" s="31"/>
    </row>
    <row r="66" spans="1:24" ht="6" customHeight="1" x14ac:dyDescent="0.25"/>
    <row r="67" spans="1:24" ht="18" customHeight="1" x14ac:dyDescent="0.25">
      <c r="A67" s="36" t="s">
        <v>72</v>
      </c>
      <c r="B67" s="31"/>
      <c r="C67" s="31"/>
      <c r="D67" s="31"/>
      <c r="E67" s="31"/>
      <c r="F67" s="31"/>
      <c r="G67" s="31"/>
      <c r="H67" s="31"/>
      <c r="I67" s="31"/>
      <c r="J67" s="31"/>
      <c r="K67" s="31"/>
      <c r="L67" s="31"/>
      <c r="M67" s="31"/>
      <c r="N67" s="31"/>
      <c r="O67" s="31"/>
      <c r="P67" s="31"/>
      <c r="Q67" s="31"/>
      <c r="R67" s="31"/>
      <c r="S67" s="31"/>
      <c r="T67" s="31"/>
      <c r="U67" s="31"/>
      <c r="V67" s="31"/>
      <c r="W67" s="31"/>
      <c r="X67" s="31"/>
    </row>
    <row r="68" spans="1:24" ht="21" customHeight="1" x14ac:dyDescent="0.25">
      <c r="A68" s="37" t="s">
        <v>736</v>
      </c>
      <c r="B68" s="31"/>
      <c r="C68" s="31"/>
      <c r="D68" s="31"/>
      <c r="E68" s="31"/>
      <c r="F68" s="31"/>
      <c r="G68" s="31"/>
      <c r="H68" s="31"/>
      <c r="I68" s="31"/>
      <c r="J68" s="31"/>
      <c r="K68" s="31"/>
      <c r="L68" s="31"/>
      <c r="M68" s="31"/>
      <c r="N68" s="31"/>
      <c r="O68" s="31"/>
      <c r="P68" s="31"/>
      <c r="Q68" s="31"/>
      <c r="R68" s="31"/>
      <c r="S68" s="31"/>
      <c r="T68" s="31"/>
      <c r="U68" s="31"/>
      <c r="V68" s="31"/>
      <c r="W68" s="31"/>
      <c r="X68" s="31"/>
    </row>
    <row r="69" spans="1:24" ht="6" customHeight="1" x14ac:dyDescent="0.25"/>
    <row r="70" spans="1:24" ht="18" customHeight="1" x14ac:dyDescent="0.25">
      <c r="A70" s="36" t="s">
        <v>692</v>
      </c>
      <c r="B70" s="31"/>
      <c r="C70" s="31"/>
      <c r="D70" s="31"/>
      <c r="E70" s="31"/>
      <c r="F70" s="31"/>
      <c r="G70" s="31"/>
      <c r="H70" s="31"/>
      <c r="I70" s="31"/>
      <c r="J70" s="31"/>
      <c r="K70" s="31"/>
      <c r="L70" s="31"/>
      <c r="M70" s="31"/>
      <c r="N70" s="31"/>
      <c r="O70" s="31"/>
      <c r="P70" s="31"/>
      <c r="Q70" s="31"/>
      <c r="R70" s="31"/>
      <c r="S70" s="31"/>
      <c r="T70" s="31"/>
      <c r="U70" s="31"/>
      <c r="V70" s="31"/>
      <c r="W70" s="31"/>
      <c r="X70" s="31"/>
    </row>
    <row r="71" spans="1:24" ht="21" customHeight="1" x14ac:dyDescent="0.25">
      <c r="A71" s="37" t="s">
        <v>737</v>
      </c>
      <c r="B71" s="31"/>
      <c r="C71" s="31"/>
      <c r="D71" s="31"/>
      <c r="E71" s="31"/>
      <c r="F71" s="31"/>
      <c r="G71" s="31"/>
      <c r="H71" s="31"/>
      <c r="I71" s="31"/>
      <c r="J71" s="31"/>
      <c r="K71" s="31"/>
      <c r="L71" s="31"/>
      <c r="M71" s="31"/>
      <c r="N71" s="31"/>
      <c r="O71" s="31"/>
      <c r="P71" s="31"/>
      <c r="Q71" s="31"/>
      <c r="R71" s="31"/>
      <c r="S71" s="31"/>
      <c r="T71" s="31"/>
      <c r="U71" s="31"/>
      <c r="V71" s="31"/>
      <c r="W71" s="31"/>
      <c r="X71" s="31"/>
    </row>
    <row r="72" spans="1:24" ht="6" customHeight="1" x14ac:dyDescent="0.25"/>
    <row r="73" spans="1:24" ht="18" customHeight="1" x14ac:dyDescent="0.25">
      <c r="A73" s="36" t="s">
        <v>693</v>
      </c>
      <c r="B73" s="31"/>
      <c r="C73" s="31"/>
      <c r="D73" s="31"/>
      <c r="E73" s="31"/>
      <c r="F73" s="31"/>
      <c r="G73" s="31"/>
      <c r="H73" s="31"/>
      <c r="I73" s="31"/>
      <c r="J73" s="31"/>
      <c r="K73" s="31"/>
      <c r="L73" s="31"/>
      <c r="M73" s="31"/>
      <c r="N73" s="31"/>
      <c r="O73" s="31"/>
      <c r="P73" s="31"/>
      <c r="Q73" s="31"/>
      <c r="R73" s="31"/>
      <c r="S73" s="31"/>
      <c r="T73" s="31"/>
      <c r="U73" s="31"/>
      <c r="V73" s="31"/>
      <c r="W73" s="31"/>
      <c r="X73" s="31"/>
    </row>
    <row r="74" spans="1:24" ht="21" customHeight="1" x14ac:dyDescent="0.25">
      <c r="A74" s="37" t="s">
        <v>738</v>
      </c>
      <c r="B74" s="31"/>
      <c r="C74" s="31"/>
      <c r="D74" s="31"/>
      <c r="E74" s="31"/>
      <c r="F74" s="31"/>
      <c r="G74" s="31"/>
      <c r="H74" s="31"/>
      <c r="I74" s="31"/>
      <c r="J74" s="31"/>
      <c r="K74" s="31"/>
      <c r="L74" s="31"/>
      <c r="M74" s="31"/>
      <c r="N74" s="31"/>
      <c r="O74" s="31"/>
      <c r="P74" s="31"/>
      <c r="Q74" s="31"/>
      <c r="R74" s="31"/>
      <c r="S74" s="31"/>
      <c r="T74" s="31"/>
      <c r="U74" s="31"/>
      <c r="V74" s="31"/>
      <c r="W74" s="31"/>
      <c r="X74" s="31"/>
    </row>
    <row r="75" spans="1:24" ht="6" customHeight="1" x14ac:dyDescent="0.25"/>
    <row r="76" spans="1:24" ht="18" customHeight="1" x14ac:dyDescent="0.25">
      <c r="A76" s="36" t="s">
        <v>695</v>
      </c>
      <c r="B76" s="31"/>
      <c r="C76" s="31"/>
      <c r="D76" s="31"/>
      <c r="E76" s="31"/>
      <c r="F76" s="31"/>
      <c r="G76" s="31"/>
      <c r="H76" s="31"/>
      <c r="I76" s="31"/>
      <c r="J76" s="31"/>
      <c r="K76" s="31"/>
      <c r="L76" s="31"/>
      <c r="M76" s="31"/>
      <c r="N76" s="31"/>
      <c r="O76" s="31"/>
      <c r="P76" s="31"/>
      <c r="Q76" s="31"/>
      <c r="R76" s="31"/>
      <c r="S76" s="31"/>
      <c r="T76" s="31"/>
      <c r="U76" s="31"/>
      <c r="V76" s="31"/>
      <c r="W76" s="31"/>
      <c r="X76" s="31"/>
    </row>
    <row r="77" spans="1:24" ht="21" customHeight="1" x14ac:dyDescent="0.25">
      <c r="A77" s="37" t="s">
        <v>739</v>
      </c>
      <c r="B77" s="31"/>
      <c r="C77" s="31"/>
      <c r="D77" s="31"/>
      <c r="E77" s="31"/>
      <c r="F77" s="31"/>
      <c r="G77" s="31"/>
      <c r="H77" s="31"/>
      <c r="I77" s="31"/>
      <c r="J77" s="31"/>
      <c r="K77" s="31"/>
      <c r="L77" s="31"/>
      <c r="M77" s="31"/>
      <c r="N77" s="31"/>
      <c r="O77" s="31"/>
      <c r="P77" s="31"/>
      <c r="Q77" s="31"/>
      <c r="R77" s="31"/>
      <c r="S77" s="31"/>
      <c r="T77" s="31"/>
      <c r="U77" s="31"/>
      <c r="V77" s="31"/>
      <c r="W77" s="31"/>
      <c r="X77" s="31"/>
    </row>
    <row r="78" spans="1:24" ht="6" customHeight="1" x14ac:dyDescent="0.25"/>
    <row r="79" spans="1:24" ht="18" customHeight="1" x14ac:dyDescent="0.25">
      <c r="A79" s="36" t="s">
        <v>696</v>
      </c>
      <c r="B79" s="31"/>
      <c r="C79" s="31"/>
      <c r="D79" s="31"/>
      <c r="E79" s="31"/>
      <c r="F79" s="31"/>
      <c r="G79" s="31"/>
      <c r="H79" s="31"/>
      <c r="I79" s="31"/>
      <c r="J79" s="31"/>
      <c r="K79" s="31"/>
      <c r="L79" s="31"/>
      <c r="M79" s="31"/>
      <c r="N79" s="31"/>
      <c r="O79" s="31"/>
      <c r="P79" s="31"/>
      <c r="Q79" s="31"/>
      <c r="R79" s="31"/>
      <c r="S79" s="31"/>
      <c r="T79" s="31"/>
      <c r="U79" s="31"/>
      <c r="V79" s="31"/>
      <c r="W79" s="31"/>
      <c r="X79" s="31"/>
    </row>
    <row r="80" spans="1:24" ht="21" customHeight="1" x14ac:dyDescent="0.25">
      <c r="A80" s="37" t="s">
        <v>740</v>
      </c>
      <c r="B80" s="31"/>
      <c r="C80" s="31"/>
      <c r="D80" s="31"/>
      <c r="E80" s="31"/>
      <c r="F80" s="31"/>
      <c r="G80" s="31"/>
      <c r="H80" s="31"/>
      <c r="I80" s="31"/>
      <c r="J80" s="31"/>
      <c r="K80" s="31"/>
      <c r="L80" s="31"/>
      <c r="M80" s="31"/>
      <c r="N80" s="31"/>
      <c r="O80" s="31"/>
      <c r="P80" s="31"/>
      <c r="Q80" s="31"/>
      <c r="R80" s="31"/>
      <c r="S80" s="31"/>
      <c r="T80" s="31"/>
      <c r="U80" s="31"/>
      <c r="V80" s="31"/>
      <c r="W80" s="31"/>
      <c r="X80" s="31"/>
    </row>
    <row r="81" spans="1:24" ht="6" customHeight="1" x14ac:dyDescent="0.25"/>
    <row r="82" spans="1:24" ht="18" customHeight="1" x14ac:dyDescent="0.25">
      <c r="A82" s="36" t="s">
        <v>697</v>
      </c>
      <c r="B82" s="31"/>
      <c r="C82" s="31"/>
      <c r="D82" s="31"/>
      <c r="E82" s="31"/>
      <c r="F82" s="31"/>
      <c r="G82" s="31"/>
      <c r="H82" s="31"/>
      <c r="I82" s="31"/>
      <c r="J82" s="31"/>
      <c r="K82" s="31"/>
      <c r="L82" s="31"/>
      <c r="M82" s="31"/>
      <c r="N82" s="31"/>
      <c r="O82" s="31"/>
      <c r="P82" s="31"/>
      <c r="Q82" s="31"/>
      <c r="R82" s="31"/>
      <c r="S82" s="31"/>
      <c r="T82" s="31"/>
      <c r="U82" s="31"/>
      <c r="V82" s="31"/>
      <c r="W82" s="31"/>
      <c r="X82" s="31"/>
    </row>
    <row r="83" spans="1:24" ht="21" customHeight="1" x14ac:dyDescent="0.25">
      <c r="A83" s="37" t="s">
        <v>741</v>
      </c>
      <c r="B83" s="31"/>
      <c r="C83" s="31"/>
      <c r="D83" s="31"/>
      <c r="E83" s="31"/>
      <c r="F83" s="31"/>
      <c r="G83" s="31"/>
      <c r="H83" s="31"/>
      <c r="I83" s="31"/>
      <c r="J83" s="31"/>
      <c r="K83" s="31"/>
      <c r="L83" s="31"/>
      <c r="M83" s="31"/>
      <c r="N83" s="31"/>
      <c r="O83" s="31"/>
      <c r="P83" s="31"/>
      <c r="Q83" s="31"/>
      <c r="R83" s="31"/>
      <c r="S83" s="31"/>
      <c r="T83" s="31"/>
      <c r="U83" s="31"/>
      <c r="V83" s="31"/>
      <c r="W83" s="31"/>
      <c r="X83" s="31"/>
    </row>
    <row r="84" spans="1:24" ht="6" customHeight="1" x14ac:dyDescent="0.25"/>
    <row r="85" spans="1:24" ht="18" customHeight="1" x14ac:dyDescent="0.25">
      <c r="A85" s="36" t="s">
        <v>698</v>
      </c>
      <c r="B85" s="31"/>
      <c r="C85" s="31"/>
      <c r="D85" s="31"/>
      <c r="E85" s="31"/>
      <c r="F85" s="31"/>
      <c r="G85" s="31"/>
      <c r="H85" s="31"/>
      <c r="I85" s="31"/>
      <c r="J85" s="31"/>
      <c r="K85" s="31"/>
      <c r="L85" s="31"/>
      <c r="M85" s="31"/>
      <c r="N85" s="31"/>
      <c r="O85" s="31"/>
      <c r="P85" s="31"/>
      <c r="Q85" s="31"/>
      <c r="R85" s="31"/>
      <c r="S85" s="31"/>
      <c r="T85" s="31"/>
      <c r="U85" s="31"/>
      <c r="V85" s="31"/>
      <c r="W85" s="31"/>
      <c r="X85" s="31"/>
    </row>
    <row r="86" spans="1:24" ht="21" customHeight="1" x14ac:dyDescent="0.25">
      <c r="A86" s="37" t="s">
        <v>742</v>
      </c>
      <c r="B86" s="31"/>
      <c r="C86" s="31"/>
      <c r="D86" s="31"/>
      <c r="E86" s="31"/>
      <c r="F86" s="31"/>
      <c r="G86" s="31"/>
      <c r="H86" s="31"/>
      <c r="I86" s="31"/>
      <c r="J86" s="31"/>
      <c r="K86" s="31"/>
      <c r="L86" s="31"/>
      <c r="M86" s="31"/>
      <c r="N86" s="31"/>
      <c r="O86" s="31"/>
      <c r="P86" s="31"/>
      <c r="Q86" s="31"/>
      <c r="R86" s="31"/>
      <c r="S86" s="31"/>
      <c r="T86" s="31"/>
      <c r="U86" s="31"/>
      <c r="V86" s="31"/>
      <c r="W86" s="31"/>
      <c r="X86" s="31"/>
    </row>
    <row r="87" spans="1:24" ht="6" customHeight="1" x14ac:dyDescent="0.25"/>
    <row r="88" spans="1:24" ht="18" customHeight="1" x14ac:dyDescent="0.25">
      <c r="A88" s="36" t="s">
        <v>699</v>
      </c>
      <c r="B88" s="31"/>
      <c r="C88" s="31"/>
      <c r="D88" s="31"/>
      <c r="E88" s="31"/>
      <c r="F88" s="31"/>
      <c r="G88" s="31"/>
      <c r="H88" s="31"/>
      <c r="I88" s="31"/>
      <c r="J88" s="31"/>
      <c r="K88" s="31"/>
      <c r="L88" s="31"/>
      <c r="M88" s="31"/>
      <c r="N88" s="31"/>
      <c r="O88" s="31"/>
      <c r="P88" s="31"/>
      <c r="Q88" s="31"/>
      <c r="R88" s="31"/>
      <c r="S88" s="31"/>
      <c r="T88" s="31"/>
      <c r="U88" s="31"/>
      <c r="V88" s="31"/>
      <c r="W88" s="31"/>
      <c r="X88" s="31"/>
    </row>
    <row r="89" spans="1:24" ht="21" customHeight="1" x14ac:dyDescent="0.25">
      <c r="A89" s="37" t="s">
        <v>743</v>
      </c>
      <c r="B89" s="31"/>
      <c r="C89" s="31"/>
      <c r="D89" s="31"/>
      <c r="E89" s="31"/>
      <c r="F89" s="31"/>
      <c r="G89" s="31"/>
      <c r="H89" s="31"/>
      <c r="I89" s="31"/>
      <c r="J89" s="31"/>
      <c r="K89" s="31"/>
      <c r="L89" s="31"/>
      <c r="M89" s="31"/>
      <c r="N89" s="31"/>
      <c r="O89" s="31"/>
      <c r="P89" s="31"/>
      <c r="Q89" s="31"/>
      <c r="R89" s="31"/>
      <c r="S89" s="31"/>
      <c r="T89" s="31"/>
      <c r="U89" s="31"/>
      <c r="V89" s="31"/>
      <c r="W89" s="31"/>
      <c r="X89" s="31"/>
    </row>
    <row r="90" spans="1:24" ht="6" customHeight="1" x14ac:dyDescent="0.25"/>
    <row r="93" spans="1:24" x14ac:dyDescent="0.25">
      <c r="A93" s="40" t="s">
        <v>744</v>
      </c>
      <c r="B93" s="31"/>
      <c r="C93" s="31"/>
      <c r="D93" s="31"/>
      <c r="E93" s="31"/>
      <c r="F93" s="31"/>
      <c r="G93" s="31"/>
      <c r="H93" s="31"/>
      <c r="I93" s="31"/>
      <c r="J93" s="31"/>
      <c r="K93" s="31"/>
      <c r="L93" s="31"/>
      <c r="M93" s="31"/>
      <c r="N93" s="31"/>
      <c r="O93" s="31"/>
      <c r="P93" s="31"/>
      <c r="Q93" s="31"/>
      <c r="R93" s="31"/>
      <c r="S93" s="31"/>
      <c r="T93" s="31"/>
      <c r="U93" s="31"/>
      <c r="V93" s="31"/>
      <c r="W93" s="31"/>
      <c r="X93" s="31"/>
    </row>
  </sheetData>
  <mergeCells count="38">
    <mergeCell ref="A93:X93"/>
    <mergeCell ref="A58:X58"/>
    <mergeCell ref="A40:X40"/>
    <mergeCell ref="A67:X67"/>
    <mergeCell ref="A39:X39"/>
    <mergeCell ref="A77:X77"/>
    <mergeCell ref="A59:X59"/>
    <mergeCell ref="A83:X83"/>
    <mergeCell ref="A73:X73"/>
    <mergeCell ref="A64:X64"/>
    <mergeCell ref="A82:X82"/>
    <mergeCell ref="A45:X45"/>
    <mergeCell ref="A61:X61"/>
    <mergeCell ref="A88:X88"/>
    <mergeCell ref="A70:X70"/>
    <mergeCell ref="A33:X33"/>
    <mergeCell ref="A71:X71"/>
    <mergeCell ref="A85:X85"/>
    <mergeCell ref="A53:X53"/>
    <mergeCell ref="A62:X62"/>
    <mergeCell ref="A43:X43"/>
    <mergeCell ref="A52:X52"/>
    <mergeCell ref="A68:X68"/>
    <mergeCell ref="A34:X34"/>
    <mergeCell ref="A36:X36"/>
    <mergeCell ref="A79:X79"/>
    <mergeCell ref="A65:X65"/>
    <mergeCell ref="A46:X46"/>
    <mergeCell ref="A37:X37"/>
    <mergeCell ref="A89:X89"/>
    <mergeCell ref="A74:X74"/>
    <mergeCell ref="A80:X80"/>
    <mergeCell ref="A56:X56"/>
    <mergeCell ref="A55:X55"/>
    <mergeCell ref="A50:X50"/>
    <mergeCell ref="A86:X86"/>
    <mergeCell ref="A42:X42"/>
    <mergeCell ref="A76:X76"/>
  </mergeCells>
  <dataValidations count="13">
    <dataValidation type="list" allowBlank="1" errorTitle="Valore non valido" error="Seleziona dalla lista." promptTitle="Author" prompt="Autore della codifica." sqref="B5:B30" xr:uid="{00000000-0002-0000-0200-000000000000}">
      <formula1>Author_Name</formula1>
    </dataValidation>
    <dataValidation type="list" allowBlank="1" errorTitle="Valore non valido" error="Seleziona dalla lista, oppure lascia vuoto." promptTitle="In Place" sqref="D5:D30" xr:uid="{00000000-0002-0000-0200-000001000000}">
      <formula1>InPl_Name</formula1>
    </dataValidation>
    <dataValidation type="list" allowBlank="1" errorTitle="Valore non valido" error="Seleziona dalla lista." promptTitle="Famiglia di sistema" prompt="Famiglia di sistema Revit." sqref="F5:F30" xr:uid="{00000000-0002-0000-0200-000002000000}">
      <formula1>CL_Cat_Name</formula1>
    </dataValidation>
    <dataValidation type="list" allowBlank="1" errorTitle="Valore non valido" error="Seleziona dalla lista." promptTitle="Group1" prompt="Sistema costruttivo del controsoffitto." sqref="H5:H30" xr:uid="{00000000-0002-0000-0200-000003000000}">
      <formula1>CL_G1_Name</formula1>
    </dataValidation>
    <dataValidation type="list" allowBlank="1" errorTitle="Valore non valido" error="Seleziona dalla lista." promptTitle="Group2" prompt="Ruolo, oppure lo strato singolo quando l’elemento è modellato da solo. IN copre anche i pacchetti multistrato." sqref="K5:K30" xr:uid="{00000000-0002-0000-0200-000004000000}">
      <formula1>CL_G2_Name</formula1>
    </dataValidation>
    <dataValidation type="list" allowBlank="1" errorTitle="Valore non valido" error="Seleziona dalla lista." promptTitle="N. finiture" prompt="Numero di facce finite: 0F, 1F, 2F. Elemento a strato singolo → 0F, anche quando quell’unico strato è la finitura." sqref="M5:M30" xr:uid="{00000000-0002-0000-0200-000005000000}">
      <formula1>Fin01_Name</formula1>
    </dataValidation>
    <dataValidation type="custom" allowBlank="1" errorTitle="Non valido" error="Inserisci un intero tra 0 e 99, oppure XX se i tipi non sono ancora definiti. Se Group1 è Other compila il Type Mark manuale." promptTitle="TM sequenza" prompt="Due cifre da 0 a 99. Distingue le varianti di stesso Group1 e stesso Group2. Tipo non ancora definito → XX. Non si compila con Group1 = OT." sqref="O5:O30" xr:uid="{00000000-0002-0000-0200-000006000000}">
      <formula1>AND($I5&lt;&gt;"OT",OR(UPPER($O5)="XX",AND(ISNUMBER($O5),$O5&gt;=0,$O5&lt;=99,$O5=INT($O5))))</formula1>
    </dataValidation>
    <dataValidation type="custom" allowBlank="1" errorTitle="Non ammesso qui" error="Si usa solo quando Group1 è Other." promptTitle="Type Mark manuale" prompt="Solo con Group1 = OT. Sostituisce tutto il Type Mark, prefisso di categoria compreso. Finiture → prefisso materiale + tre cifre: PT-001, WD-001, MT-001." sqref="P5:P30" xr:uid="{00000000-0002-0000-0200-000007000000}">
      <formula1>$I5="OT"</formula1>
    </dataValidation>
    <dataValidation type="decimal" operator="greaterThan" allowBlank="1" errorTitle="Non valido" error="Inserisci un valore maggiore di 0." promptTitle="Thickness mm" prompt="Spessore totale in mm." sqref="R5:R30" xr:uid="{00000000-0002-0000-0200-000008000000}">
      <formula1>0</formula1>
    </dataValidation>
    <dataValidation type="textLength" operator="lessThanOrEqual" allowBlank="1" errorTitle="Troppo lungo" error="Massimo 12 caratteri." promptTitle="REI" prompt="Facoltativo. Sigla completa come certificata: REI120, EI90, RE60. Deve coincidere con FireRating." sqref="S5:S30" xr:uid="{00000000-0002-0000-0200-000009000000}">
      <formula1>12</formula1>
    </dataValidation>
    <dataValidation type="list" allowBlank="1" errorTitle="Non ammesso qui" error="Ammesso solo con Group2 = IN: su EX, OG e UR impermeabilizzazione e isolamento sono impliciti." promptTitle="W  waterproof" prompt="Facoltativo. Impermeabilizzazione compresa nell’elemento. Ammesso solo con Group2 = IN: su EX, OG e UR impermeabilizzazione e isolamento sono impliciti." sqref="T5:T30" xr:uid="{00000000-0002-0000-0200-00000A000000}">
      <formula1>INDIRECT($Y5)</formula1>
    </dataValidation>
    <dataValidation type="list" allowBlank="1" errorTitle="Non ammesso qui" error="Ammesso solo con Group2 = IN: su EX, OG e UR impermeabilizzazione e isolamento sono impliciti." promptTitle="I  insulation" prompt="Facoltativo. Strato isolante compreso nell’elemento. Ammesso solo con Group2 = IN: su EX, OG e UR impermeabilizzazione e isolamento sono impliciti." sqref="U5:U30" xr:uid="{00000000-0002-0000-0200-00000B000000}">
      <formula1>INDIRECT($Z5)</formula1>
    </dataValidation>
    <dataValidation type="textLength" operator="lessThanOrEqual" allowBlank="1" errorTitle="Troppo lunga" error="Massimo 40 caratteri." promptTitle="Description" prompt="Facoltativa. Solo se aggiunge un’informazione non già nei codici: destinazione, posizione, o ciò che distingue due tipi altrimenti identici. Senza spazi, iniziali maiuscole, massimo 40 caratteri, senza accenti." sqref="V5:V30" xr:uid="{00000000-0002-0000-0200-00000C000000}">
      <formula1>40</formula1>
    </dataValidation>
  </dataValidation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96"/>
  <sheetViews>
    <sheetView showGridLines="0" tabSelected="1" workbookViewId="0">
      <pane ySplit="4" topLeftCell="A5" activePane="bottomLeft" state="frozen"/>
      <selection pane="bottomLeft" activeCell="K13" sqref="K13"/>
    </sheetView>
  </sheetViews>
  <sheetFormatPr defaultRowHeight="15" x14ac:dyDescent="0.25"/>
  <cols>
    <col min="1" max="1" width="3" customWidth="1"/>
    <col min="2" max="2" width="15" customWidth="1"/>
    <col min="3" max="3" width="5" customWidth="1"/>
    <col min="4" max="4" width="10" customWidth="1"/>
    <col min="5" max="5" width="4" customWidth="1"/>
    <col min="6" max="6" width="17" customWidth="1"/>
    <col min="7" max="7" width="4" customWidth="1"/>
    <col min="8" max="8" width="15" customWidth="1"/>
    <col min="9" max="9" width="4" customWidth="1"/>
    <col min="10" max="10" width="6" customWidth="1"/>
    <col min="11" max="11" width="15" customWidth="1"/>
    <col min="12" max="12" width="4" customWidth="1"/>
    <col min="13" max="13" width="11" customWidth="1"/>
    <col min="14" max="14" width="5" customWidth="1"/>
    <col min="15" max="15" width="12" customWidth="1"/>
    <col min="16" max="16" width="19" customWidth="1"/>
    <col min="17" max="17" width="12" customWidth="1"/>
    <col min="18" max="18" width="10" customWidth="1"/>
    <col min="19" max="19" width="8" customWidth="1"/>
    <col min="20" max="21" width="11" customWidth="1"/>
    <col min="22" max="22" width="22" customWidth="1"/>
    <col min="23" max="23" width="12" customWidth="1"/>
    <col min="24" max="24" width="40" customWidth="1"/>
    <col min="25" max="26" width="13" hidden="1" customWidth="1"/>
  </cols>
  <sheetData>
    <row r="1" spans="1:26" ht="19.5" x14ac:dyDescent="0.3">
      <c r="A1" s="6" t="s">
        <v>745</v>
      </c>
    </row>
    <row r="2" spans="1:26" x14ac:dyDescent="0.25">
      <c r="A2" s="7" t="s">
        <v>680</v>
      </c>
    </row>
    <row r="3" spans="1:26" x14ac:dyDescent="0.25">
      <c r="A3" s="8" t="s">
        <v>681</v>
      </c>
    </row>
    <row r="4" spans="1:26" ht="30" customHeight="1" x14ac:dyDescent="0.25">
      <c r="A4" s="9" t="s">
        <v>682</v>
      </c>
      <c r="B4" s="9" t="s">
        <v>70</v>
      </c>
      <c r="C4" s="9" t="s">
        <v>683</v>
      </c>
      <c r="D4" s="10" t="s">
        <v>84</v>
      </c>
      <c r="E4" s="9" t="s">
        <v>83</v>
      </c>
      <c r="F4" s="9" t="s">
        <v>684</v>
      </c>
      <c r="G4" s="9" t="s">
        <v>685</v>
      </c>
      <c r="H4" s="9" t="s">
        <v>686</v>
      </c>
      <c r="I4" s="9" t="s">
        <v>687</v>
      </c>
      <c r="J4" s="9" t="s">
        <v>688</v>
      </c>
      <c r="K4" s="9" t="s">
        <v>689</v>
      </c>
      <c r="L4" s="9" t="s">
        <v>690</v>
      </c>
      <c r="M4" s="9" t="s">
        <v>72</v>
      </c>
      <c r="N4" s="9" t="s">
        <v>691</v>
      </c>
      <c r="O4" s="9" t="s">
        <v>692</v>
      </c>
      <c r="P4" s="9" t="s">
        <v>693</v>
      </c>
      <c r="Q4" s="9" t="s">
        <v>694</v>
      </c>
      <c r="R4" s="9" t="s">
        <v>695</v>
      </c>
      <c r="S4" s="10" t="s">
        <v>696</v>
      </c>
      <c r="T4" s="10" t="s">
        <v>697</v>
      </c>
      <c r="U4" s="10" t="s">
        <v>698</v>
      </c>
      <c r="V4" s="10" t="s">
        <v>699</v>
      </c>
      <c r="W4" s="9" t="s">
        <v>700</v>
      </c>
      <c r="X4" s="9" t="s">
        <v>701</v>
      </c>
      <c r="Y4" s="9" t="s">
        <v>702</v>
      </c>
      <c r="Z4" s="9" t="s">
        <v>703</v>
      </c>
    </row>
    <row r="5" spans="1:26" x14ac:dyDescent="0.25">
      <c r="A5" s="11" t="s">
        <v>704</v>
      </c>
      <c r="B5" s="12" t="s">
        <v>80</v>
      </c>
      <c r="C5" s="13" t="str">
        <f t="shared" ref="C5:C30" si="0">IFERROR(INDEX(Author_Code,MATCH($B5,Author_Name,0)),"")</f>
        <v>e</v>
      </c>
      <c r="D5" s="14"/>
      <c r="E5" s="13" t="str">
        <f t="shared" ref="E5:E30" si="1">IFERROR(INDEX(InPl_Code,MATCH($D5,InPl_Name,0)),"")</f>
        <v/>
      </c>
      <c r="F5" s="12" t="s">
        <v>204</v>
      </c>
      <c r="G5" s="13" t="str">
        <f t="shared" ref="G5:G30" si="2">IFERROR(INDEX(FL_Cat_Code,MATCH($F5,FL_Cat_Name,0)),"")</f>
        <v>FL</v>
      </c>
      <c r="H5" s="12" t="s">
        <v>172</v>
      </c>
      <c r="I5" s="13" t="str">
        <f t="shared" ref="I5:I30" si="3">IFERROR(INDEX(FL_G1_Code,MATCH($H5,FL_G1_Name,0)),"")</f>
        <v>MN</v>
      </c>
      <c r="J5" s="13" t="str">
        <f t="shared" ref="J5:J30" si="4">IFERROR(LEFT(INDEX(FL_G1_TM,MATCH($H5,FL_G1_Name,0)),1),"")</f>
        <v>2</v>
      </c>
      <c r="K5" s="12" t="s">
        <v>155</v>
      </c>
      <c r="L5" s="13" t="str">
        <f t="shared" ref="L5:L30" si="5">IFERROR(INDEX(FL_G2_Code,MATCH($K5,FL_G2_Name,0)),"")</f>
        <v>IN</v>
      </c>
      <c r="M5" s="12" t="s">
        <v>88</v>
      </c>
      <c r="N5" s="13" t="str">
        <f t="shared" ref="N5:N30" si="6">IFERROR(INDEX(Fin_Code,MATCH($M5,Fin_Name,0)),"")</f>
        <v>1F</v>
      </c>
      <c r="O5" s="12">
        <v>1</v>
      </c>
      <c r="P5" s="15"/>
      <c r="Q5" s="13" t="str">
        <f t="shared" ref="Q5:Q30" si="7">IF($I5="OT",$P5,IF(OR($G5="",$J5="",$O5=""),"",$G5&amp;"-"&amp;$J5&amp;IF(UPPER($O5)="XX","XX",TEXT($O5,"00"))))</f>
        <v>FL-201</v>
      </c>
      <c r="R5" s="12">
        <v>320</v>
      </c>
      <c r="S5" s="14"/>
      <c r="T5" s="14"/>
      <c r="U5" s="14"/>
      <c r="V5" s="16"/>
      <c r="W5" s="13" t="str">
        <f t="shared" ref="W5:W30" si="8">$G5&amp;IF($I5&lt;&gt;"","."&amp;$I5,"")&amp;IF($L5&lt;&gt;"","."&amp;$L5,"")</f>
        <v>FL.MN.IN</v>
      </c>
      <c r="X5" s="17" t="str">
        <f t="shared" ref="X5:X30" si="9">IF(AND($F5&lt;&gt;"",$H5&lt;&gt;"",$Q5&lt;&gt;"",AND($M5&lt;&gt;"",$R5&lt;&gt;"")),$C5&amp;"_"&amp;$Q5&amp;"_"&amp;$E5&amp;$W5&amp;"_"&amp;$N5&amp;"."&amp;TEXT($R5,"0")&amp;IF($S5&lt;&gt;"","_"&amp;$S5,"")&amp;IF($T5&amp;$U5&lt;&gt;"","_"&amp;$T5&amp;$U5,"")&amp;IF($V5&lt;&gt;"","_"&amp;$V5,""),"")</f>
        <v>e_FL-201_FL.MN.IN_1F.320</v>
      </c>
      <c r="Y5" s="18" t="str">
        <f t="shared" ref="Y5:Y30" si="10">IF(OR($L5="IN"),"_src!$B$1","_src!$B$2")</f>
        <v>_src!$B$1</v>
      </c>
      <c r="Z5" s="18" t="str">
        <f t="shared" ref="Z5:Z30" si="11">IF(OR($L5="IN"),"_src!$C$1","_src!$C$2")</f>
        <v>_src!$C$1</v>
      </c>
    </row>
    <row r="6" spans="1:26" x14ac:dyDescent="0.25">
      <c r="A6" s="11" t="s">
        <v>705</v>
      </c>
      <c r="B6" s="12" t="s">
        <v>80</v>
      </c>
      <c r="C6" s="13" t="str">
        <f t="shared" si="0"/>
        <v>e</v>
      </c>
      <c r="D6" s="14"/>
      <c r="E6" s="13" t="str">
        <f t="shared" si="1"/>
        <v/>
      </c>
      <c r="F6" s="12" t="s">
        <v>204</v>
      </c>
      <c r="G6" s="13" t="str">
        <f t="shared" si="2"/>
        <v>FL</v>
      </c>
      <c r="H6" s="12" t="s">
        <v>172</v>
      </c>
      <c r="I6" s="13" t="str">
        <f t="shared" si="3"/>
        <v>MN</v>
      </c>
      <c r="J6" s="13" t="str">
        <f t="shared" si="4"/>
        <v>2</v>
      </c>
      <c r="K6" s="12" t="s">
        <v>155</v>
      </c>
      <c r="L6" s="13" t="str">
        <f t="shared" si="5"/>
        <v>IN</v>
      </c>
      <c r="M6" s="12" t="s">
        <v>92</v>
      </c>
      <c r="N6" s="13" t="str">
        <f t="shared" si="6"/>
        <v>2F</v>
      </c>
      <c r="O6" s="12">
        <v>2</v>
      </c>
      <c r="P6" s="15"/>
      <c r="Q6" s="13" t="str">
        <f t="shared" si="7"/>
        <v>FL-202</v>
      </c>
      <c r="R6" s="12">
        <v>340</v>
      </c>
      <c r="S6" s="14" t="s">
        <v>714</v>
      </c>
      <c r="T6" s="14"/>
      <c r="U6" s="14"/>
      <c r="V6" s="16"/>
      <c r="W6" s="13" t="str">
        <f t="shared" si="8"/>
        <v>FL.MN.IN</v>
      </c>
      <c r="X6" s="17" t="str">
        <f t="shared" si="9"/>
        <v>e_FL-202_FL.MN.IN_2F.340_REI60</v>
      </c>
      <c r="Y6" s="18" t="str">
        <f t="shared" si="10"/>
        <v>_src!$B$1</v>
      </c>
      <c r="Z6" s="18" t="str">
        <f t="shared" si="11"/>
        <v>_src!$C$1</v>
      </c>
    </row>
    <row r="7" spans="1:26" x14ac:dyDescent="0.25">
      <c r="A7" s="11" t="s">
        <v>707</v>
      </c>
      <c r="B7" s="12" t="s">
        <v>80</v>
      </c>
      <c r="C7" s="13" t="str">
        <f t="shared" si="0"/>
        <v>e</v>
      </c>
      <c r="D7" s="14"/>
      <c r="E7" s="13" t="str">
        <f t="shared" si="1"/>
        <v/>
      </c>
      <c r="F7" s="12" t="s">
        <v>204</v>
      </c>
      <c r="G7" s="13" t="str">
        <f t="shared" si="2"/>
        <v>FL</v>
      </c>
      <c r="H7" s="12" t="s">
        <v>172</v>
      </c>
      <c r="I7" s="13" t="str">
        <f t="shared" si="3"/>
        <v>MN</v>
      </c>
      <c r="J7" s="13" t="str">
        <f t="shared" si="4"/>
        <v>2</v>
      </c>
      <c r="K7" s="12" t="s">
        <v>155</v>
      </c>
      <c r="L7" s="13" t="str">
        <f t="shared" si="5"/>
        <v>IN</v>
      </c>
      <c r="M7" s="12" t="s">
        <v>88</v>
      </c>
      <c r="N7" s="13" t="str">
        <f t="shared" si="6"/>
        <v>1F</v>
      </c>
      <c r="O7" s="12">
        <v>3</v>
      </c>
      <c r="P7" s="15"/>
      <c r="Q7" s="13" t="str">
        <f t="shared" si="7"/>
        <v>FL-203</v>
      </c>
      <c r="R7" s="12">
        <v>350</v>
      </c>
      <c r="S7" s="14"/>
      <c r="T7" s="14" t="s">
        <v>710</v>
      </c>
      <c r="U7" s="14" t="s">
        <v>708</v>
      </c>
      <c r="V7" s="16" t="s">
        <v>746</v>
      </c>
      <c r="W7" s="13" t="str">
        <f t="shared" si="8"/>
        <v>FL.MN.IN</v>
      </c>
      <c r="X7" s="17" t="str">
        <f t="shared" si="9"/>
        <v>e_FL-203_FL.MN.IN_1F.350_WI_Bathroom</v>
      </c>
      <c r="Y7" s="18" t="str">
        <f t="shared" si="10"/>
        <v>_src!$B$1</v>
      </c>
      <c r="Z7" s="18" t="str">
        <f t="shared" si="11"/>
        <v>_src!$C$1</v>
      </c>
    </row>
    <row r="8" spans="1:26" x14ac:dyDescent="0.25">
      <c r="A8" s="11" t="s">
        <v>709</v>
      </c>
      <c r="B8" s="12" t="s">
        <v>80</v>
      </c>
      <c r="C8" s="13" t="str">
        <f t="shared" si="0"/>
        <v>e</v>
      </c>
      <c r="D8" s="14"/>
      <c r="E8" s="13" t="str">
        <f t="shared" si="1"/>
        <v/>
      </c>
      <c r="F8" s="12" t="s">
        <v>204</v>
      </c>
      <c r="G8" s="13" t="str">
        <f t="shared" si="2"/>
        <v>FL</v>
      </c>
      <c r="H8" s="12" t="s">
        <v>172</v>
      </c>
      <c r="I8" s="13" t="str">
        <f t="shared" si="3"/>
        <v>MN</v>
      </c>
      <c r="J8" s="13" t="str">
        <f t="shared" si="4"/>
        <v>2</v>
      </c>
      <c r="K8" s="12" t="s">
        <v>155</v>
      </c>
      <c r="L8" s="13" t="str">
        <f t="shared" si="5"/>
        <v>IN</v>
      </c>
      <c r="M8" s="12" t="s">
        <v>88</v>
      </c>
      <c r="N8" s="13" t="str">
        <f t="shared" si="6"/>
        <v>1F</v>
      </c>
      <c r="O8" s="12">
        <v>4</v>
      </c>
      <c r="P8" s="15"/>
      <c r="Q8" s="13" t="str">
        <f t="shared" si="7"/>
        <v>FL-204</v>
      </c>
      <c r="R8" s="12">
        <v>330</v>
      </c>
      <c r="S8" s="14"/>
      <c r="T8" s="14"/>
      <c r="U8" s="14" t="s">
        <v>708</v>
      </c>
      <c r="V8" s="16" t="s">
        <v>188</v>
      </c>
      <c r="W8" s="13" t="str">
        <f t="shared" si="8"/>
        <v>FL.MN.IN</v>
      </c>
      <c r="X8" s="17" t="str">
        <f t="shared" si="9"/>
        <v>e_FL-204_FL.MN.IN_1F.330_I_Acoustic</v>
      </c>
      <c r="Y8" s="18" t="str">
        <f t="shared" si="10"/>
        <v>_src!$B$1</v>
      </c>
      <c r="Z8" s="18" t="str">
        <f t="shared" si="11"/>
        <v>_src!$C$1</v>
      </c>
    </row>
    <row r="9" spans="1:26" x14ac:dyDescent="0.25">
      <c r="A9" s="11" t="s">
        <v>711</v>
      </c>
      <c r="B9" s="12" t="s">
        <v>80</v>
      </c>
      <c r="C9" s="13" t="str">
        <f t="shared" si="0"/>
        <v>e</v>
      </c>
      <c r="D9" s="14"/>
      <c r="E9" s="13" t="str">
        <f t="shared" si="1"/>
        <v/>
      </c>
      <c r="F9" s="12" t="s">
        <v>204</v>
      </c>
      <c r="G9" s="13" t="str">
        <f t="shared" si="2"/>
        <v>FL</v>
      </c>
      <c r="H9" s="12" t="s">
        <v>172</v>
      </c>
      <c r="I9" s="13" t="str">
        <f t="shared" si="3"/>
        <v>MN</v>
      </c>
      <c r="J9" s="13" t="str">
        <f t="shared" si="4"/>
        <v>2</v>
      </c>
      <c r="K9" s="12" t="s">
        <v>162</v>
      </c>
      <c r="L9" s="13" t="str">
        <f t="shared" si="5"/>
        <v>EX</v>
      </c>
      <c r="M9" s="12" t="s">
        <v>88</v>
      </c>
      <c r="N9" s="13" t="str">
        <f t="shared" si="6"/>
        <v>1F</v>
      </c>
      <c r="O9" s="12">
        <v>5</v>
      </c>
      <c r="P9" s="15"/>
      <c r="Q9" s="13" t="str">
        <f t="shared" si="7"/>
        <v>FL-205</v>
      </c>
      <c r="R9" s="12">
        <v>400</v>
      </c>
      <c r="S9" s="14"/>
      <c r="T9" s="14"/>
      <c r="U9" s="14"/>
      <c r="V9" s="16" t="s">
        <v>747</v>
      </c>
      <c r="W9" s="13" t="str">
        <f t="shared" si="8"/>
        <v>FL.MN.EX</v>
      </c>
      <c r="X9" s="17" t="str">
        <f t="shared" si="9"/>
        <v>e_FL-205_FL.MN.EX_1F.400_Terrace</v>
      </c>
      <c r="Y9" s="18" t="str">
        <f t="shared" si="10"/>
        <v>_src!$B$2</v>
      </c>
      <c r="Z9" s="18" t="str">
        <f t="shared" si="11"/>
        <v>_src!$C$2</v>
      </c>
    </row>
    <row r="10" spans="1:26" x14ac:dyDescent="0.25">
      <c r="A10" s="11" t="s">
        <v>712</v>
      </c>
      <c r="B10" s="12" t="s">
        <v>80</v>
      </c>
      <c r="C10" s="13" t="str">
        <f t="shared" si="0"/>
        <v>e</v>
      </c>
      <c r="D10" s="14"/>
      <c r="E10" s="13" t="str">
        <f t="shared" si="1"/>
        <v/>
      </c>
      <c r="F10" s="12" t="s">
        <v>204</v>
      </c>
      <c r="G10" s="13" t="str">
        <f t="shared" si="2"/>
        <v>FL</v>
      </c>
      <c r="H10" s="12" t="s">
        <v>172</v>
      </c>
      <c r="I10" s="13" t="str">
        <f t="shared" si="3"/>
        <v>MN</v>
      </c>
      <c r="J10" s="13" t="str">
        <f t="shared" si="4"/>
        <v>2</v>
      </c>
      <c r="K10" s="12" t="s">
        <v>214</v>
      </c>
      <c r="L10" s="13" t="str">
        <f t="shared" si="5"/>
        <v>OG</v>
      </c>
      <c r="M10" s="12" t="s">
        <v>88</v>
      </c>
      <c r="N10" s="13" t="str">
        <f t="shared" si="6"/>
        <v>1F</v>
      </c>
      <c r="O10" s="12">
        <v>6</v>
      </c>
      <c r="P10" s="15"/>
      <c r="Q10" s="13" t="str">
        <f t="shared" si="7"/>
        <v>FL-206</v>
      </c>
      <c r="R10" s="12">
        <v>400</v>
      </c>
      <c r="S10" s="14"/>
      <c r="T10" s="14"/>
      <c r="U10" s="14"/>
      <c r="V10" s="16"/>
      <c r="W10" s="13" t="str">
        <f t="shared" si="8"/>
        <v>FL.MN.OG</v>
      </c>
      <c r="X10" s="17" t="str">
        <f t="shared" si="9"/>
        <v>e_FL-206_FL.MN.OG_1F.400</v>
      </c>
      <c r="Y10" s="18" t="str">
        <f t="shared" si="10"/>
        <v>_src!$B$2</v>
      </c>
      <c r="Z10" s="18" t="str">
        <f t="shared" si="11"/>
        <v>_src!$C$2</v>
      </c>
    </row>
    <row r="11" spans="1:26" x14ac:dyDescent="0.25">
      <c r="A11" s="11" t="s">
        <v>713</v>
      </c>
      <c r="B11" s="12" t="s">
        <v>80</v>
      </c>
      <c r="C11" s="13" t="str">
        <f t="shared" si="0"/>
        <v>e</v>
      </c>
      <c r="D11" s="14"/>
      <c r="E11" s="13" t="str">
        <f t="shared" si="1"/>
        <v/>
      </c>
      <c r="F11" s="12" t="s">
        <v>204</v>
      </c>
      <c r="G11" s="13" t="str">
        <f t="shared" si="2"/>
        <v>FL</v>
      </c>
      <c r="H11" s="12" t="s">
        <v>209</v>
      </c>
      <c r="I11" s="13" t="str">
        <f t="shared" si="3"/>
        <v>BB</v>
      </c>
      <c r="J11" s="13" t="str">
        <f t="shared" si="4"/>
        <v>1</v>
      </c>
      <c r="K11" s="12" t="s">
        <v>155</v>
      </c>
      <c r="L11" s="13" t="str">
        <f t="shared" si="5"/>
        <v>IN</v>
      </c>
      <c r="M11" s="12" t="s">
        <v>88</v>
      </c>
      <c r="N11" s="13" t="str">
        <f t="shared" si="6"/>
        <v>1F</v>
      </c>
      <c r="O11" s="12">
        <v>1</v>
      </c>
      <c r="P11" s="15"/>
      <c r="Q11" s="13" t="str">
        <f t="shared" si="7"/>
        <v>FL-101</v>
      </c>
      <c r="R11" s="12">
        <v>340</v>
      </c>
      <c r="S11" s="14"/>
      <c r="T11" s="14"/>
      <c r="U11" s="14"/>
      <c r="V11" s="16"/>
      <c r="W11" s="13" t="str">
        <f t="shared" si="8"/>
        <v>FL.BB.IN</v>
      </c>
      <c r="X11" s="17" t="str">
        <f t="shared" si="9"/>
        <v>e_FL-101_FL.BB.IN_1F.340</v>
      </c>
      <c r="Y11" s="18" t="str">
        <f t="shared" si="10"/>
        <v>_src!$B$1</v>
      </c>
      <c r="Z11" s="18" t="str">
        <f t="shared" si="11"/>
        <v>_src!$C$1</v>
      </c>
    </row>
    <row r="12" spans="1:26" x14ac:dyDescent="0.25">
      <c r="A12" s="11" t="s">
        <v>715</v>
      </c>
      <c r="B12" s="12" t="s">
        <v>80</v>
      </c>
      <c r="C12" s="13" t="str">
        <f t="shared" si="0"/>
        <v>e</v>
      </c>
      <c r="D12" s="14"/>
      <c r="E12" s="13" t="str">
        <f t="shared" si="1"/>
        <v/>
      </c>
      <c r="F12" s="12" t="s">
        <v>204</v>
      </c>
      <c r="G12" s="13" t="str">
        <f t="shared" si="2"/>
        <v>FL</v>
      </c>
      <c r="H12" s="12" t="s">
        <v>217</v>
      </c>
      <c r="I12" s="13" t="str">
        <f t="shared" si="3"/>
        <v>DC</v>
      </c>
      <c r="J12" s="13" t="str">
        <f t="shared" si="4"/>
        <v>3</v>
      </c>
      <c r="K12" s="12" t="s">
        <v>155</v>
      </c>
      <c r="L12" s="13" t="str">
        <f t="shared" si="5"/>
        <v>IN</v>
      </c>
      <c r="M12" s="12" t="s">
        <v>88</v>
      </c>
      <c r="N12" s="13" t="str">
        <f t="shared" si="6"/>
        <v>1F</v>
      </c>
      <c r="O12" s="12">
        <v>1</v>
      </c>
      <c r="P12" s="15"/>
      <c r="Q12" s="13" t="str">
        <f t="shared" si="7"/>
        <v>FL-301</v>
      </c>
      <c r="R12" s="12">
        <v>180</v>
      </c>
      <c r="S12" s="14"/>
      <c r="T12" s="14"/>
      <c r="U12" s="14"/>
      <c r="V12" s="16"/>
      <c r="W12" s="13" t="str">
        <f t="shared" si="8"/>
        <v>FL.DC.IN</v>
      </c>
      <c r="X12" s="17" t="str">
        <f t="shared" si="9"/>
        <v>e_FL-301_FL.DC.IN_1F.180</v>
      </c>
      <c r="Y12" s="18" t="str">
        <f t="shared" si="10"/>
        <v>_src!$B$1</v>
      </c>
      <c r="Z12" s="18" t="str">
        <f t="shared" si="11"/>
        <v>_src!$C$1</v>
      </c>
    </row>
    <row r="13" spans="1:26" x14ac:dyDescent="0.25">
      <c r="A13" s="11" t="s">
        <v>716</v>
      </c>
      <c r="B13" s="12" t="s">
        <v>80</v>
      </c>
      <c r="C13" s="13" t="str">
        <f t="shared" si="0"/>
        <v>e</v>
      </c>
      <c r="D13" s="14"/>
      <c r="E13" s="13" t="str">
        <f t="shared" si="1"/>
        <v/>
      </c>
      <c r="F13" s="12" t="s">
        <v>204</v>
      </c>
      <c r="G13" s="13" t="str">
        <f t="shared" si="2"/>
        <v>FL</v>
      </c>
      <c r="H13" s="12" t="s">
        <v>179</v>
      </c>
      <c r="I13" s="13" t="str">
        <f t="shared" si="3"/>
        <v>PN</v>
      </c>
      <c r="J13" s="13" t="str">
        <f t="shared" si="4"/>
        <v>6</v>
      </c>
      <c r="K13" s="12" t="s">
        <v>191</v>
      </c>
      <c r="L13" s="13" t="str">
        <f t="shared" si="5"/>
        <v>IS</v>
      </c>
      <c r="M13" s="12" t="s">
        <v>82</v>
      </c>
      <c r="N13" s="13" t="str">
        <f t="shared" si="6"/>
        <v>0F</v>
      </c>
      <c r="O13" s="12">
        <v>1</v>
      </c>
      <c r="P13" s="15"/>
      <c r="Q13" s="13" t="str">
        <f t="shared" si="7"/>
        <v>FL-601</v>
      </c>
      <c r="R13" s="12">
        <v>100</v>
      </c>
      <c r="S13" s="14"/>
      <c r="T13" s="14"/>
      <c r="U13" s="14"/>
      <c r="V13" s="16"/>
      <c r="W13" s="13" t="str">
        <f t="shared" si="8"/>
        <v>FL.PN.IS</v>
      </c>
      <c r="X13" s="17" t="str">
        <f t="shared" si="9"/>
        <v>e_FL-601_FL.PN.IS_0F.100</v>
      </c>
      <c r="Y13" s="18" t="str">
        <f t="shared" si="10"/>
        <v>_src!$B$2</v>
      </c>
      <c r="Z13" s="18" t="str">
        <f t="shared" si="11"/>
        <v>_src!$C$2</v>
      </c>
    </row>
    <row r="14" spans="1:26" x14ac:dyDescent="0.25">
      <c r="A14" s="11" t="s">
        <v>717</v>
      </c>
      <c r="B14" s="12" t="s">
        <v>80</v>
      </c>
      <c r="C14" s="13" t="str">
        <f t="shared" si="0"/>
        <v>e</v>
      </c>
      <c r="D14" s="14"/>
      <c r="E14" s="13" t="str">
        <f t="shared" si="1"/>
        <v/>
      </c>
      <c r="F14" s="12" t="s">
        <v>204</v>
      </c>
      <c r="G14" s="13" t="str">
        <f t="shared" si="2"/>
        <v>FL</v>
      </c>
      <c r="H14" s="12" t="s">
        <v>108</v>
      </c>
      <c r="I14" s="13" t="str">
        <f t="shared" si="3"/>
        <v>OT</v>
      </c>
      <c r="J14" s="13" t="str">
        <f t="shared" si="4"/>
        <v>9</v>
      </c>
      <c r="K14" s="12" t="s">
        <v>229</v>
      </c>
      <c r="L14" s="13" t="str">
        <f t="shared" si="5"/>
        <v>FN</v>
      </c>
      <c r="M14" s="12" t="s">
        <v>82</v>
      </c>
      <c r="N14" s="13" t="str">
        <f t="shared" si="6"/>
        <v>0F</v>
      </c>
      <c r="O14" s="12"/>
      <c r="P14" s="15" t="s">
        <v>748</v>
      </c>
      <c r="Q14" s="13" t="str">
        <f t="shared" si="7"/>
        <v>CR-001</v>
      </c>
      <c r="R14" s="12">
        <v>5</v>
      </c>
      <c r="S14" s="14"/>
      <c r="T14" s="14"/>
      <c r="U14" s="14"/>
      <c r="V14" s="16"/>
      <c r="W14" s="13" t="str">
        <f t="shared" si="8"/>
        <v>FL.OT.FN</v>
      </c>
      <c r="X14" s="17" t="str">
        <f t="shared" si="9"/>
        <v>e_CR-001_FL.OT.FN_0F.5</v>
      </c>
      <c r="Y14" s="18" t="str">
        <f t="shared" si="10"/>
        <v>_src!$B$2</v>
      </c>
      <c r="Z14" s="18" t="str">
        <f t="shared" si="11"/>
        <v>_src!$C$2</v>
      </c>
    </row>
    <row r="15" spans="1:26" x14ac:dyDescent="0.25">
      <c r="A15" s="11" t="s">
        <v>719</v>
      </c>
      <c r="B15" s="12" t="s">
        <v>80</v>
      </c>
      <c r="C15" s="13" t="str">
        <f t="shared" si="0"/>
        <v>e</v>
      </c>
      <c r="D15" s="14" t="s">
        <v>84</v>
      </c>
      <c r="E15" s="13" t="str">
        <f t="shared" si="1"/>
        <v>(I)</v>
      </c>
      <c r="F15" s="12" t="s">
        <v>204</v>
      </c>
      <c r="G15" s="13" t="str">
        <f t="shared" si="2"/>
        <v>FL</v>
      </c>
      <c r="H15" s="12" t="s">
        <v>172</v>
      </c>
      <c r="I15" s="13" t="str">
        <f t="shared" si="3"/>
        <v>MN</v>
      </c>
      <c r="J15" s="13" t="str">
        <f t="shared" si="4"/>
        <v>2</v>
      </c>
      <c r="K15" s="12" t="s">
        <v>155</v>
      </c>
      <c r="L15" s="13" t="str">
        <f t="shared" si="5"/>
        <v>IN</v>
      </c>
      <c r="M15" s="12" t="s">
        <v>88</v>
      </c>
      <c r="N15" s="13" t="str">
        <f t="shared" si="6"/>
        <v>1F</v>
      </c>
      <c r="O15" s="12">
        <v>1</v>
      </c>
      <c r="P15" s="15"/>
      <c r="Q15" s="13" t="str">
        <f t="shared" si="7"/>
        <v>FL-201</v>
      </c>
      <c r="R15" s="12">
        <v>320</v>
      </c>
      <c r="S15" s="14"/>
      <c r="T15" s="14"/>
      <c r="U15" s="14"/>
      <c r="V15" s="16"/>
      <c r="W15" s="13" t="str">
        <f t="shared" si="8"/>
        <v>FL.MN.IN</v>
      </c>
      <c r="X15" s="17" t="str">
        <f t="shared" si="9"/>
        <v>e_FL-201_(I)FL.MN.IN_1F.320</v>
      </c>
      <c r="Y15" s="18" t="str">
        <f t="shared" si="10"/>
        <v>_src!$B$1</v>
      </c>
      <c r="Z15" s="18" t="str">
        <f t="shared" si="11"/>
        <v>_src!$C$1</v>
      </c>
    </row>
    <row r="16" spans="1:26" x14ac:dyDescent="0.25">
      <c r="A16" s="19">
        <v>1</v>
      </c>
      <c r="B16" s="20"/>
      <c r="C16" s="21" t="str">
        <f t="shared" si="0"/>
        <v/>
      </c>
      <c r="D16" s="22"/>
      <c r="E16" s="21" t="str">
        <f t="shared" si="1"/>
        <v/>
      </c>
      <c r="F16" s="20"/>
      <c r="G16" s="21" t="str">
        <f t="shared" si="2"/>
        <v/>
      </c>
      <c r="H16" s="20"/>
      <c r="I16" s="21" t="str">
        <f t="shared" si="3"/>
        <v/>
      </c>
      <c r="J16" s="21" t="str">
        <f t="shared" si="4"/>
        <v/>
      </c>
      <c r="K16" s="20"/>
      <c r="L16" s="21" t="str">
        <f t="shared" si="5"/>
        <v/>
      </c>
      <c r="M16" s="20"/>
      <c r="N16" s="21" t="str">
        <f t="shared" si="6"/>
        <v/>
      </c>
      <c r="O16" s="20"/>
      <c r="P16" s="23"/>
      <c r="Q16" s="21" t="str">
        <f t="shared" si="7"/>
        <v/>
      </c>
      <c r="R16" s="20"/>
      <c r="S16" s="22"/>
      <c r="T16" s="22"/>
      <c r="U16" s="22"/>
      <c r="V16" s="24"/>
      <c r="W16" s="21" t="str">
        <f t="shared" si="8"/>
        <v/>
      </c>
      <c r="X16" s="25" t="str">
        <f t="shared" si="9"/>
        <v/>
      </c>
      <c r="Y16" s="18" t="str">
        <f t="shared" si="10"/>
        <v>_src!$B$2</v>
      </c>
      <c r="Z16" s="18" t="str">
        <f t="shared" si="11"/>
        <v>_src!$C$2</v>
      </c>
    </row>
    <row r="17" spans="1:26" x14ac:dyDescent="0.25">
      <c r="A17" s="19">
        <v>2</v>
      </c>
      <c r="B17" s="20"/>
      <c r="C17" s="21" t="str">
        <f t="shared" si="0"/>
        <v/>
      </c>
      <c r="D17" s="22"/>
      <c r="E17" s="21" t="str">
        <f t="shared" si="1"/>
        <v/>
      </c>
      <c r="F17" s="20"/>
      <c r="G17" s="21" t="str">
        <f t="shared" si="2"/>
        <v/>
      </c>
      <c r="H17" s="20"/>
      <c r="I17" s="21" t="str">
        <f t="shared" si="3"/>
        <v/>
      </c>
      <c r="J17" s="21" t="str">
        <f t="shared" si="4"/>
        <v/>
      </c>
      <c r="K17" s="20"/>
      <c r="L17" s="21" t="str">
        <f t="shared" si="5"/>
        <v/>
      </c>
      <c r="M17" s="20"/>
      <c r="N17" s="21" t="str">
        <f t="shared" si="6"/>
        <v/>
      </c>
      <c r="O17" s="20"/>
      <c r="P17" s="23"/>
      <c r="Q17" s="21" t="str">
        <f t="shared" si="7"/>
        <v/>
      </c>
      <c r="R17" s="20"/>
      <c r="S17" s="22"/>
      <c r="T17" s="22"/>
      <c r="U17" s="22"/>
      <c r="V17" s="24"/>
      <c r="W17" s="21" t="str">
        <f t="shared" si="8"/>
        <v/>
      </c>
      <c r="X17" s="25" t="str">
        <f t="shared" si="9"/>
        <v/>
      </c>
      <c r="Y17" s="18" t="str">
        <f t="shared" si="10"/>
        <v>_src!$B$2</v>
      </c>
      <c r="Z17" s="18" t="str">
        <f t="shared" si="11"/>
        <v>_src!$C$2</v>
      </c>
    </row>
    <row r="18" spans="1:26" x14ac:dyDescent="0.25">
      <c r="A18" s="19">
        <v>3</v>
      </c>
      <c r="B18" s="20"/>
      <c r="C18" s="21" t="str">
        <f t="shared" si="0"/>
        <v/>
      </c>
      <c r="D18" s="22"/>
      <c r="E18" s="21" t="str">
        <f t="shared" si="1"/>
        <v/>
      </c>
      <c r="F18" s="20"/>
      <c r="G18" s="21" t="str">
        <f t="shared" si="2"/>
        <v/>
      </c>
      <c r="H18" s="20"/>
      <c r="I18" s="21" t="str">
        <f t="shared" si="3"/>
        <v/>
      </c>
      <c r="J18" s="21" t="str">
        <f t="shared" si="4"/>
        <v/>
      </c>
      <c r="K18" s="20"/>
      <c r="L18" s="21" t="str">
        <f t="shared" si="5"/>
        <v/>
      </c>
      <c r="M18" s="20"/>
      <c r="N18" s="21" t="str">
        <f t="shared" si="6"/>
        <v/>
      </c>
      <c r="O18" s="20"/>
      <c r="P18" s="23"/>
      <c r="Q18" s="21" t="str">
        <f t="shared" si="7"/>
        <v/>
      </c>
      <c r="R18" s="20"/>
      <c r="S18" s="22"/>
      <c r="T18" s="22"/>
      <c r="U18" s="22"/>
      <c r="V18" s="24"/>
      <c r="W18" s="21" t="str">
        <f t="shared" si="8"/>
        <v/>
      </c>
      <c r="X18" s="25" t="str">
        <f t="shared" si="9"/>
        <v/>
      </c>
      <c r="Y18" s="18" t="str">
        <f t="shared" si="10"/>
        <v>_src!$B$2</v>
      </c>
      <c r="Z18" s="18" t="str">
        <f t="shared" si="11"/>
        <v>_src!$C$2</v>
      </c>
    </row>
    <row r="19" spans="1:26" x14ac:dyDescent="0.25">
      <c r="A19" s="19">
        <v>4</v>
      </c>
      <c r="B19" s="20"/>
      <c r="C19" s="21" t="str">
        <f t="shared" si="0"/>
        <v/>
      </c>
      <c r="D19" s="22"/>
      <c r="E19" s="21" t="str">
        <f t="shared" si="1"/>
        <v/>
      </c>
      <c r="F19" s="20"/>
      <c r="G19" s="21" t="str">
        <f t="shared" si="2"/>
        <v/>
      </c>
      <c r="H19" s="20"/>
      <c r="I19" s="21" t="str">
        <f t="shared" si="3"/>
        <v/>
      </c>
      <c r="J19" s="21" t="str">
        <f t="shared" si="4"/>
        <v/>
      </c>
      <c r="K19" s="20"/>
      <c r="L19" s="21" t="str">
        <f t="shared" si="5"/>
        <v/>
      </c>
      <c r="M19" s="20"/>
      <c r="N19" s="21" t="str">
        <f t="shared" si="6"/>
        <v/>
      </c>
      <c r="O19" s="20"/>
      <c r="P19" s="23"/>
      <c r="Q19" s="21" t="str">
        <f t="shared" si="7"/>
        <v/>
      </c>
      <c r="R19" s="20"/>
      <c r="S19" s="22"/>
      <c r="T19" s="22"/>
      <c r="U19" s="22"/>
      <c r="V19" s="24"/>
      <c r="W19" s="21" t="str">
        <f t="shared" si="8"/>
        <v/>
      </c>
      <c r="X19" s="25" t="str">
        <f t="shared" si="9"/>
        <v/>
      </c>
      <c r="Y19" s="18" t="str">
        <f t="shared" si="10"/>
        <v>_src!$B$2</v>
      </c>
      <c r="Z19" s="18" t="str">
        <f t="shared" si="11"/>
        <v>_src!$C$2</v>
      </c>
    </row>
    <row r="20" spans="1:26" x14ac:dyDescent="0.25">
      <c r="A20" s="19">
        <v>5</v>
      </c>
      <c r="B20" s="20"/>
      <c r="C20" s="21" t="str">
        <f t="shared" si="0"/>
        <v/>
      </c>
      <c r="D20" s="22"/>
      <c r="E20" s="21" t="str">
        <f t="shared" si="1"/>
        <v/>
      </c>
      <c r="F20" s="20"/>
      <c r="G20" s="21" t="str">
        <f t="shared" si="2"/>
        <v/>
      </c>
      <c r="H20" s="20"/>
      <c r="I20" s="21" t="str">
        <f t="shared" si="3"/>
        <v/>
      </c>
      <c r="J20" s="21" t="str">
        <f t="shared" si="4"/>
        <v/>
      </c>
      <c r="K20" s="20"/>
      <c r="L20" s="21" t="str">
        <f t="shared" si="5"/>
        <v/>
      </c>
      <c r="M20" s="20"/>
      <c r="N20" s="21" t="str">
        <f t="shared" si="6"/>
        <v/>
      </c>
      <c r="O20" s="20"/>
      <c r="P20" s="23"/>
      <c r="Q20" s="21" t="str">
        <f t="shared" si="7"/>
        <v/>
      </c>
      <c r="R20" s="20"/>
      <c r="S20" s="22"/>
      <c r="T20" s="22"/>
      <c r="U20" s="22"/>
      <c r="V20" s="24"/>
      <c r="W20" s="21" t="str">
        <f t="shared" si="8"/>
        <v/>
      </c>
      <c r="X20" s="25" t="str">
        <f t="shared" si="9"/>
        <v/>
      </c>
      <c r="Y20" s="18" t="str">
        <f t="shared" si="10"/>
        <v>_src!$B$2</v>
      </c>
      <c r="Z20" s="18" t="str">
        <f t="shared" si="11"/>
        <v>_src!$C$2</v>
      </c>
    </row>
    <row r="21" spans="1:26" x14ac:dyDescent="0.25">
      <c r="A21" s="19">
        <v>6</v>
      </c>
      <c r="B21" s="20"/>
      <c r="C21" s="21" t="str">
        <f t="shared" si="0"/>
        <v/>
      </c>
      <c r="D21" s="22"/>
      <c r="E21" s="21" t="str">
        <f t="shared" si="1"/>
        <v/>
      </c>
      <c r="F21" s="20"/>
      <c r="G21" s="21" t="str">
        <f t="shared" si="2"/>
        <v/>
      </c>
      <c r="H21" s="20"/>
      <c r="I21" s="21" t="str">
        <f t="shared" si="3"/>
        <v/>
      </c>
      <c r="J21" s="21" t="str">
        <f t="shared" si="4"/>
        <v/>
      </c>
      <c r="K21" s="20"/>
      <c r="L21" s="21" t="str">
        <f t="shared" si="5"/>
        <v/>
      </c>
      <c r="M21" s="20"/>
      <c r="N21" s="21" t="str">
        <f t="shared" si="6"/>
        <v/>
      </c>
      <c r="O21" s="20"/>
      <c r="P21" s="23"/>
      <c r="Q21" s="21" t="str">
        <f t="shared" si="7"/>
        <v/>
      </c>
      <c r="R21" s="20"/>
      <c r="S21" s="22"/>
      <c r="T21" s="22"/>
      <c r="U21" s="22"/>
      <c r="V21" s="24"/>
      <c r="W21" s="21" t="str">
        <f t="shared" si="8"/>
        <v/>
      </c>
      <c r="X21" s="25" t="str">
        <f t="shared" si="9"/>
        <v/>
      </c>
      <c r="Y21" s="18" t="str">
        <f t="shared" si="10"/>
        <v>_src!$B$2</v>
      </c>
      <c r="Z21" s="18" t="str">
        <f t="shared" si="11"/>
        <v>_src!$C$2</v>
      </c>
    </row>
    <row r="22" spans="1:26" x14ac:dyDescent="0.25">
      <c r="A22" s="19">
        <v>7</v>
      </c>
      <c r="B22" s="20"/>
      <c r="C22" s="21" t="str">
        <f t="shared" si="0"/>
        <v/>
      </c>
      <c r="D22" s="22"/>
      <c r="E22" s="21" t="str">
        <f t="shared" si="1"/>
        <v/>
      </c>
      <c r="F22" s="20"/>
      <c r="G22" s="21" t="str">
        <f t="shared" si="2"/>
        <v/>
      </c>
      <c r="H22" s="20"/>
      <c r="I22" s="21" t="str">
        <f t="shared" si="3"/>
        <v/>
      </c>
      <c r="J22" s="21" t="str">
        <f t="shared" si="4"/>
        <v/>
      </c>
      <c r="K22" s="20"/>
      <c r="L22" s="21" t="str">
        <f t="shared" si="5"/>
        <v/>
      </c>
      <c r="M22" s="20"/>
      <c r="N22" s="21" t="str">
        <f t="shared" si="6"/>
        <v/>
      </c>
      <c r="O22" s="20"/>
      <c r="P22" s="23"/>
      <c r="Q22" s="21" t="str">
        <f t="shared" si="7"/>
        <v/>
      </c>
      <c r="R22" s="20"/>
      <c r="S22" s="22"/>
      <c r="T22" s="22"/>
      <c r="U22" s="22"/>
      <c r="V22" s="24"/>
      <c r="W22" s="21" t="str">
        <f t="shared" si="8"/>
        <v/>
      </c>
      <c r="X22" s="25" t="str">
        <f t="shared" si="9"/>
        <v/>
      </c>
      <c r="Y22" s="18" t="str">
        <f t="shared" si="10"/>
        <v>_src!$B$2</v>
      </c>
      <c r="Z22" s="18" t="str">
        <f t="shared" si="11"/>
        <v>_src!$C$2</v>
      </c>
    </row>
    <row r="23" spans="1:26" x14ac:dyDescent="0.25">
      <c r="A23" s="19">
        <v>8</v>
      </c>
      <c r="B23" s="20"/>
      <c r="C23" s="21" t="str">
        <f t="shared" si="0"/>
        <v/>
      </c>
      <c r="D23" s="22"/>
      <c r="E23" s="21" t="str">
        <f t="shared" si="1"/>
        <v/>
      </c>
      <c r="F23" s="20"/>
      <c r="G23" s="21" t="str">
        <f t="shared" si="2"/>
        <v/>
      </c>
      <c r="H23" s="20"/>
      <c r="I23" s="21" t="str">
        <f t="shared" si="3"/>
        <v/>
      </c>
      <c r="J23" s="21" t="str">
        <f t="shared" si="4"/>
        <v/>
      </c>
      <c r="K23" s="20"/>
      <c r="L23" s="21" t="str">
        <f t="shared" si="5"/>
        <v/>
      </c>
      <c r="M23" s="20"/>
      <c r="N23" s="21" t="str">
        <f t="shared" si="6"/>
        <v/>
      </c>
      <c r="O23" s="20"/>
      <c r="P23" s="23"/>
      <c r="Q23" s="21" t="str">
        <f t="shared" si="7"/>
        <v/>
      </c>
      <c r="R23" s="20"/>
      <c r="S23" s="22"/>
      <c r="T23" s="22"/>
      <c r="U23" s="22"/>
      <c r="V23" s="24"/>
      <c r="W23" s="21" t="str">
        <f t="shared" si="8"/>
        <v/>
      </c>
      <c r="X23" s="25" t="str">
        <f t="shared" si="9"/>
        <v/>
      </c>
      <c r="Y23" s="18" t="str">
        <f t="shared" si="10"/>
        <v>_src!$B$2</v>
      </c>
      <c r="Z23" s="18" t="str">
        <f t="shared" si="11"/>
        <v>_src!$C$2</v>
      </c>
    </row>
    <row r="24" spans="1:26" x14ac:dyDescent="0.25">
      <c r="A24" s="19">
        <v>9</v>
      </c>
      <c r="B24" s="20"/>
      <c r="C24" s="21" t="str">
        <f t="shared" si="0"/>
        <v/>
      </c>
      <c r="D24" s="22"/>
      <c r="E24" s="21" t="str">
        <f t="shared" si="1"/>
        <v/>
      </c>
      <c r="F24" s="20"/>
      <c r="G24" s="21" t="str">
        <f t="shared" si="2"/>
        <v/>
      </c>
      <c r="H24" s="20"/>
      <c r="I24" s="21" t="str">
        <f t="shared" si="3"/>
        <v/>
      </c>
      <c r="J24" s="21" t="str">
        <f t="shared" si="4"/>
        <v/>
      </c>
      <c r="K24" s="20"/>
      <c r="L24" s="21" t="str">
        <f t="shared" si="5"/>
        <v/>
      </c>
      <c r="M24" s="20"/>
      <c r="N24" s="21" t="str">
        <f t="shared" si="6"/>
        <v/>
      </c>
      <c r="O24" s="20"/>
      <c r="P24" s="23"/>
      <c r="Q24" s="21" t="str">
        <f t="shared" si="7"/>
        <v/>
      </c>
      <c r="R24" s="20"/>
      <c r="S24" s="22"/>
      <c r="T24" s="22"/>
      <c r="U24" s="22"/>
      <c r="V24" s="24"/>
      <c r="W24" s="21" t="str">
        <f t="shared" si="8"/>
        <v/>
      </c>
      <c r="X24" s="25" t="str">
        <f t="shared" si="9"/>
        <v/>
      </c>
      <c r="Y24" s="18" t="str">
        <f t="shared" si="10"/>
        <v>_src!$B$2</v>
      </c>
      <c r="Z24" s="18" t="str">
        <f t="shared" si="11"/>
        <v>_src!$C$2</v>
      </c>
    </row>
    <row r="25" spans="1:26" x14ac:dyDescent="0.25">
      <c r="A25" s="19">
        <v>10</v>
      </c>
      <c r="B25" s="20"/>
      <c r="C25" s="21" t="str">
        <f t="shared" si="0"/>
        <v/>
      </c>
      <c r="D25" s="22"/>
      <c r="E25" s="21" t="str">
        <f t="shared" si="1"/>
        <v/>
      </c>
      <c r="F25" s="20"/>
      <c r="G25" s="21" t="str">
        <f t="shared" si="2"/>
        <v/>
      </c>
      <c r="H25" s="20"/>
      <c r="I25" s="21" t="str">
        <f t="shared" si="3"/>
        <v/>
      </c>
      <c r="J25" s="21" t="str">
        <f t="shared" si="4"/>
        <v/>
      </c>
      <c r="K25" s="20"/>
      <c r="L25" s="21" t="str">
        <f t="shared" si="5"/>
        <v/>
      </c>
      <c r="M25" s="20"/>
      <c r="N25" s="21" t="str">
        <f t="shared" si="6"/>
        <v/>
      </c>
      <c r="O25" s="20"/>
      <c r="P25" s="23"/>
      <c r="Q25" s="21" t="str">
        <f t="shared" si="7"/>
        <v/>
      </c>
      <c r="R25" s="20"/>
      <c r="S25" s="22"/>
      <c r="T25" s="22"/>
      <c r="U25" s="22"/>
      <c r="V25" s="24"/>
      <c r="W25" s="21" t="str">
        <f t="shared" si="8"/>
        <v/>
      </c>
      <c r="X25" s="25" t="str">
        <f t="shared" si="9"/>
        <v/>
      </c>
      <c r="Y25" s="18" t="str">
        <f t="shared" si="10"/>
        <v>_src!$B$2</v>
      </c>
      <c r="Z25" s="18" t="str">
        <f t="shared" si="11"/>
        <v>_src!$C$2</v>
      </c>
    </row>
    <row r="26" spans="1:26" x14ac:dyDescent="0.25">
      <c r="A26" s="19">
        <v>11</v>
      </c>
      <c r="B26" s="20"/>
      <c r="C26" s="21" t="str">
        <f t="shared" si="0"/>
        <v/>
      </c>
      <c r="D26" s="22"/>
      <c r="E26" s="21" t="str">
        <f t="shared" si="1"/>
        <v/>
      </c>
      <c r="F26" s="20"/>
      <c r="G26" s="21" t="str">
        <f t="shared" si="2"/>
        <v/>
      </c>
      <c r="H26" s="20"/>
      <c r="I26" s="21" t="str">
        <f t="shared" si="3"/>
        <v/>
      </c>
      <c r="J26" s="21" t="str">
        <f t="shared" si="4"/>
        <v/>
      </c>
      <c r="K26" s="20"/>
      <c r="L26" s="21" t="str">
        <f t="shared" si="5"/>
        <v/>
      </c>
      <c r="M26" s="20"/>
      <c r="N26" s="21" t="str">
        <f t="shared" si="6"/>
        <v/>
      </c>
      <c r="O26" s="20"/>
      <c r="P26" s="23"/>
      <c r="Q26" s="21" t="str">
        <f t="shared" si="7"/>
        <v/>
      </c>
      <c r="R26" s="20"/>
      <c r="S26" s="22"/>
      <c r="T26" s="22"/>
      <c r="U26" s="22"/>
      <c r="V26" s="24"/>
      <c r="W26" s="21" t="str">
        <f t="shared" si="8"/>
        <v/>
      </c>
      <c r="X26" s="25" t="str">
        <f t="shared" si="9"/>
        <v/>
      </c>
      <c r="Y26" s="18" t="str">
        <f t="shared" si="10"/>
        <v>_src!$B$2</v>
      </c>
      <c r="Z26" s="18" t="str">
        <f t="shared" si="11"/>
        <v>_src!$C$2</v>
      </c>
    </row>
    <row r="27" spans="1:26" x14ac:dyDescent="0.25">
      <c r="A27" s="19">
        <v>12</v>
      </c>
      <c r="B27" s="20"/>
      <c r="C27" s="21" t="str">
        <f t="shared" si="0"/>
        <v/>
      </c>
      <c r="D27" s="22"/>
      <c r="E27" s="21" t="str">
        <f t="shared" si="1"/>
        <v/>
      </c>
      <c r="F27" s="20"/>
      <c r="G27" s="21" t="str">
        <f t="shared" si="2"/>
        <v/>
      </c>
      <c r="H27" s="20"/>
      <c r="I27" s="21" t="str">
        <f t="shared" si="3"/>
        <v/>
      </c>
      <c r="J27" s="21" t="str">
        <f t="shared" si="4"/>
        <v/>
      </c>
      <c r="K27" s="20"/>
      <c r="L27" s="21" t="str">
        <f t="shared" si="5"/>
        <v/>
      </c>
      <c r="M27" s="20"/>
      <c r="N27" s="21" t="str">
        <f t="shared" si="6"/>
        <v/>
      </c>
      <c r="O27" s="20"/>
      <c r="P27" s="23"/>
      <c r="Q27" s="21" t="str">
        <f t="shared" si="7"/>
        <v/>
      </c>
      <c r="R27" s="20"/>
      <c r="S27" s="22"/>
      <c r="T27" s="22"/>
      <c r="U27" s="22"/>
      <c r="V27" s="24"/>
      <c r="W27" s="21" t="str">
        <f t="shared" si="8"/>
        <v/>
      </c>
      <c r="X27" s="25" t="str">
        <f t="shared" si="9"/>
        <v/>
      </c>
      <c r="Y27" s="18" t="str">
        <f t="shared" si="10"/>
        <v>_src!$B$2</v>
      </c>
      <c r="Z27" s="18" t="str">
        <f t="shared" si="11"/>
        <v>_src!$C$2</v>
      </c>
    </row>
    <row r="28" spans="1:26" x14ac:dyDescent="0.25">
      <c r="A28" s="19">
        <v>13</v>
      </c>
      <c r="B28" s="20"/>
      <c r="C28" s="21" t="str">
        <f t="shared" si="0"/>
        <v/>
      </c>
      <c r="D28" s="22"/>
      <c r="E28" s="21" t="str">
        <f t="shared" si="1"/>
        <v/>
      </c>
      <c r="F28" s="20"/>
      <c r="G28" s="21" t="str">
        <f t="shared" si="2"/>
        <v/>
      </c>
      <c r="H28" s="20"/>
      <c r="I28" s="21" t="str">
        <f t="shared" si="3"/>
        <v/>
      </c>
      <c r="J28" s="21" t="str">
        <f t="shared" si="4"/>
        <v/>
      </c>
      <c r="K28" s="20"/>
      <c r="L28" s="21" t="str">
        <f t="shared" si="5"/>
        <v/>
      </c>
      <c r="M28" s="20"/>
      <c r="N28" s="21" t="str">
        <f t="shared" si="6"/>
        <v/>
      </c>
      <c r="O28" s="20"/>
      <c r="P28" s="23"/>
      <c r="Q28" s="21" t="str">
        <f t="shared" si="7"/>
        <v/>
      </c>
      <c r="R28" s="20"/>
      <c r="S28" s="22"/>
      <c r="T28" s="22"/>
      <c r="U28" s="22"/>
      <c r="V28" s="24"/>
      <c r="W28" s="21" t="str">
        <f t="shared" si="8"/>
        <v/>
      </c>
      <c r="X28" s="25" t="str">
        <f t="shared" si="9"/>
        <v/>
      </c>
      <c r="Y28" s="18" t="str">
        <f t="shared" si="10"/>
        <v>_src!$B$2</v>
      </c>
      <c r="Z28" s="18" t="str">
        <f t="shared" si="11"/>
        <v>_src!$C$2</v>
      </c>
    </row>
    <row r="29" spans="1:26" x14ac:dyDescent="0.25">
      <c r="A29" s="19">
        <v>14</v>
      </c>
      <c r="B29" s="20"/>
      <c r="C29" s="21" t="str">
        <f t="shared" si="0"/>
        <v/>
      </c>
      <c r="D29" s="22"/>
      <c r="E29" s="21" t="str">
        <f t="shared" si="1"/>
        <v/>
      </c>
      <c r="F29" s="20"/>
      <c r="G29" s="21" t="str">
        <f t="shared" si="2"/>
        <v/>
      </c>
      <c r="H29" s="20"/>
      <c r="I29" s="21" t="str">
        <f t="shared" si="3"/>
        <v/>
      </c>
      <c r="J29" s="21" t="str">
        <f t="shared" si="4"/>
        <v/>
      </c>
      <c r="K29" s="20"/>
      <c r="L29" s="21" t="str">
        <f t="shared" si="5"/>
        <v/>
      </c>
      <c r="M29" s="20"/>
      <c r="N29" s="21" t="str">
        <f t="shared" si="6"/>
        <v/>
      </c>
      <c r="O29" s="20"/>
      <c r="P29" s="23"/>
      <c r="Q29" s="21" t="str">
        <f t="shared" si="7"/>
        <v/>
      </c>
      <c r="R29" s="20"/>
      <c r="S29" s="22"/>
      <c r="T29" s="22"/>
      <c r="U29" s="22"/>
      <c r="V29" s="24"/>
      <c r="W29" s="21" t="str">
        <f t="shared" si="8"/>
        <v/>
      </c>
      <c r="X29" s="25" t="str">
        <f t="shared" si="9"/>
        <v/>
      </c>
      <c r="Y29" s="18" t="str">
        <f t="shared" si="10"/>
        <v>_src!$B$2</v>
      </c>
      <c r="Z29" s="18" t="str">
        <f t="shared" si="11"/>
        <v>_src!$C$2</v>
      </c>
    </row>
    <row r="30" spans="1:26" x14ac:dyDescent="0.25">
      <c r="A30" s="19">
        <v>15</v>
      </c>
      <c r="B30" s="20"/>
      <c r="C30" s="21" t="str">
        <f t="shared" si="0"/>
        <v/>
      </c>
      <c r="D30" s="22"/>
      <c r="E30" s="21" t="str">
        <f t="shared" si="1"/>
        <v/>
      </c>
      <c r="F30" s="20"/>
      <c r="G30" s="21" t="str">
        <f t="shared" si="2"/>
        <v/>
      </c>
      <c r="H30" s="20"/>
      <c r="I30" s="21" t="str">
        <f t="shared" si="3"/>
        <v/>
      </c>
      <c r="J30" s="21" t="str">
        <f t="shared" si="4"/>
        <v/>
      </c>
      <c r="K30" s="20"/>
      <c r="L30" s="21" t="str">
        <f t="shared" si="5"/>
        <v/>
      </c>
      <c r="M30" s="20"/>
      <c r="N30" s="21" t="str">
        <f t="shared" si="6"/>
        <v/>
      </c>
      <c r="O30" s="20"/>
      <c r="P30" s="23"/>
      <c r="Q30" s="21" t="str">
        <f t="shared" si="7"/>
        <v/>
      </c>
      <c r="R30" s="20"/>
      <c r="S30" s="22"/>
      <c r="T30" s="22"/>
      <c r="U30" s="22"/>
      <c r="V30" s="24"/>
      <c r="W30" s="21" t="str">
        <f t="shared" si="8"/>
        <v/>
      </c>
      <c r="X30" s="25" t="str">
        <f t="shared" si="9"/>
        <v/>
      </c>
      <c r="Y30" s="18" t="str">
        <f t="shared" si="10"/>
        <v>_src!$B$2</v>
      </c>
      <c r="Z30" s="18" t="str">
        <f t="shared" si="11"/>
        <v>_src!$C$2</v>
      </c>
    </row>
    <row r="33" spans="1:24" ht="21.95" customHeight="1" x14ac:dyDescent="0.25">
      <c r="A33" s="38" t="s">
        <v>749</v>
      </c>
      <c r="B33" s="39"/>
      <c r="C33" s="39"/>
      <c r="D33" s="39"/>
      <c r="E33" s="39"/>
      <c r="F33" s="39"/>
      <c r="G33" s="39"/>
      <c r="H33" s="39"/>
      <c r="I33" s="39"/>
      <c r="J33" s="39"/>
      <c r="K33" s="39"/>
      <c r="L33" s="39"/>
      <c r="M33" s="39"/>
      <c r="N33" s="39"/>
      <c r="O33" s="39"/>
      <c r="P33" s="39"/>
      <c r="Q33" s="39"/>
      <c r="R33" s="39"/>
      <c r="S33" s="39"/>
      <c r="T33" s="39"/>
      <c r="U33" s="39"/>
      <c r="V33" s="39"/>
      <c r="W33" s="39"/>
      <c r="X33" s="39"/>
    </row>
    <row r="34" spans="1:24" ht="15.95" customHeight="1" x14ac:dyDescent="0.25">
      <c r="A34" s="40" t="s">
        <v>721</v>
      </c>
      <c r="B34" s="31"/>
      <c r="C34" s="31"/>
      <c r="D34" s="31"/>
      <c r="E34" s="31"/>
      <c r="F34" s="31"/>
      <c r="G34" s="31"/>
      <c r="H34" s="31"/>
      <c r="I34" s="31"/>
      <c r="J34" s="31"/>
      <c r="K34" s="31"/>
      <c r="L34" s="31"/>
      <c r="M34" s="31"/>
      <c r="N34" s="31"/>
      <c r="O34" s="31"/>
      <c r="P34" s="31"/>
      <c r="Q34" s="31"/>
      <c r="R34" s="31"/>
      <c r="S34" s="31"/>
      <c r="T34" s="31"/>
      <c r="U34" s="31"/>
      <c r="V34" s="31"/>
      <c r="W34" s="31"/>
      <c r="X34" s="31"/>
    </row>
    <row r="36" spans="1:24" ht="18" customHeight="1" x14ac:dyDescent="0.25">
      <c r="A36" s="36" t="s">
        <v>724</v>
      </c>
      <c r="B36" s="31"/>
      <c r="C36" s="31"/>
      <c r="D36" s="31"/>
      <c r="E36" s="31"/>
      <c r="F36" s="31"/>
      <c r="G36" s="31"/>
      <c r="H36" s="31"/>
      <c r="I36" s="31"/>
      <c r="J36" s="31"/>
      <c r="K36" s="31"/>
      <c r="L36" s="31"/>
      <c r="M36" s="31"/>
      <c r="N36" s="31"/>
      <c r="O36" s="31"/>
      <c r="P36" s="31"/>
      <c r="Q36" s="31"/>
      <c r="R36" s="31"/>
      <c r="S36" s="31"/>
      <c r="T36" s="31"/>
      <c r="U36" s="31"/>
      <c r="V36" s="31"/>
      <c r="W36" s="31"/>
      <c r="X36" s="31"/>
    </row>
    <row r="37" spans="1:24" ht="21" customHeight="1" x14ac:dyDescent="0.25">
      <c r="A37" s="37" t="s">
        <v>750</v>
      </c>
      <c r="B37" s="31"/>
      <c r="C37" s="31"/>
      <c r="D37" s="31"/>
      <c r="E37" s="31"/>
      <c r="F37" s="31"/>
      <c r="G37" s="31"/>
      <c r="H37" s="31"/>
      <c r="I37" s="31"/>
      <c r="J37" s="31"/>
      <c r="K37" s="31"/>
      <c r="L37" s="31"/>
      <c r="M37" s="31"/>
      <c r="N37" s="31"/>
      <c r="O37" s="31"/>
      <c r="P37" s="31"/>
      <c r="Q37" s="31"/>
      <c r="R37" s="31"/>
      <c r="S37" s="31"/>
      <c r="T37" s="31"/>
      <c r="U37" s="31"/>
      <c r="V37" s="31"/>
      <c r="W37" s="31"/>
      <c r="X37" s="31"/>
    </row>
    <row r="38" spans="1:24" ht="6" customHeight="1" x14ac:dyDescent="0.25"/>
    <row r="39" spans="1:24" ht="18" customHeight="1" x14ac:dyDescent="0.25">
      <c r="A39" s="36" t="s">
        <v>751</v>
      </c>
      <c r="B39" s="31"/>
      <c r="C39" s="31"/>
      <c r="D39" s="31"/>
      <c r="E39" s="31"/>
      <c r="F39" s="31"/>
      <c r="G39" s="31"/>
      <c r="H39" s="31"/>
      <c r="I39" s="31"/>
      <c r="J39" s="31"/>
      <c r="K39" s="31"/>
      <c r="L39" s="31"/>
      <c r="M39" s="31"/>
      <c r="N39" s="31"/>
      <c r="O39" s="31"/>
      <c r="P39" s="31"/>
      <c r="Q39" s="31"/>
      <c r="R39" s="31"/>
      <c r="S39" s="31"/>
      <c r="T39" s="31"/>
      <c r="U39" s="31"/>
      <c r="V39" s="31"/>
      <c r="W39" s="31"/>
      <c r="X39" s="31"/>
    </row>
    <row r="40" spans="1:24" ht="21" customHeight="1" x14ac:dyDescent="0.25">
      <c r="A40" s="37" t="s">
        <v>752</v>
      </c>
      <c r="B40" s="31"/>
      <c r="C40" s="31"/>
      <c r="D40" s="31"/>
      <c r="E40" s="31"/>
      <c r="F40" s="31"/>
      <c r="G40" s="31"/>
      <c r="H40" s="31"/>
      <c r="I40" s="31"/>
      <c r="J40" s="31"/>
      <c r="K40" s="31"/>
      <c r="L40" s="31"/>
      <c r="M40" s="31"/>
      <c r="N40" s="31"/>
      <c r="O40" s="31"/>
      <c r="P40" s="31"/>
      <c r="Q40" s="31"/>
      <c r="R40" s="31"/>
      <c r="S40" s="31"/>
      <c r="T40" s="31"/>
      <c r="U40" s="31"/>
      <c r="V40" s="31"/>
      <c r="W40" s="31"/>
      <c r="X40" s="31"/>
    </row>
    <row r="41" spans="1:24" ht="6" customHeight="1" x14ac:dyDescent="0.25"/>
    <row r="42" spans="1:24" ht="18" customHeight="1" x14ac:dyDescent="0.25">
      <c r="A42" s="36" t="s">
        <v>207</v>
      </c>
      <c r="B42" s="31"/>
      <c r="C42" s="31"/>
      <c r="D42" s="31"/>
      <c r="E42" s="31"/>
      <c r="F42" s="31"/>
      <c r="G42" s="31"/>
      <c r="H42" s="31"/>
      <c r="I42" s="31"/>
      <c r="J42" s="31"/>
      <c r="K42" s="31"/>
      <c r="L42" s="31"/>
      <c r="M42" s="31"/>
      <c r="N42" s="31"/>
      <c r="O42" s="31"/>
      <c r="P42" s="31"/>
      <c r="Q42" s="31"/>
      <c r="R42" s="31"/>
      <c r="S42" s="31"/>
      <c r="T42" s="31"/>
      <c r="U42" s="31"/>
      <c r="V42" s="31"/>
      <c r="W42" s="31"/>
      <c r="X42" s="31"/>
    </row>
    <row r="43" spans="1:24" ht="21" customHeight="1" x14ac:dyDescent="0.25">
      <c r="A43" s="37" t="s">
        <v>753</v>
      </c>
      <c r="B43" s="31"/>
      <c r="C43" s="31"/>
      <c r="D43" s="31"/>
      <c r="E43" s="31"/>
      <c r="F43" s="31"/>
      <c r="G43" s="31"/>
      <c r="H43" s="31"/>
      <c r="I43" s="31"/>
      <c r="J43" s="31"/>
      <c r="K43" s="31"/>
      <c r="L43" s="31"/>
      <c r="M43" s="31"/>
      <c r="N43" s="31"/>
      <c r="O43" s="31"/>
      <c r="P43" s="31"/>
      <c r="Q43" s="31"/>
      <c r="R43" s="31"/>
      <c r="S43" s="31"/>
      <c r="T43" s="31"/>
      <c r="U43" s="31"/>
      <c r="V43" s="31"/>
      <c r="W43" s="31"/>
      <c r="X43" s="31"/>
    </row>
    <row r="44" spans="1:24" ht="6" customHeight="1" x14ac:dyDescent="0.25"/>
    <row r="45" spans="1:24" ht="18" customHeight="1" x14ac:dyDescent="0.25">
      <c r="A45" s="36" t="s">
        <v>754</v>
      </c>
      <c r="B45" s="31"/>
      <c r="C45" s="31"/>
      <c r="D45" s="31"/>
      <c r="E45" s="31"/>
      <c r="F45" s="31"/>
      <c r="G45" s="31"/>
      <c r="H45" s="31"/>
      <c r="I45" s="31"/>
      <c r="J45" s="31"/>
      <c r="K45" s="31"/>
      <c r="L45" s="31"/>
      <c r="M45" s="31"/>
      <c r="N45" s="31"/>
      <c r="O45" s="31"/>
      <c r="P45" s="31"/>
      <c r="Q45" s="31"/>
      <c r="R45" s="31"/>
      <c r="S45" s="31"/>
      <c r="T45" s="31"/>
      <c r="U45" s="31"/>
      <c r="V45" s="31"/>
      <c r="W45" s="31"/>
      <c r="X45" s="31"/>
    </row>
    <row r="46" spans="1:24" ht="21" customHeight="1" x14ac:dyDescent="0.25">
      <c r="A46" s="37" t="s">
        <v>755</v>
      </c>
      <c r="B46" s="31"/>
      <c r="C46" s="31"/>
      <c r="D46" s="31"/>
      <c r="E46" s="31"/>
      <c r="F46" s="31"/>
      <c r="G46" s="31"/>
      <c r="H46" s="31"/>
      <c r="I46" s="31"/>
      <c r="J46" s="31"/>
      <c r="K46" s="31"/>
      <c r="L46" s="31"/>
      <c r="M46" s="31"/>
      <c r="N46" s="31"/>
      <c r="O46" s="31"/>
      <c r="P46" s="31"/>
      <c r="Q46" s="31"/>
      <c r="R46" s="31"/>
      <c r="S46" s="31"/>
      <c r="T46" s="31"/>
      <c r="U46" s="31"/>
      <c r="V46" s="31"/>
      <c r="W46" s="31"/>
      <c r="X46" s="31"/>
    </row>
    <row r="47" spans="1:24" ht="6" customHeight="1" x14ac:dyDescent="0.25"/>
    <row r="48" spans="1:24" ht="18" customHeight="1" x14ac:dyDescent="0.25">
      <c r="A48" s="36" t="s">
        <v>728</v>
      </c>
      <c r="B48" s="31"/>
      <c r="C48" s="31"/>
      <c r="D48" s="31"/>
      <c r="E48" s="31"/>
      <c r="F48" s="31"/>
      <c r="G48" s="31"/>
      <c r="H48" s="31"/>
      <c r="I48" s="31"/>
      <c r="J48" s="31"/>
      <c r="K48" s="31"/>
      <c r="L48" s="31"/>
      <c r="M48" s="31"/>
      <c r="N48" s="31"/>
      <c r="O48" s="31"/>
      <c r="P48" s="31"/>
      <c r="Q48" s="31"/>
      <c r="R48" s="31"/>
      <c r="S48" s="31"/>
      <c r="T48" s="31"/>
      <c r="U48" s="31"/>
      <c r="V48" s="31"/>
      <c r="W48" s="31"/>
      <c r="X48" s="31"/>
    </row>
    <row r="49" spans="1:24" ht="51" customHeight="1" x14ac:dyDescent="0.25">
      <c r="A49" s="37" t="s">
        <v>729</v>
      </c>
      <c r="B49" s="31"/>
      <c r="C49" s="31"/>
      <c r="D49" s="31"/>
      <c r="E49" s="31"/>
      <c r="F49" s="31"/>
      <c r="G49" s="31"/>
      <c r="H49" s="31"/>
      <c r="I49" s="31"/>
      <c r="J49" s="31"/>
      <c r="K49" s="31"/>
      <c r="L49" s="31"/>
      <c r="M49" s="31"/>
      <c r="N49" s="31"/>
      <c r="O49" s="31"/>
      <c r="P49" s="31"/>
      <c r="Q49" s="31"/>
      <c r="R49" s="31"/>
      <c r="S49" s="31"/>
      <c r="T49" s="31"/>
      <c r="U49" s="31"/>
      <c r="V49" s="31"/>
      <c r="W49" s="31"/>
      <c r="X49" s="31"/>
    </row>
    <row r="50" spans="1:24" ht="6" customHeight="1" x14ac:dyDescent="0.25"/>
    <row r="53" spans="1:24" ht="21.95" customHeight="1" x14ac:dyDescent="0.25">
      <c r="A53" s="38" t="s">
        <v>730</v>
      </c>
      <c r="B53" s="39"/>
      <c r="C53" s="39"/>
      <c r="D53" s="39"/>
      <c r="E53" s="39"/>
      <c r="F53" s="39"/>
      <c r="G53" s="39"/>
      <c r="H53" s="39"/>
      <c r="I53" s="39"/>
      <c r="J53" s="39"/>
      <c r="K53" s="39"/>
      <c r="L53" s="39"/>
      <c r="M53" s="39"/>
      <c r="N53" s="39"/>
      <c r="O53" s="39"/>
      <c r="P53" s="39"/>
      <c r="Q53" s="39"/>
      <c r="R53" s="39"/>
      <c r="S53" s="39"/>
      <c r="T53" s="39"/>
      <c r="U53" s="39"/>
      <c r="V53" s="39"/>
      <c r="W53" s="39"/>
      <c r="X53" s="39"/>
    </row>
    <row r="55" spans="1:24" ht="18" customHeight="1" x14ac:dyDescent="0.25">
      <c r="A55" s="36" t="s">
        <v>70</v>
      </c>
      <c r="B55" s="31"/>
      <c r="C55" s="31"/>
      <c r="D55" s="31"/>
      <c r="E55" s="31"/>
      <c r="F55" s="31"/>
      <c r="G55" s="31"/>
      <c r="H55" s="31"/>
      <c r="I55" s="31"/>
      <c r="J55" s="31"/>
      <c r="K55" s="31"/>
      <c r="L55" s="31"/>
      <c r="M55" s="31"/>
      <c r="N55" s="31"/>
      <c r="O55" s="31"/>
      <c r="P55" s="31"/>
      <c r="Q55" s="31"/>
      <c r="R55" s="31"/>
      <c r="S55" s="31"/>
      <c r="T55" s="31"/>
      <c r="U55" s="31"/>
      <c r="V55" s="31"/>
      <c r="W55" s="31"/>
      <c r="X55" s="31"/>
    </row>
    <row r="56" spans="1:24" ht="21" customHeight="1" x14ac:dyDescent="0.25">
      <c r="A56" s="37" t="s">
        <v>731</v>
      </c>
      <c r="B56" s="31"/>
      <c r="C56" s="31"/>
      <c r="D56" s="31"/>
      <c r="E56" s="31"/>
      <c r="F56" s="31"/>
      <c r="G56" s="31"/>
      <c r="H56" s="31"/>
      <c r="I56" s="31"/>
      <c r="J56" s="31"/>
      <c r="K56" s="31"/>
      <c r="L56" s="31"/>
      <c r="M56" s="31"/>
      <c r="N56" s="31"/>
      <c r="O56" s="31"/>
      <c r="P56" s="31"/>
      <c r="Q56" s="31"/>
      <c r="R56" s="31"/>
      <c r="S56" s="31"/>
      <c r="T56" s="31"/>
      <c r="U56" s="31"/>
      <c r="V56" s="31"/>
      <c r="W56" s="31"/>
      <c r="X56" s="31"/>
    </row>
    <row r="57" spans="1:24" ht="6" customHeight="1" x14ac:dyDescent="0.25"/>
    <row r="58" spans="1:24" ht="18" customHeight="1" x14ac:dyDescent="0.25">
      <c r="A58" s="36" t="s">
        <v>84</v>
      </c>
      <c r="B58" s="31"/>
      <c r="C58" s="31"/>
      <c r="D58" s="31"/>
      <c r="E58" s="31"/>
      <c r="F58" s="31"/>
      <c r="G58" s="31"/>
      <c r="H58" s="31"/>
      <c r="I58" s="31"/>
      <c r="J58" s="31"/>
      <c r="K58" s="31"/>
      <c r="L58" s="31"/>
      <c r="M58" s="31"/>
      <c r="N58" s="31"/>
      <c r="O58" s="31"/>
      <c r="P58" s="31"/>
      <c r="Q58" s="31"/>
      <c r="R58" s="31"/>
      <c r="S58" s="31"/>
      <c r="T58" s="31"/>
      <c r="U58" s="31"/>
      <c r="V58" s="31"/>
      <c r="W58" s="31"/>
      <c r="X58" s="31"/>
    </row>
    <row r="59" spans="1:24" ht="36" customHeight="1" x14ac:dyDescent="0.25">
      <c r="A59" s="37" t="s">
        <v>732</v>
      </c>
      <c r="B59" s="31"/>
      <c r="C59" s="31"/>
      <c r="D59" s="31"/>
      <c r="E59" s="31"/>
      <c r="F59" s="31"/>
      <c r="G59" s="31"/>
      <c r="H59" s="31"/>
      <c r="I59" s="31"/>
      <c r="J59" s="31"/>
      <c r="K59" s="31"/>
      <c r="L59" s="31"/>
      <c r="M59" s="31"/>
      <c r="N59" s="31"/>
      <c r="O59" s="31"/>
      <c r="P59" s="31"/>
      <c r="Q59" s="31"/>
      <c r="R59" s="31"/>
      <c r="S59" s="31"/>
      <c r="T59" s="31"/>
      <c r="U59" s="31"/>
      <c r="V59" s="31"/>
      <c r="W59" s="31"/>
      <c r="X59" s="31"/>
    </row>
    <row r="60" spans="1:24" ht="6" customHeight="1" x14ac:dyDescent="0.25"/>
    <row r="61" spans="1:24" ht="18" customHeight="1" x14ac:dyDescent="0.25">
      <c r="A61" s="36" t="s">
        <v>684</v>
      </c>
      <c r="B61" s="31"/>
      <c r="C61" s="31"/>
      <c r="D61" s="31"/>
      <c r="E61" s="31"/>
      <c r="F61" s="31"/>
      <c r="G61" s="31"/>
      <c r="H61" s="31"/>
      <c r="I61" s="31"/>
      <c r="J61" s="31"/>
      <c r="K61" s="31"/>
      <c r="L61" s="31"/>
      <c r="M61" s="31"/>
      <c r="N61" s="31"/>
      <c r="O61" s="31"/>
      <c r="P61" s="31"/>
      <c r="Q61" s="31"/>
      <c r="R61" s="31"/>
      <c r="S61" s="31"/>
      <c r="T61" s="31"/>
      <c r="U61" s="31"/>
      <c r="V61" s="31"/>
      <c r="W61" s="31"/>
      <c r="X61" s="31"/>
    </row>
    <row r="62" spans="1:24" ht="21" customHeight="1" x14ac:dyDescent="0.25">
      <c r="A62" s="37" t="s">
        <v>733</v>
      </c>
      <c r="B62" s="31"/>
      <c r="C62" s="31"/>
      <c r="D62" s="31"/>
      <c r="E62" s="31"/>
      <c r="F62" s="31"/>
      <c r="G62" s="31"/>
      <c r="H62" s="31"/>
      <c r="I62" s="31"/>
      <c r="J62" s="31"/>
      <c r="K62" s="31"/>
      <c r="L62" s="31"/>
      <c r="M62" s="31"/>
      <c r="N62" s="31"/>
      <c r="O62" s="31"/>
      <c r="P62" s="31"/>
      <c r="Q62" s="31"/>
      <c r="R62" s="31"/>
      <c r="S62" s="31"/>
      <c r="T62" s="31"/>
      <c r="U62" s="31"/>
      <c r="V62" s="31"/>
      <c r="W62" s="31"/>
      <c r="X62" s="31"/>
    </row>
    <row r="63" spans="1:24" ht="6" customHeight="1" x14ac:dyDescent="0.25"/>
    <row r="64" spans="1:24" ht="18" customHeight="1" x14ac:dyDescent="0.25">
      <c r="A64" s="36" t="s">
        <v>686</v>
      </c>
      <c r="B64" s="31"/>
      <c r="C64" s="31"/>
      <c r="D64" s="31"/>
      <c r="E64" s="31"/>
      <c r="F64" s="31"/>
      <c r="G64" s="31"/>
      <c r="H64" s="31"/>
      <c r="I64" s="31"/>
      <c r="J64" s="31"/>
      <c r="K64" s="31"/>
      <c r="L64" s="31"/>
      <c r="M64" s="31"/>
      <c r="N64" s="31"/>
      <c r="O64" s="31"/>
      <c r="P64" s="31"/>
      <c r="Q64" s="31"/>
      <c r="R64" s="31"/>
      <c r="S64" s="31"/>
      <c r="T64" s="31"/>
      <c r="U64" s="31"/>
      <c r="V64" s="31"/>
      <c r="W64" s="31"/>
      <c r="X64" s="31"/>
    </row>
    <row r="65" spans="1:24" ht="21" customHeight="1" x14ac:dyDescent="0.25">
      <c r="A65" s="37" t="s">
        <v>756</v>
      </c>
      <c r="B65" s="31"/>
      <c r="C65" s="31"/>
      <c r="D65" s="31"/>
      <c r="E65" s="31"/>
      <c r="F65" s="31"/>
      <c r="G65" s="31"/>
      <c r="H65" s="31"/>
      <c r="I65" s="31"/>
      <c r="J65" s="31"/>
      <c r="K65" s="31"/>
      <c r="L65" s="31"/>
      <c r="M65" s="31"/>
      <c r="N65" s="31"/>
      <c r="O65" s="31"/>
      <c r="P65" s="31"/>
      <c r="Q65" s="31"/>
      <c r="R65" s="31"/>
      <c r="S65" s="31"/>
      <c r="T65" s="31"/>
      <c r="U65" s="31"/>
      <c r="V65" s="31"/>
      <c r="W65" s="31"/>
      <c r="X65" s="31"/>
    </row>
    <row r="66" spans="1:24" ht="6" customHeight="1" x14ac:dyDescent="0.25"/>
    <row r="67" spans="1:24" ht="18" customHeight="1" x14ac:dyDescent="0.25">
      <c r="A67" s="36" t="s">
        <v>689</v>
      </c>
      <c r="B67" s="31"/>
      <c r="C67" s="31"/>
      <c r="D67" s="31"/>
      <c r="E67" s="31"/>
      <c r="F67" s="31"/>
      <c r="G67" s="31"/>
      <c r="H67" s="31"/>
      <c r="I67" s="31"/>
      <c r="J67" s="31"/>
      <c r="K67" s="31"/>
      <c r="L67" s="31"/>
      <c r="M67" s="31"/>
      <c r="N67" s="31"/>
      <c r="O67" s="31"/>
      <c r="P67" s="31"/>
      <c r="Q67" s="31"/>
      <c r="R67" s="31"/>
      <c r="S67" s="31"/>
      <c r="T67" s="31"/>
      <c r="U67" s="31"/>
      <c r="V67" s="31"/>
      <c r="W67" s="31"/>
      <c r="X67" s="31"/>
    </row>
    <row r="68" spans="1:24" ht="21" customHeight="1" x14ac:dyDescent="0.25">
      <c r="A68" s="37" t="s">
        <v>735</v>
      </c>
      <c r="B68" s="31"/>
      <c r="C68" s="31"/>
      <c r="D68" s="31"/>
      <c r="E68" s="31"/>
      <c r="F68" s="31"/>
      <c r="G68" s="31"/>
      <c r="H68" s="31"/>
      <c r="I68" s="31"/>
      <c r="J68" s="31"/>
      <c r="K68" s="31"/>
      <c r="L68" s="31"/>
      <c r="M68" s="31"/>
      <c r="N68" s="31"/>
      <c r="O68" s="31"/>
      <c r="P68" s="31"/>
      <c r="Q68" s="31"/>
      <c r="R68" s="31"/>
      <c r="S68" s="31"/>
      <c r="T68" s="31"/>
      <c r="U68" s="31"/>
      <c r="V68" s="31"/>
      <c r="W68" s="31"/>
      <c r="X68" s="31"/>
    </row>
    <row r="69" spans="1:24" ht="6" customHeight="1" x14ac:dyDescent="0.25"/>
    <row r="70" spans="1:24" ht="18" customHeight="1" x14ac:dyDescent="0.25">
      <c r="A70" s="36" t="s">
        <v>72</v>
      </c>
      <c r="B70" s="31"/>
      <c r="C70" s="31"/>
      <c r="D70" s="31"/>
      <c r="E70" s="31"/>
      <c r="F70" s="31"/>
      <c r="G70" s="31"/>
      <c r="H70" s="31"/>
      <c r="I70" s="31"/>
      <c r="J70" s="31"/>
      <c r="K70" s="31"/>
      <c r="L70" s="31"/>
      <c r="M70" s="31"/>
      <c r="N70" s="31"/>
      <c r="O70" s="31"/>
      <c r="P70" s="31"/>
      <c r="Q70" s="31"/>
      <c r="R70" s="31"/>
      <c r="S70" s="31"/>
      <c r="T70" s="31"/>
      <c r="U70" s="31"/>
      <c r="V70" s="31"/>
      <c r="W70" s="31"/>
      <c r="X70" s="31"/>
    </row>
    <row r="71" spans="1:24" ht="21" customHeight="1" x14ac:dyDescent="0.25">
      <c r="A71" s="37" t="s">
        <v>736</v>
      </c>
      <c r="B71" s="31"/>
      <c r="C71" s="31"/>
      <c r="D71" s="31"/>
      <c r="E71" s="31"/>
      <c r="F71" s="31"/>
      <c r="G71" s="31"/>
      <c r="H71" s="31"/>
      <c r="I71" s="31"/>
      <c r="J71" s="31"/>
      <c r="K71" s="31"/>
      <c r="L71" s="31"/>
      <c r="M71" s="31"/>
      <c r="N71" s="31"/>
      <c r="O71" s="31"/>
      <c r="P71" s="31"/>
      <c r="Q71" s="31"/>
      <c r="R71" s="31"/>
      <c r="S71" s="31"/>
      <c r="T71" s="31"/>
      <c r="U71" s="31"/>
      <c r="V71" s="31"/>
      <c r="W71" s="31"/>
      <c r="X71" s="31"/>
    </row>
    <row r="72" spans="1:24" ht="6" customHeight="1" x14ac:dyDescent="0.25"/>
    <row r="73" spans="1:24" ht="18" customHeight="1" x14ac:dyDescent="0.25">
      <c r="A73" s="36" t="s">
        <v>692</v>
      </c>
      <c r="B73" s="31"/>
      <c r="C73" s="31"/>
      <c r="D73" s="31"/>
      <c r="E73" s="31"/>
      <c r="F73" s="31"/>
      <c r="G73" s="31"/>
      <c r="H73" s="31"/>
      <c r="I73" s="31"/>
      <c r="J73" s="31"/>
      <c r="K73" s="31"/>
      <c r="L73" s="31"/>
      <c r="M73" s="31"/>
      <c r="N73" s="31"/>
      <c r="O73" s="31"/>
      <c r="P73" s="31"/>
      <c r="Q73" s="31"/>
      <c r="R73" s="31"/>
      <c r="S73" s="31"/>
      <c r="T73" s="31"/>
      <c r="U73" s="31"/>
      <c r="V73" s="31"/>
      <c r="W73" s="31"/>
      <c r="X73" s="31"/>
    </row>
    <row r="74" spans="1:24" ht="21" customHeight="1" x14ac:dyDescent="0.25">
      <c r="A74" s="37" t="s">
        <v>737</v>
      </c>
      <c r="B74" s="31"/>
      <c r="C74" s="31"/>
      <c r="D74" s="31"/>
      <c r="E74" s="31"/>
      <c r="F74" s="31"/>
      <c r="G74" s="31"/>
      <c r="H74" s="31"/>
      <c r="I74" s="31"/>
      <c r="J74" s="31"/>
      <c r="K74" s="31"/>
      <c r="L74" s="31"/>
      <c r="M74" s="31"/>
      <c r="N74" s="31"/>
      <c r="O74" s="31"/>
      <c r="P74" s="31"/>
      <c r="Q74" s="31"/>
      <c r="R74" s="31"/>
      <c r="S74" s="31"/>
      <c r="T74" s="31"/>
      <c r="U74" s="31"/>
      <c r="V74" s="31"/>
      <c r="W74" s="31"/>
      <c r="X74" s="31"/>
    </row>
    <row r="75" spans="1:24" ht="6" customHeight="1" x14ac:dyDescent="0.25"/>
    <row r="76" spans="1:24" ht="18" customHeight="1" x14ac:dyDescent="0.25">
      <c r="A76" s="36" t="s">
        <v>693</v>
      </c>
      <c r="B76" s="31"/>
      <c r="C76" s="31"/>
      <c r="D76" s="31"/>
      <c r="E76" s="31"/>
      <c r="F76" s="31"/>
      <c r="G76" s="31"/>
      <c r="H76" s="31"/>
      <c r="I76" s="31"/>
      <c r="J76" s="31"/>
      <c r="K76" s="31"/>
      <c r="L76" s="31"/>
      <c r="M76" s="31"/>
      <c r="N76" s="31"/>
      <c r="O76" s="31"/>
      <c r="P76" s="31"/>
      <c r="Q76" s="31"/>
      <c r="R76" s="31"/>
      <c r="S76" s="31"/>
      <c r="T76" s="31"/>
      <c r="U76" s="31"/>
      <c r="V76" s="31"/>
      <c r="W76" s="31"/>
      <c r="X76" s="31"/>
    </row>
    <row r="77" spans="1:24" ht="21" customHeight="1" x14ac:dyDescent="0.25">
      <c r="A77" s="37" t="s">
        <v>738</v>
      </c>
      <c r="B77" s="31"/>
      <c r="C77" s="31"/>
      <c r="D77" s="31"/>
      <c r="E77" s="31"/>
      <c r="F77" s="31"/>
      <c r="G77" s="31"/>
      <c r="H77" s="31"/>
      <c r="I77" s="31"/>
      <c r="J77" s="31"/>
      <c r="K77" s="31"/>
      <c r="L77" s="31"/>
      <c r="M77" s="31"/>
      <c r="N77" s="31"/>
      <c r="O77" s="31"/>
      <c r="P77" s="31"/>
      <c r="Q77" s="31"/>
      <c r="R77" s="31"/>
      <c r="S77" s="31"/>
      <c r="T77" s="31"/>
      <c r="U77" s="31"/>
      <c r="V77" s="31"/>
      <c r="W77" s="31"/>
      <c r="X77" s="31"/>
    </row>
    <row r="78" spans="1:24" ht="6" customHeight="1" x14ac:dyDescent="0.25"/>
    <row r="79" spans="1:24" ht="18" customHeight="1" x14ac:dyDescent="0.25">
      <c r="A79" s="36" t="s">
        <v>695</v>
      </c>
      <c r="B79" s="31"/>
      <c r="C79" s="31"/>
      <c r="D79" s="31"/>
      <c r="E79" s="31"/>
      <c r="F79" s="31"/>
      <c r="G79" s="31"/>
      <c r="H79" s="31"/>
      <c r="I79" s="31"/>
      <c r="J79" s="31"/>
      <c r="K79" s="31"/>
      <c r="L79" s="31"/>
      <c r="M79" s="31"/>
      <c r="N79" s="31"/>
      <c r="O79" s="31"/>
      <c r="P79" s="31"/>
      <c r="Q79" s="31"/>
      <c r="R79" s="31"/>
      <c r="S79" s="31"/>
      <c r="T79" s="31"/>
      <c r="U79" s="31"/>
      <c r="V79" s="31"/>
      <c r="W79" s="31"/>
      <c r="X79" s="31"/>
    </row>
    <row r="80" spans="1:24" ht="21" customHeight="1" x14ac:dyDescent="0.25">
      <c r="A80" s="37" t="s">
        <v>739</v>
      </c>
      <c r="B80" s="31"/>
      <c r="C80" s="31"/>
      <c r="D80" s="31"/>
      <c r="E80" s="31"/>
      <c r="F80" s="31"/>
      <c r="G80" s="31"/>
      <c r="H80" s="31"/>
      <c r="I80" s="31"/>
      <c r="J80" s="31"/>
      <c r="K80" s="31"/>
      <c r="L80" s="31"/>
      <c r="M80" s="31"/>
      <c r="N80" s="31"/>
      <c r="O80" s="31"/>
      <c r="P80" s="31"/>
      <c r="Q80" s="31"/>
      <c r="R80" s="31"/>
      <c r="S80" s="31"/>
      <c r="T80" s="31"/>
      <c r="U80" s="31"/>
      <c r="V80" s="31"/>
      <c r="W80" s="31"/>
      <c r="X80" s="31"/>
    </row>
    <row r="81" spans="1:24" ht="6" customHeight="1" x14ac:dyDescent="0.25"/>
    <row r="82" spans="1:24" ht="18" customHeight="1" x14ac:dyDescent="0.25">
      <c r="A82" s="36" t="s">
        <v>696</v>
      </c>
      <c r="B82" s="31"/>
      <c r="C82" s="31"/>
      <c r="D82" s="31"/>
      <c r="E82" s="31"/>
      <c r="F82" s="31"/>
      <c r="G82" s="31"/>
      <c r="H82" s="31"/>
      <c r="I82" s="31"/>
      <c r="J82" s="31"/>
      <c r="K82" s="31"/>
      <c r="L82" s="31"/>
      <c r="M82" s="31"/>
      <c r="N82" s="31"/>
      <c r="O82" s="31"/>
      <c r="P82" s="31"/>
      <c r="Q82" s="31"/>
      <c r="R82" s="31"/>
      <c r="S82" s="31"/>
      <c r="T82" s="31"/>
      <c r="U82" s="31"/>
      <c r="V82" s="31"/>
      <c r="W82" s="31"/>
      <c r="X82" s="31"/>
    </row>
    <row r="83" spans="1:24" ht="21" customHeight="1" x14ac:dyDescent="0.25">
      <c r="A83" s="37" t="s">
        <v>740</v>
      </c>
      <c r="B83" s="31"/>
      <c r="C83" s="31"/>
      <c r="D83" s="31"/>
      <c r="E83" s="31"/>
      <c r="F83" s="31"/>
      <c r="G83" s="31"/>
      <c r="H83" s="31"/>
      <c r="I83" s="31"/>
      <c r="J83" s="31"/>
      <c r="K83" s="31"/>
      <c r="L83" s="31"/>
      <c r="M83" s="31"/>
      <c r="N83" s="31"/>
      <c r="O83" s="31"/>
      <c r="P83" s="31"/>
      <c r="Q83" s="31"/>
      <c r="R83" s="31"/>
      <c r="S83" s="31"/>
      <c r="T83" s="31"/>
      <c r="U83" s="31"/>
      <c r="V83" s="31"/>
      <c r="W83" s="31"/>
      <c r="X83" s="31"/>
    </row>
    <row r="84" spans="1:24" ht="6" customHeight="1" x14ac:dyDescent="0.25"/>
    <row r="85" spans="1:24" ht="18" customHeight="1" x14ac:dyDescent="0.25">
      <c r="A85" s="36" t="s">
        <v>697</v>
      </c>
      <c r="B85" s="31"/>
      <c r="C85" s="31"/>
      <c r="D85" s="31"/>
      <c r="E85" s="31"/>
      <c r="F85" s="31"/>
      <c r="G85" s="31"/>
      <c r="H85" s="31"/>
      <c r="I85" s="31"/>
      <c r="J85" s="31"/>
      <c r="K85" s="31"/>
      <c r="L85" s="31"/>
      <c r="M85" s="31"/>
      <c r="N85" s="31"/>
      <c r="O85" s="31"/>
      <c r="P85" s="31"/>
      <c r="Q85" s="31"/>
      <c r="R85" s="31"/>
      <c r="S85" s="31"/>
      <c r="T85" s="31"/>
      <c r="U85" s="31"/>
      <c r="V85" s="31"/>
      <c r="W85" s="31"/>
      <c r="X85" s="31"/>
    </row>
    <row r="86" spans="1:24" ht="21" customHeight="1" x14ac:dyDescent="0.25">
      <c r="A86" s="37" t="s">
        <v>741</v>
      </c>
      <c r="B86" s="31"/>
      <c r="C86" s="31"/>
      <c r="D86" s="31"/>
      <c r="E86" s="31"/>
      <c r="F86" s="31"/>
      <c r="G86" s="31"/>
      <c r="H86" s="31"/>
      <c r="I86" s="31"/>
      <c r="J86" s="31"/>
      <c r="K86" s="31"/>
      <c r="L86" s="31"/>
      <c r="M86" s="31"/>
      <c r="N86" s="31"/>
      <c r="O86" s="31"/>
      <c r="P86" s="31"/>
      <c r="Q86" s="31"/>
      <c r="R86" s="31"/>
      <c r="S86" s="31"/>
      <c r="T86" s="31"/>
      <c r="U86" s="31"/>
      <c r="V86" s="31"/>
      <c r="W86" s="31"/>
      <c r="X86" s="31"/>
    </row>
    <row r="87" spans="1:24" ht="6" customHeight="1" x14ac:dyDescent="0.25"/>
    <row r="88" spans="1:24" ht="18" customHeight="1" x14ac:dyDescent="0.25">
      <c r="A88" s="36" t="s">
        <v>698</v>
      </c>
      <c r="B88" s="31"/>
      <c r="C88" s="31"/>
      <c r="D88" s="31"/>
      <c r="E88" s="31"/>
      <c r="F88" s="31"/>
      <c r="G88" s="31"/>
      <c r="H88" s="31"/>
      <c r="I88" s="31"/>
      <c r="J88" s="31"/>
      <c r="K88" s="31"/>
      <c r="L88" s="31"/>
      <c r="M88" s="31"/>
      <c r="N88" s="31"/>
      <c r="O88" s="31"/>
      <c r="P88" s="31"/>
      <c r="Q88" s="31"/>
      <c r="R88" s="31"/>
      <c r="S88" s="31"/>
      <c r="T88" s="31"/>
      <c r="U88" s="31"/>
      <c r="V88" s="31"/>
      <c r="W88" s="31"/>
      <c r="X88" s="31"/>
    </row>
    <row r="89" spans="1:24" ht="21" customHeight="1" x14ac:dyDescent="0.25">
      <c r="A89" s="37" t="s">
        <v>742</v>
      </c>
      <c r="B89" s="31"/>
      <c r="C89" s="31"/>
      <c r="D89" s="31"/>
      <c r="E89" s="31"/>
      <c r="F89" s="31"/>
      <c r="G89" s="31"/>
      <c r="H89" s="31"/>
      <c r="I89" s="31"/>
      <c r="J89" s="31"/>
      <c r="K89" s="31"/>
      <c r="L89" s="31"/>
      <c r="M89" s="31"/>
      <c r="N89" s="31"/>
      <c r="O89" s="31"/>
      <c r="P89" s="31"/>
      <c r="Q89" s="31"/>
      <c r="R89" s="31"/>
      <c r="S89" s="31"/>
      <c r="T89" s="31"/>
      <c r="U89" s="31"/>
      <c r="V89" s="31"/>
      <c r="W89" s="31"/>
      <c r="X89" s="31"/>
    </row>
    <row r="90" spans="1:24" ht="6" customHeight="1" x14ac:dyDescent="0.25"/>
    <row r="91" spans="1:24" ht="18" customHeight="1" x14ac:dyDescent="0.25">
      <c r="A91" s="36" t="s">
        <v>699</v>
      </c>
      <c r="B91" s="31"/>
      <c r="C91" s="31"/>
      <c r="D91" s="31"/>
      <c r="E91" s="31"/>
      <c r="F91" s="31"/>
      <c r="G91" s="31"/>
      <c r="H91" s="31"/>
      <c r="I91" s="31"/>
      <c r="J91" s="31"/>
      <c r="K91" s="31"/>
      <c r="L91" s="31"/>
      <c r="M91" s="31"/>
      <c r="N91" s="31"/>
      <c r="O91" s="31"/>
      <c r="P91" s="31"/>
      <c r="Q91" s="31"/>
      <c r="R91" s="31"/>
      <c r="S91" s="31"/>
      <c r="T91" s="31"/>
      <c r="U91" s="31"/>
      <c r="V91" s="31"/>
      <c r="W91" s="31"/>
      <c r="X91" s="31"/>
    </row>
    <row r="92" spans="1:24" ht="21" customHeight="1" x14ac:dyDescent="0.25">
      <c r="A92" s="37" t="s">
        <v>743</v>
      </c>
      <c r="B92" s="31"/>
      <c r="C92" s="31"/>
      <c r="D92" s="31"/>
      <c r="E92" s="31"/>
      <c r="F92" s="31"/>
      <c r="G92" s="31"/>
      <c r="H92" s="31"/>
      <c r="I92" s="31"/>
      <c r="J92" s="31"/>
      <c r="K92" s="31"/>
      <c r="L92" s="31"/>
      <c r="M92" s="31"/>
      <c r="N92" s="31"/>
      <c r="O92" s="31"/>
      <c r="P92" s="31"/>
      <c r="Q92" s="31"/>
      <c r="R92" s="31"/>
      <c r="S92" s="31"/>
      <c r="T92" s="31"/>
      <c r="U92" s="31"/>
      <c r="V92" s="31"/>
      <c r="W92" s="31"/>
      <c r="X92" s="31"/>
    </row>
    <row r="93" spans="1:24" ht="6" customHeight="1" x14ac:dyDescent="0.25"/>
    <row r="96" spans="1:24" x14ac:dyDescent="0.25">
      <c r="A96" s="40" t="s">
        <v>744</v>
      </c>
      <c r="B96" s="31"/>
      <c r="C96" s="31"/>
      <c r="D96" s="31"/>
      <c r="E96" s="31"/>
      <c r="F96" s="31"/>
      <c r="G96" s="31"/>
      <c r="H96" s="31"/>
      <c r="I96" s="31"/>
      <c r="J96" s="31"/>
      <c r="K96" s="31"/>
      <c r="L96" s="31"/>
      <c r="M96" s="31"/>
      <c r="N96" s="31"/>
      <c r="O96" s="31"/>
      <c r="P96" s="31"/>
      <c r="Q96" s="31"/>
      <c r="R96" s="31"/>
      <c r="S96" s="31"/>
      <c r="T96" s="31"/>
      <c r="U96" s="31"/>
      <c r="V96" s="31"/>
      <c r="W96" s="31"/>
      <c r="X96" s="31"/>
    </row>
  </sheetData>
  <mergeCells count="40">
    <mergeCell ref="A96:X96"/>
    <mergeCell ref="A68:X68"/>
    <mergeCell ref="A58:X58"/>
    <mergeCell ref="A40:X40"/>
    <mergeCell ref="A67:X67"/>
    <mergeCell ref="A92:X92"/>
    <mergeCell ref="A77:X77"/>
    <mergeCell ref="A59:X59"/>
    <mergeCell ref="A48:X48"/>
    <mergeCell ref="A83:X83"/>
    <mergeCell ref="A73:X73"/>
    <mergeCell ref="A64:X64"/>
    <mergeCell ref="A82:X82"/>
    <mergeCell ref="A49:X49"/>
    <mergeCell ref="A45:X45"/>
    <mergeCell ref="A61:X61"/>
    <mergeCell ref="A33:X33"/>
    <mergeCell ref="A71:X71"/>
    <mergeCell ref="A85:X85"/>
    <mergeCell ref="A53:X53"/>
    <mergeCell ref="A91:X91"/>
    <mergeCell ref="A62:X62"/>
    <mergeCell ref="A43:X43"/>
    <mergeCell ref="A39:X39"/>
    <mergeCell ref="A34:X34"/>
    <mergeCell ref="A36:X36"/>
    <mergeCell ref="A88:X88"/>
    <mergeCell ref="A70:X70"/>
    <mergeCell ref="A79:X79"/>
    <mergeCell ref="A65:X65"/>
    <mergeCell ref="A46:X46"/>
    <mergeCell ref="A37:X37"/>
    <mergeCell ref="A89:X89"/>
    <mergeCell ref="A74:X74"/>
    <mergeCell ref="A80:X80"/>
    <mergeCell ref="A56:X56"/>
    <mergeCell ref="A55:X55"/>
    <mergeCell ref="A86:X86"/>
    <mergeCell ref="A42:X42"/>
    <mergeCell ref="A76:X76"/>
  </mergeCells>
  <dataValidations count="13">
    <dataValidation type="list" allowBlank="1" errorTitle="Valore non valido" error="Seleziona dalla lista." promptTitle="Author" prompt="Autore della codifica." sqref="B5:B30" xr:uid="{00000000-0002-0000-0300-000000000000}">
      <formula1>Author_Name</formula1>
    </dataValidation>
    <dataValidation type="list" allowBlank="1" errorTitle="Valore non valido" error="Seleziona dalla lista, oppure lascia vuoto." promptTitle="In Place" sqref="D5:D30" xr:uid="{00000000-0002-0000-0300-000001000000}">
      <formula1>InPl_Name</formula1>
    </dataValidation>
    <dataValidation type="list" allowBlank="1" errorTitle="Valore non valido" error="Seleziona dalla lista." promptTitle="Famiglia di sistema" prompt="Famiglia di sistema Revit." sqref="F5:F30" xr:uid="{00000000-0002-0000-0300-000002000000}">
      <formula1>FL_Cat_Name</formula1>
    </dataValidation>
    <dataValidation type="list" allowBlank="1" errorTitle="Valore non valido" error="Seleziona dalla lista." promptTitle="Group1" prompt="Sistema costruttivo del solaio." sqref="H5:H30" xr:uid="{00000000-0002-0000-0300-000003000000}">
      <formula1>FL_G1_Name</formula1>
    </dataValidation>
    <dataValidation type="list" allowBlank="1" errorTitle="Valore non valido" error="Seleziona dalla lista." promptTitle="Group2" prompt="Ruolo, oppure lo strato singolo quando l’elemento è modellato da solo. IN copre anche i pacchetti multistrato." sqref="K5:K30" xr:uid="{00000000-0002-0000-0300-000004000000}">
      <formula1>FL_G2_Name</formula1>
    </dataValidation>
    <dataValidation type="list" allowBlank="1" errorTitle="Valore non valido" error="Seleziona dalla lista." promptTitle="N. finiture" prompt="Numero di facce finite: 0F, 1F, 2F. Elemento a strato singolo → 0F, anche quando quell’unico strato è la finitura." sqref="M5:M30" xr:uid="{00000000-0002-0000-0300-000005000000}">
      <formula1>Fin_Name</formula1>
    </dataValidation>
    <dataValidation type="custom" allowBlank="1" errorTitle="Non valido" error="Inserisci un intero tra 0 e 99, oppure XX se i tipi non sono ancora definiti. Se Group1 è Other compila il Type Mark manuale." promptTitle="TM sequenza" prompt="Due cifre da 0 a 99. Distingue le varianti di stesso Group1 e stesso Group2. Tipo non ancora definito → XX. Non si compila con Group1 = OT." sqref="O5:O30" xr:uid="{00000000-0002-0000-0300-000006000000}">
      <formula1>AND($I5&lt;&gt;"OT",OR(UPPER($O5)="XX",AND(ISNUMBER($O5),$O5&gt;=0,$O5&lt;=99,$O5=INT($O5))))</formula1>
    </dataValidation>
    <dataValidation type="custom" allowBlank="1" errorTitle="Non ammesso qui" error="Si usa solo quando Group1 è Other." promptTitle="Type Mark manuale" prompt="Solo con Group1 = OT. Sostituisce tutto il Type Mark, prefisso di categoria compreso. Finiture → prefisso materiale + tre cifre: PT-001, WD-001, MT-001." sqref="P5:P30" xr:uid="{00000000-0002-0000-0300-000007000000}">
      <formula1>$I5="OT"</formula1>
    </dataValidation>
    <dataValidation type="decimal" operator="greaterThan" allowBlank="1" errorTitle="Non valido" error="Inserisci un valore maggiore di 0." promptTitle="Thickness mm" prompt="Spessore totale in mm." sqref="R5:R30" xr:uid="{00000000-0002-0000-0300-000008000000}">
      <formula1>0</formula1>
    </dataValidation>
    <dataValidation type="textLength" operator="lessThanOrEqual" allowBlank="1" errorTitle="Troppo lungo" error="Massimo 12 caratteri." promptTitle="REI" prompt="Facoltativo. Sigla completa come certificata: REI120, EI90, RE60. Deve coincidere con FireRating." sqref="S5:S30" xr:uid="{00000000-0002-0000-0300-000009000000}">
      <formula1>12</formula1>
    </dataValidation>
    <dataValidation type="list" allowBlank="1" errorTitle="Non ammesso qui" error="Ammesso solo con Group2 = IN: su EX, OG e UR impermeabilizzazione e isolamento sono impliciti." promptTitle="W  waterproof" prompt="Facoltativo. Impermeabilizzazione compresa nell’elemento. Ammesso solo con Group2 = IN: su EX, OG e UR impermeabilizzazione e isolamento sono impliciti." sqref="T5:T30" xr:uid="{00000000-0002-0000-0300-00000A000000}">
      <formula1>INDIRECT($Y5)</formula1>
    </dataValidation>
    <dataValidation type="list" allowBlank="1" errorTitle="Non ammesso qui" error="Ammesso solo con Group2 = IN: su EX, OG e UR impermeabilizzazione e isolamento sono impliciti." promptTitle="I  insulation" prompt="Facoltativo. Strato isolante compreso nell’elemento. Ammesso solo con Group2 = IN: su EX, OG e UR impermeabilizzazione e isolamento sono impliciti." sqref="U5:U30" xr:uid="{00000000-0002-0000-0300-00000B000000}">
      <formula1>INDIRECT($Z5)</formula1>
    </dataValidation>
    <dataValidation type="textLength" operator="lessThanOrEqual" allowBlank="1" errorTitle="Troppo lunga" error="Massimo 40 caratteri." promptTitle="Description" prompt="Facoltativa. Solo se aggiunge un’informazione non già nei codici: destinazione, posizione, o ciò che distingue due tipi altrimenti identici. Senza spazi, iniziali maiuscole, massimo 40 caratteri, senza accenti." sqref="V5:V30" xr:uid="{00000000-0002-0000-0300-00000C000000}">
      <formula1>40</formula1>
    </dataValidation>
  </dataValidation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X87"/>
  <sheetViews>
    <sheetView showGridLines="0" workbookViewId="0">
      <pane ySplit="4" topLeftCell="A5" activePane="bottomLeft" state="frozen"/>
      <selection pane="bottomLeft"/>
    </sheetView>
  </sheetViews>
  <sheetFormatPr defaultRowHeight="15" x14ac:dyDescent="0.25"/>
  <cols>
    <col min="1" max="1" width="3" customWidth="1"/>
    <col min="2" max="2" width="15" customWidth="1"/>
    <col min="3" max="3" width="5" customWidth="1"/>
    <col min="4" max="4" width="10" customWidth="1"/>
    <col min="5" max="5" width="4" customWidth="1"/>
    <col min="6" max="6" width="17" customWidth="1"/>
    <col min="7" max="7" width="4" customWidth="1"/>
    <col min="8" max="8" width="15" customWidth="1"/>
    <col min="9" max="9" width="4" customWidth="1"/>
    <col min="10" max="10" width="6" customWidth="1"/>
    <col min="11" max="11" width="15" customWidth="1"/>
    <col min="12" max="12" width="4" customWidth="1"/>
    <col min="13" max="13" width="11" customWidth="1"/>
    <col min="14" max="14" width="5" customWidth="1"/>
    <col min="15" max="15" width="12" customWidth="1"/>
    <col min="16" max="16" width="19" customWidth="1"/>
    <col min="17" max="17" width="12" customWidth="1"/>
    <col min="18" max="18" width="10" customWidth="1"/>
    <col min="19" max="19" width="8" customWidth="1"/>
    <col min="20" max="20" width="22" customWidth="1"/>
    <col min="21" max="21" width="12" customWidth="1"/>
    <col min="22" max="22" width="40" customWidth="1"/>
    <col min="23" max="24" width="26" hidden="1" customWidth="1"/>
  </cols>
  <sheetData>
    <row r="1" spans="1:24" ht="19.5" x14ac:dyDescent="0.3">
      <c r="A1" s="6" t="s">
        <v>757</v>
      </c>
    </row>
    <row r="2" spans="1:24" x14ac:dyDescent="0.25">
      <c r="A2" s="7" t="s">
        <v>680</v>
      </c>
    </row>
    <row r="3" spans="1:24" x14ac:dyDescent="0.25">
      <c r="A3" s="8" t="s">
        <v>758</v>
      </c>
    </row>
    <row r="4" spans="1:24" ht="30" customHeight="1" x14ac:dyDescent="0.25">
      <c r="A4" s="9" t="s">
        <v>682</v>
      </c>
      <c r="B4" s="9" t="s">
        <v>70</v>
      </c>
      <c r="C4" s="9" t="s">
        <v>683</v>
      </c>
      <c r="D4" s="10" t="s">
        <v>84</v>
      </c>
      <c r="E4" s="9" t="s">
        <v>83</v>
      </c>
      <c r="F4" s="9" t="s">
        <v>684</v>
      </c>
      <c r="G4" s="9" t="s">
        <v>685</v>
      </c>
      <c r="H4" s="9" t="s">
        <v>686</v>
      </c>
      <c r="I4" s="9" t="s">
        <v>687</v>
      </c>
      <c r="J4" s="9" t="s">
        <v>688</v>
      </c>
      <c r="K4" s="9" t="s">
        <v>689</v>
      </c>
      <c r="L4" s="9" t="s">
        <v>690</v>
      </c>
      <c r="M4" s="9" t="s">
        <v>72</v>
      </c>
      <c r="N4" s="9" t="s">
        <v>691</v>
      </c>
      <c r="O4" s="9" t="s">
        <v>692</v>
      </c>
      <c r="P4" s="9" t="s">
        <v>693</v>
      </c>
      <c r="Q4" s="9" t="s">
        <v>694</v>
      </c>
      <c r="R4" s="9" t="s">
        <v>695</v>
      </c>
      <c r="S4" s="10" t="s">
        <v>696</v>
      </c>
      <c r="T4" s="10" t="s">
        <v>699</v>
      </c>
      <c r="U4" s="9" t="s">
        <v>700</v>
      </c>
      <c r="V4" s="9" t="s">
        <v>701</v>
      </c>
      <c r="W4" s="9" t="s">
        <v>759</v>
      </c>
      <c r="X4" s="9" t="s">
        <v>760</v>
      </c>
    </row>
    <row r="5" spans="1:24" x14ac:dyDescent="0.25">
      <c r="A5" s="11" t="s">
        <v>704</v>
      </c>
      <c r="B5" s="12" t="s">
        <v>80</v>
      </c>
      <c r="C5" s="13" t="str">
        <f t="shared" ref="C5:C30" si="0">IFERROR(INDEX(Author_Code,MATCH($B5,Author_Name,0)),"")</f>
        <v>e</v>
      </c>
      <c r="D5" s="14"/>
      <c r="E5" s="13" t="str">
        <f t="shared" ref="E5:E30" si="1">IFERROR(INDEX(InPl_Code,MATCH($D5,InPl_Name,0)),"")</f>
        <v/>
      </c>
      <c r="F5" s="12" t="s">
        <v>251</v>
      </c>
      <c r="G5" s="13" t="str">
        <f t="shared" ref="G5:G30" si="2">IFERROR(INDEX(RF_Cat_Code,MATCH($F5,RF_Cat_Name,0)),"")</f>
        <v>BR</v>
      </c>
      <c r="H5" s="12" t="s">
        <v>172</v>
      </c>
      <c r="I5" s="13" t="str">
        <f t="shared" ref="I5:I30" si="3">IFERROR(IF($G5="BR",INDEX(BR_G1_Code,MATCH($H5,BR_G1_Name,0)),IF($G5="SZ",INDEX(SZ_G1_Code,MATCH($H5,SZ_G1_Name,0)),"")),"")</f>
        <v>MN</v>
      </c>
      <c r="J5" s="13" t="str">
        <f t="shared" ref="J5:J30" si="4">IFERROR(LEFT(IF($G5="BR",INDEX(BR_G1_TM,MATCH($H5,BR_G1_Name,0)),IF($G5="SZ",INDEX(SZ_G1_TM,MATCH($H5,SZ_G1_Name,0)),"")),1),"")</f>
        <v>2</v>
      </c>
      <c r="K5" s="12" t="s">
        <v>253</v>
      </c>
      <c r="L5" s="13" t="str">
        <f t="shared" ref="L5:L30" si="5">IFERROR(IF($G5="BR",INDEX(BR_G2_Code,MATCH($K5,BR_G2_Name,0)),IF($G5="SZ",INDEX(SZ_G2_Code,MATCH($K5,SZ_G2_Name,0)),"")),"")</f>
        <v>NW</v>
      </c>
      <c r="M5" s="12" t="s">
        <v>88</v>
      </c>
      <c r="N5" s="13" t="str">
        <f t="shared" ref="N5:N30" si="6">IFERROR(INDEX(Fin_Code,MATCH($M5,Fin_Name,0)),"")</f>
        <v>1F</v>
      </c>
      <c r="O5" s="12">
        <v>1</v>
      </c>
      <c r="P5" s="15"/>
      <c r="Q5" s="13" t="str">
        <f t="shared" ref="Q5:Q30" si="7">IF($I5="OT",$P5,IF(OR($G5="",$J5="",$O5=""),"",$G5&amp;"-"&amp;$J5&amp;IF(UPPER($O5)="XX","XX",TEXT($O5,"00"))))</f>
        <v>BR-201</v>
      </c>
      <c r="R5" s="12">
        <v>400</v>
      </c>
      <c r="S5" s="14"/>
      <c r="T5" s="16"/>
      <c r="U5" s="13" t="str">
        <f t="shared" ref="U5:U30" si="8">$G5&amp;IF($I5&lt;&gt;"","."&amp;$I5,"")&amp;IF($L5&lt;&gt;"","."&amp;$L5,"")</f>
        <v>BR.MN.NW</v>
      </c>
      <c r="V5" s="17" t="str">
        <f t="shared" ref="V5:V30" si="9">IF(AND($F5&lt;&gt;"",$H5&lt;&gt;"",$Q5&lt;&gt;"",AND($M5&lt;&gt;"",$R5&lt;&gt;"")),$C5&amp;"_"&amp;$Q5&amp;"_"&amp;$E5&amp;$U5&amp;"_"&amp;$N5&amp;"."&amp;TEXT($R5,"0")&amp;IF($S5&lt;&gt;"","_"&amp;$S5,"")&amp;IF($T5&lt;&gt;"","_"&amp;$T5,""),"")</f>
        <v>e_BR-201_BR.MN.NW_1F.400</v>
      </c>
      <c r="W5" s="18" t="str">
        <f>IF($G5="BR",ADDRESS(ROW(INDEX(Tbl_BR_G1[BR_Group1],1)),COLUMN(Tbl_BR_G1[BR_Group1]),1,1,"DV")&amp;":"&amp;ADDRESS(ROW(INDEX(Tbl_BR_G1[BR_Group1],1))+ROWS(Tbl_BR_G1[BR_Group1])-1,COLUMN(Tbl_BR_G1[BR_Group1]),1,1),IF($G5="SZ",ADDRESS(ROW(INDEX(Tbl_SZ_G1[SZ_Group1],1)),COLUMN(Tbl_SZ_G1[SZ_Group1]),1,1,"DV")&amp;":"&amp;ADDRESS(ROW(INDEX(Tbl_SZ_G1[SZ_Group1],1))+ROWS(Tbl_SZ_G1[SZ_Group1])-1,COLUMN(Tbl_SZ_G1[SZ_Group1]),1,1),"_src!$A$1"))</f>
        <v>DV!$E$70:$E$78</v>
      </c>
      <c r="X5" s="18" t="str">
        <f>IF($G5="BR",ADDRESS(ROW(INDEX(Tbl_BR_G2[BR_Group2],1)),COLUMN(Tbl_BR_G2[BR_Group2]),1,1,"DV")&amp;":"&amp;ADDRESS(ROW(INDEX(Tbl_BR_G2[BR_Group2],1))+ROWS(Tbl_BR_G2[BR_Group2])-1,COLUMN(Tbl_BR_G2[BR_Group2]),1,1),IF($G5="SZ",ADDRESS(ROW(INDEX(Tbl_SZ_G2[SZ_Group2],1)),COLUMN(Tbl_SZ_G2[SZ_Group2]),1,1,"DV")&amp;":"&amp;ADDRESS(ROW(INDEX(Tbl_SZ_G2[SZ_Group2],1))+ROWS(Tbl_SZ_G2[SZ_Group2])-1,COLUMN(Tbl_SZ_G2[SZ_Group2]),1,1),"_src!$A$1"))</f>
        <v>DV!$J$70:$J$77</v>
      </c>
    </row>
    <row r="6" spans="1:24" x14ac:dyDescent="0.25">
      <c r="A6" s="11" t="s">
        <v>705</v>
      </c>
      <c r="B6" s="12" t="s">
        <v>80</v>
      </c>
      <c r="C6" s="13" t="str">
        <f t="shared" si="0"/>
        <v>e</v>
      </c>
      <c r="D6" s="14"/>
      <c r="E6" s="13" t="str">
        <f t="shared" si="1"/>
        <v/>
      </c>
      <c r="F6" s="12" t="s">
        <v>251</v>
      </c>
      <c r="G6" s="13" t="str">
        <f t="shared" si="2"/>
        <v>BR</v>
      </c>
      <c r="H6" s="12" t="s">
        <v>172</v>
      </c>
      <c r="I6" s="13" t="str">
        <f t="shared" si="3"/>
        <v>MN</v>
      </c>
      <c r="J6" s="13" t="str">
        <f t="shared" si="4"/>
        <v>2</v>
      </c>
      <c r="K6" s="12" t="s">
        <v>258</v>
      </c>
      <c r="L6" s="13" t="str">
        <f t="shared" si="5"/>
        <v>WL</v>
      </c>
      <c r="M6" s="12" t="s">
        <v>92</v>
      </c>
      <c r="N6" s="13" t="str">
        <f t="shared" si="6"/>
        <v>2F</v>
      </c>
      <c r="O6" s="12">
        <v>2</v>
      </c>
      <c r="P6" s="15"/>
      <c r="Q6" s="13" t="str">
        <f t="shared" si="7"/>
        <v>BR-202</v>
      </c>
      <c r="R6" s="12">
        <v>450</v>
      </c>
      <c r="S6" s="14"/>
      <c r="T6" s="16"/>
      <c r="U6" s="13" t="str">
        <f t="shared" si="8"/>
        <v>BR.MN.WL</v>
      </c>
      <c r="V6" s="17" t="str">
        <f t="shared" si="9"/>
        <v>e_BR-202_BR.MN.WL_2F.450</v>
      </c>
      <c r="W6" s="18" t="str">
        <f>IF($G6="BR",ADDRESS(ROW(INDEX(Tbl_BR_G1[BR_Group1],1)),COLUMN(Tbl_BR_G1[BR_Group1]),1,1,"DV")&amp;":"&amp;ADDRESS(ROW(INDEX(Tbl_BR_G1[BR_Group1],1))+ROWS(Tbl_BR_G1[BR_Group1])-1,COLUMN(Tbl_BR_G1[BR_Group1]),1,1),IF($G6="SZ",ADDRESS(ROW(INDEX(Tbl_SZ_G1[SZ_Group1],1)),COLUMN(Tbl_SZ_G1[SZ_Group1]),1,1,"DV")&amp;":"&amp;ADDRESS(ROW(INDEX(Tbl_SZ_G1[SZ_Group1],1))+ROWS(Tbl_SZ_G1[SZ_Group1])-1,COLUMN(Tbl_SZ_G1[SZ_Group1]),1,1),"_src!$A$1"))</f>
        <v>DV!$E$70:$E$78</v>
      </c>
      <c r="X6" s="18" t="str">
        <f>IF($G6="BR",ADDRESS(ROW(INDEX(Tbl_BR_G2[BR_Group2],1)),COLUMN(Tbl_BR_G2[BR_Group2]),1,1,"DV")&amp;":"&amp;ADDRESS(ROW(INDEX(Tbl_BR_G2[BR_Group2],1))+ROWS(Tbl_BR_G2[BR_Group2])-1,COLUMN(Tbl_BR_G2[BR_Group2]),1,1),IF($G6="SZ",ADDRESS(ROW(INDEX(Tbl_SZ_G2[SZ_Group2],1)),COLUMN(Tbl_SZ_G2[SZ_Group2]),1,1,"DV")&amp;":"&amp;ADDRESS(ROW(INDEX(Tbl_SZ_G2[SZ_Group2],1))+ROWS(Tbl_SZ_G2[SZ_Group2])-1,COLUMN(Tbl_SZ_G2[SZ_Group2]),1,1),"_src!$A$1"))</f>
        <v>DV!$J$70:$J$77</v>
      </c>
    </row>
    <row r="7" spans="1:24" x14ac:dyDescent="0.25">
      <c r="A7" s="11" t="s">
        <v>707</v>
      </c>
      <c r="B7" s="12" t="s">
        <v>80</v>
      </c>
      <c r="C7" s="13" t="str">
        <f t="shared" si="0"/>
        <v>e</v>
      </c>
      <c r="D7" s="14"/>
      <c r="E7" s="13" t="str">
        <f t="shared" si="1"/>
        <v/>
      </c>
      <c r="F7" s="12" t="s">
        <v>251</v>
      </c>
      <c r="G7" s="13" t="str">
        <f t="shared" si="2"/>
        <v>BR</v>
      </c>
      <c r="H7" s="12" t="s">
        <v>172</v>
      </c>
      <c r="I7" s="13" t="str">
        <f t="shared" si="3"/>
        <v>MN</v>
      </c>
      <c r="J7" s="13" t="str">
        <f t="shared" si="4"/>
        <v>2</v>
      </c>
      <c r="K7" s="12" t="s">
        <v>262</v>
      </c>
      <c r="L7" s="13" t="str">
        <f t="shared" si="5"/>
        <v>GR</v>
      </c>
      <c r="M7" s="12" t="s">
        <v>88</v>
      </c>
      <c r="N7" s="13" t="str">
        <f t="shared" si="6"/>
        <v>1F</v>
      </c>
      <c r="O7" s="12">
        <v>3</v>
      </c>
      <c r="P7" s="15"/>
      <c r="Q7" s="13" t="str">
        <f t="shared" si="7"/>
        <v>BR-203</v>
      </c>
      <c r="R7" s="12">
        <v>520</v>
      </c>
      <c r="S7" s="14"/>
      <c r="T7" s="16"/>
      <c r="U7" s="13" t="str">
        <f t="shared" si="8"/>
        <v>BR.MN.GR</v>
      </c>
      <c r="V7" s="17" t="str">
        <f t="shared" si="9"/>
        <v>e_BR-203_BR.MN.GR_1F.520</v>
      </c>
      <c r="W7" s="18" t="str">
        <f>IF($G7="BR",ADDRESS(ROW(INDEX(Tbl_BR_G1[BR_Group1],1)),COLUMN(Tbl_BR_G1[BR_Group1]),1,1,"DV")&amp;":"&amp;ADDRESS(ROW(INDEX(Tbl_BR_G1[BR_Group1],1))+ROWS(Tbl_BR_G1[BR_Group1])-1,COLUMN(Tbl_BR_G1[BR_Group1]),1,1),IF($G7="SZ",ADDRESS(ROW(INDEX(Tbl_SZ_G1[SZ_Group1],1)),COLUMN(Tbl_SZ_G1[SZ_Group1]),1,1,"DV")&amp;":"&amp;ADDRESS(ROW(INDEX(Tbl_SZ_G1[SZ_Group1],1))+ROWS(Tbl_SZ_G1[SZ_Group1])-1,COLUMN(Tbl_SZ_G1[SZ_Group1]),1,1),"_src!$A$1"))</f>
        <v>DV!$E$70:$E$78</v>
      </c>
      <c r="X7" s="18" t="str">
        <f>IF($G7="BR",ADDRESS(ROW(INDEX(Tbl_BR_G2[BR_Group2],1)),COLUMN(Tbl_BR_G2[BR_Group2]),1,1,"DV")&amp;":"&amp;ADDRESS(ROW(INDEX(Tbl_BR_G2[BR_Group2],1))+ROWS(Tbl_BR_G2[BR_Group2])-1,COLUMN(Tbl_BR_G2[BR_Group2]),1,1),IF($G7="SZ",ADDRESS(ROW(INDEX(Tbl_SZ_G2[SZ_Group2],1)),COLUMN(Tbl_SZ_G2[SZ_Group2]),1,1,"DV")&amp;":"&amp;ADDRESS(ROW(INDEX(Tbl_SZ_G2[SZ_Group2],1))+ROWS(Tbl_SZ_G2[SZ_Group2])-1,COLUMN(Tbl_SZ_G2[SZ_Group2]),1,1),"_src!$A$1"))</f>
        <v>DV!$J$70:$J$77</v>
      </c>
    </row>
    <row r="8" spans="1:24" x14ac:dyDescent="0.25">
      <c r="A8" s="11" t="s">
        <v>709</v>
      </c>
      <c r="B8" s="12" t="s">
        <v>80</v>
      </c>
      <c r="C8" s="13" t="str">
        <f t="shared" si="0"/>
        <v>e</v>
      </c>
      <c r="D8" s="14"/>
      <c r="E8" s="13" t="str">
        <f t="shared" si="1"/>
        <v/>
      </c>
      <c r="F8" s="12" t="s">
        <v>251</v>
      </c>
      <c r="G8" s="13" t="str">
        <f t="shared" si="2"/>
        <v>BR</v>
      </c>
      <c r="H8" s="12" t="s">
        <v>209</v>
      </c>
      <c r="I8" s="13" t="str">
        <f t="shared" si="3"/>
        <v>BB</v>
      </c>
      <c r="J8" s="13" t="str">
        <f t="shared" si="4"/>
        <v>1</v>
      </c>
      <c r="K8" s="12" t="s">
        <v>253</v>
      </c>
      <c r="L8" s="13" t="str">
        <f t="shared" si="5"/>
        <v>NW</v>
      </c>
      <c r="M8" s="12" t="s">
        <v>88</v>
      </c>
      <c r="N8" s="13" t="str">
        <f t="shared" si="6"/>
        <v>1F</v>
      </c>
      <c r="O8" s="12">
        <v>1</v>
      </c>
      <c r="P8" s="15"/>
      <c r="Q8" s="13" t="str">
        <f t="shared" si="7"/>
        <v>BR-101</v>
      </c>
      <c r="R8" s="12">
        <v>420</v>
      </c>
      <c r="S8" s="14"/>
      <c r="T8" s="16"/>
      <c r="U8" s="13" t="str">
        <f t="shared" si="8"/>
        <v>BR.BB.NW</v>
      </c>
      <c r="V8" s="17" t="str">
        <f t="shared" si="9"/>
        <v>e_BR-101_BR.BB.NW_1F.420</v>
      </c>
      <c r="W8" s="18" t="str">
        <f>IF($G8="BR",ADDRESS(ROW(INDEX(Tbl_BR_G1[BR_Group1],1)),COLUMN(Tbl_BR_G1[BR_Group1]),1,1,"DV")&amp;":"&amp;ADDRESS(ROW(INDEX(Tbl_BR_G1[BR_Group1],1))+ROWS(Tbl_BR_G1[BR_Group1])-1,COLUMN(Tbl_BR_G1[BR_Group1]),1,1),IF($G8="SZ",ADDRESS(ROW(INDEX(Tbl_SZ_G1[SZ_Group1],1)),COLUMN(Tbl_SZ_G1[SZ_Group1]),1,1,"DV")&amp;":"&amp;ADDRESS(ROW(INDEX(Tbl_SZ_G1[SZ_Group1],1))+ROWS(Tbl_SZ_G1[SZ_Group1])-1,COLUMN(Tbl_SZ_G1[SZ_Group1]),1,1),"_src!$A$1"))</f>
        <v>DV!$E$70:$E$78</v>
      </c>
      <c r="X8" s="18" t="str">
        <f>IF($G8="BR",ADDRESS(ROW(INDEX(Tbl_BR_G2[BR_Group2],1)),COLUMN(Tbl_BR_G2[BR_Group2]),1,1,"DV")&amp;":"&amp;ADDRESS(ROW(INDEX(Tbl_BR_G2[BR_Group2],1))+ROWS(Tbl_BR_G2[BR_Group2])-1,COLUMN(Tbl_BR_G2[BR_Group2]),1,1),IF($G8="SZ",ADDRESS(ROW(INDEX(Tbl_SZ_G2[SZ_Group2],1)),COLUMN(Tbl_SZ_G2[SZ_Group2]),1,1,"DV")&amp;":"&amp;ADDRESS(ROW(INDEX(Tbl_SZ_G2[SZ_Group2],1))+ROWS(Tbl_SZ_G2[SZ_Group2])-1,COLUMN(Tbl_SZ_G2[SZ_Group2]),1,1),"_src!$A$1"))</f>
        <v>DV!$J$70:$J$77</v>
      </c>
    </row>
    <row r="9" spans="1:24" x14ac:dyDescent="0.25">
      <c r="A9" s="11" t="s">
        <v>711</v>
      </c>
      <c r="B9" s="12" t="s">
        <v>80</v>
      </c>
      <c r="C9" s="13" t="str">
        <f t="shared" si="0"/>
        <v>e</v>
      </c>
      <c r="D9" s="14"/>
      <c r="E9" s="13" t="str">
        <f t="shared" si="1"/>
        <v/>
      </c>
      <c r="F9" s="12" t="s">
        <v>251</v>
      </c>
      <c r="G9" s="13" t="str">
        <f t="shared" si="2"/>
        <v>BR</v>
      </c>
      <c r="H9" s="12" t="s">
        <v>217</v>
      </c>
      <c r="I9" s="13" t="str">
        <f t="shared" si="3"/>
        <v>DC</v>
      </c>
      <c r="J9" s="13" t="str">
        <f t="shared" si="4"/>
        <v>3</v>
      </c>
      <c r="K9" s="12" t="s">
        <v>253</v>
      </c>
      <c r="L9" s="13" t="str">
        <f t="shared" si="5"/>
        <v>NW</v>
      </c>
      <c r="M9" s="12" t="s">
        <v>88</v>
      </c>
      <c r="N9" s="13" t="str">
        <f t="shared" si="6"/>
        <v>1F</v>
      </c>
      <c r="O9" s="12">
        <v>1</v>
      </c>
      <c r="P9" s="15"/>
      <c r="Q9" s="13" t="str">
        <f t="shared" si="7"/>
        <v>BR-301</v>
      </c>
      <c r="R9" s="12">
        <v>250</v>
      </c>
      <c r="S9" s="14"/>
      <c r="T9" s="16"/>
      <c r="U9" s="13" t="str">
        <f t="shared" si="8"/>
        <v>BR.DC.NW</v>
      </c>
      <c r="V9" s="17" t="str">
        <f t="shared" si="9"/>
        <v>e_BR-301_BR.DC.NW_1F.250</v>
      </c>
      <c r="W9" s="18" t="str">
        <f>IF($G9="BR",ADDRESS(ROW(INDEX(Tbl_BR_G1[BR_Group1],1)),COLUMN(Tbl_BR_G1[BR_Group1]),1,1,"DV")&amp;":"&amp;ADDRESS(ROW(INDEX(Tbl_BR_G1[BR_Group1],1))+ROWS(Tbl_BR_G1[BR_Group1])-1,COLUMN(Tbl_BR_G1[BR_Group1]),1,1),IF($G9="SZ",ADDRESS(ROW(INDEX(Tbl_SZ_G1[SZ_Group1],1)),COLUMN(Tbl_SZ_G1[SZ_Group1]),1,1,"DV")&amp;":"&amp;ADDRESS(ROW(INDEX(Tbl_SZ_G1[SZ_Group1],1))+ROWS(Tbl_SZ_G1[SZ_Group1])-1,COLUMN(Tbl_SZ_G1[SZ_Group1]),1,1),"_src!$A$1"))</f>
        <v>DV!$E$70:$E$78</v>
      </c>
      <c r="X9" s="18" t="str">
        <f>IF($G9="BR",ADDRESS(ROW(INDEX(Tbl_BR_G2[BR_Group2],1)),COLUMN(Tbl_BR_G2[BR_Group2]),1,1,"DV")&amp;":"&amp;ADDRESS(ROW(INDEX(Tbl_BR_G2[BR_Group2],1))+ROWS(Tbl_BR_G2[BR_Group2])-1,COLUMN(Tbl_BR_G2[BR_Group2]),1,1),IF($G9="SZ",ADDRESS(ROW(INDEX(Tbl_SZ_G2[SZ_Group2],1)),COLUMN(Tbl_SZ_G2[SZ_Group2]),1,1,"DV")&amp;":"&amp;ADDRESS(ROW(INDEX(Tbl_SZ_G2[SZ_Group2],1))+ROWS(Tbl_SZ_G2[SZ_Group2])-1,COLUMN(Tbl_SZ_G2[SZ_Group2]),1,1),"_src!$A$1"))</f>
        <v>DV!$J$70:$J$77</v>
      </c>
    </row>
    <row r="10" spans="1:24" x14ac:dyDescent="0.25">
      <c r="A10" s="11" t="s">
        <v>712</v>
      </c>
      <c r="B10" s="12" t="s">
        <v>80</v>
      </c>
      <c r="C10" s="13" t="str">
        <f t="shared" si="0"/>
        <v>e</v>
      </c>
      <c r="D10" s="14"/>
      <c r="E10" s="13" t="str">
        <f t="shared" si="1"/>
        <v/>
      </c>
      <c r="F10" s="12" t="s">
        <v>251</v>
      </c>
      <c r="G10" s="13" t="str">
        <f t="shared" si="2"/>
        <v>BR</v>
      </c>
      <c r="H10" s="12" t="s">
        <v>158</v>
      </c>
      <c r="I10" s="13" t="str">
        <f t="shared" si="3"/>
        <v>FR</v>
      </c>
      <c r="J10" s="13" t="str">
        <f t="shared" si="4"/>
        <v>5</v>
      </c>
      <c r="K10" s="12" t="s">
        <v>253</v>
      </c>
      <c r="L10" s="13" t="str">
        <f t="shared" si="5"/>
        <v>NW</v>
      </c>
      <c r="M10" s="12" t="s">
        <v>88</v>
      </c>
      <c r="N10" s="13" t="str">
        <f t="shared" si="6"/>
        <v>1F</v>
      </c>
      <c r="O10" s="12">
        <v>1</v>
      </c>
      <c r="P10" s="15"/>
      <c r="Q10" s="13" t="str">
        <f t="shared" si="7"/>
        <v>BR-501</v>
      </c>
      <c r="R10" s="12">
        <v>300</v>
      </c>
      <c r="S10" s="14"/>
      <c r="T10" s="16" t="s">
        <v>761</v>
      </c>
      <c r="U10" s="13" t="str">
        <f t="shared" si="8"/>
        <v>BR.FR.NW</v>
      </c>
      <c r="V10" s="17" t="str">
        <f t="shared" si="9"/>
        <v>e_BR-501_BR.FR.NW_1F.300_Pitched</v>
      </c>
      <c r="W10" s="18" t="str">
        <f>IF($G10="BR",ADDRESS(ROW(INDEX(Tbl_BR_G1[BR_Group1],1)),COLUMN(Tbl_BR_G1[BR_Group1]),1,1,"DV")&amp;":"&amp;ADDRESS(ROW(INDEX(Tbl_BR_G1[BR_Group1],1))+ROWS(Tbl_BR_G1[BR_Group1])-1,COLUMN(Tbl_BR_G1[BR_Group1]),1,1),IF($G10="SZ",ADDRESS(ROW(INDEX(Tbl_SZ_G1[SZ_Group1],1)),COLUMN(Tbl_SZ_G1[SZ_Group1]),1,1,"DV")&amp;":"&amp;ADDRESS(ROW(INDEX(Tbl_SZ_G1[SZ_Group1],1))+ROWS(Tbl_SZ_G1[SZ_Group1])-1,COLUMN(Tbl_SZ_G1[SZ_Group1]),1,1),"_src!$A$1"))</f>
        <v>DV!$E$70:$E$78</v>
      </c>
      <c r="X10" s="18" t="str">
        <f>IF($G10="BR",ADDRESS(ROW(INDEX(Tbl_BR_G2[BR_Group2],1)),COLUMN(Tbl_BR_G2[BR_Group2]),1,1,"DV")&amp;":"&amp;ADDRESS(ROW(INDEX(Tbl_BR_G2[BR_Group2],1))+ROWS(Tbl_BR_G2[BR_Group2])-1,COLUMN(Tbl_BR_G2[BR_Group2]),1,1),IF($G10="SZ",ADDRESS(ROW(INDEX(Tbl_SZ_G2[SZ_Group2],1)),COLUMN(Tbl_SZ_G2[SZ_Group2]),1,1,"DV")&amp;":"&amp;ADDRESS(ROW(INDEX(Tbl_SZ_G2[SZ_Group2],1))+ROWS(Tbl_SZ_G2[SZ_Group2])-1,COLUMN(Tbl_SZ_G2[SZ_Group2]),1,1),"_src!$A$1"))</f>
        <v>DV!$J$70:$J$77</v>
      </c>
    </row>
    <row r="11" spans="1:24" x14ac:dyDescent="0.25">
      <c r="A11" s="11" t="s">
        <v>713</v>
      </c>
      <c r="B11" s="12" t="s">
        <v>80</v>
      </c>
      <c r="C11" s="13" t="str">
        <f t="shared" si="0"/>
        <v>e</v>
      </c>
      <c r="D11" s="14"/>
      <c r="E11" s="13" t="str">
        <f t="shared" si="1"/>
        <v/>
      </c>
      <c r="F11" s="12" t="s">
        <v>251</v>
      </c>
      <c r="G11" s="13" t="str">
        <f t="shared" si="2"/>
        <v>BR</v>
      </c>
      <c r="H11" s="12" t="s">
        <v>158</v>
      </c>
      <c r="I11" s="13" t="str">
        <f t="shared" si="3"/>
        <v>FR</v>
      </c>
      <c r="J11" s="13" t="str">
        <f t="shared" si="4"/>
        <v>5</v>
      </c>
      <c r="K11" s="12" t="s">
        <v>266</v>
      </c>
      <c r="L11" s="13" t="str">
        <f t="shared" si="5"/>
        <v>CN</v>
      </c>
      <c r="M11" s="12" t="s">
        <v>82</v>
      </c>
      <c r="N11" s="13" t="str">
        <f t="shared" si="6"/>
        <v>0F</v>
      </c>
      <c r="O11" s="12">
        <v>2</v>
      </c>
      <c r="P11" s="15"/>
      <c r="Q11" s="13" t="str">
        <f t="shared" si="7"/>
        <v>BR-502</v>
      </c>
      <c r="R11" s="12">
        <v>180</v>
      </c>
      <c r="S11" s="14"/>
      <c r="T11" s="16"/>
      <c r="U11" s="13" t="str">
        <f t="shared" si="8"/>
        <v>BR.FR.CN</v>
      </c>
      <c r="V11" s="17" t="str">
        <f t="shared" si="9"/>
        <v>e_BR-502_BR.FR.CN_0F.180</v>
      </c>
      <c r="W11" s="18" t="str">
        <f>IF($G11="BR",ADDRESS(ROW(INDEX(Tbl_BR_G1[BR_Group1],1)),COLUMN(Tbl_BR_G1[BR_Group1]),1,1,"DV")&amp;":"&amp;ADDRESS(ROW(INDEX(Tbl_BR_G1[BR_Group1],1))+ROWS(Tbl_BR_G1[BR_Group1])-1,COLUMN(Tbl_BR_G1[BR_Group1]),1,1),IF($G11="SZ",ADDRESS(ROW(INDEX(Tbl_SZ_G1[SZ_Group1],1)),COLUMN(Tbl_SZ_G1[SZ_Group1]),1,1,"DV")&amp;":"&amp;ADDRESS(ROW(INDEX(Tbl_SZ_G1[SZ_Group1],1))+ROWS(Tbl_SZ_G1[SZ_Group1])-1,COLUMN(Tbl_SZ_G1[SZ_Group1]),1,1),"_src!$A$1"))</f>
        <v>DV!$E$70:$E$78</v>
      </c>
      <c r="X11" s="18" t="str">
        <f>IF($G11="BR",ADDRESS(ROW(INDEX(Tbl_BR_G2[BR_Group2],1)),COLUMN(Tbl_BR_G2[BR_Group2]),1,1,"DV")&amp;":"&amp;ADDRESS(ROW(INDEX(Tbl_BR_G2[BR_Group2],1))+ROWS(Tbl_BR_G2[BR_Group2])-1,COLUMN(Tbl_BR_G2[BR_Group2]),1,1),IF($G11="SZ",ADDRESS(ROW(INDEX(Tbl_SZ_G2[SZ_Group2],1)),COLUMN(Tbl_SZ_G2[SZ_Group2]),1,1,"DV")&amp;":"&amp;ADDRESS(ROW(INDEX(Tbl_SZ_G2[SZ_Group2],1))+ROWS(Tbl_SZ_G2[SZ_Group2])-1,COLUMN(Tbl_SZ_G2[SZ_Group2]),1,1),"_src!$A$1"))</f>
        <v>DV!$J$70:$J$77</v>
      </c>
    </row>
    <row r="12" spans="1:24" x14ac:dyDescent="0.25">
      <c r="A12" s="11" t="s">
        <v>715</v>
      </c>
      <c r="B12" s="12" t="s">
        <v>80</v>
      </c>
      <c r="C12" s="13" t="str">
        <f t="shared" si="0"/>
        <v>e</v>
      </c>
      <c r="D12" s="14"/>
      <c r="E12" s="13" t="str">
        <f t="shared" si="1"/>
        <v/>
      </c>
      <c r="F12" s="12" t="s">
        <v>251</v>
      </c>
      <c r="G12" s="13" t="str">
        <f t="shared" si="2"/>
        <v>BR</v>
      </c>
      <c r="H12" s="12" t="s">
        <v>179</v>
      </c>
      <c r="I12" s="13" t="str">
        <f t="shared" si="3"/>
        <v>PN</v>
      </c>
      <c r="J12" s="13" t="str">
        <f t="shared" si="4"/>
        <v>6</v>
      </c>
      <c r="K12" s="12" t="s">
        <v>191</v>
      </c>
      <c r="L12" s="13" t="str">
        <f t="shared" si="5"/>
        <v>IS</v>
      </c>
      <c r="M12" s="12" t="s">
        <v>82</v>
      </c>
      <c r="N12" s="13" t="str">
        <f t="shared" si="6"/>
        <v>0F</v>
      </c>
      <c r="O12" s="12">
        <v>1</v>
      </c>
      <c r="P12" s="15"/>
      <c r="Q12" s="13" t="str">
        <f t="shared" si="7"/>
        <v>BR-601</v>
      </c>
      <c r="R12" s="12">
        <v>120</v>
      </c>
      <c r="S12" s="14"/>
      <c r="T12" s="16"/>
      <c r="U12" s="13" t="str">
        <f t="shared" si="8"/>
        <v>BR.PN.IS</v>
      </c>
      <c r="V12" s="17" t="str">
        <f t="shared" si="9"/>
        <v>e_BR-601_BR.PN.IS_0F.120</v>
      </c>
      <c r="W12" s="18" t="str">
        <f>IF($G12="BR",ADDRESS(ROW(INDEX(Tbl_BR_G1[BR_Group1],1)),COLUMN(Tbl_BR_G1[BR_Group1]),1,1,"DV")&amp;":"&amp;ADDRESS(ROW(INDEX(Tbl_BR_G1[BR_Group1],1))+ROWS(Tbl_BR_G1[BR_Group1])-1,COLUMN(Tbl_BR_G1[BR_Group1]),1,1),IF($G12="SZ",ADDRESS(ROW(INDEX(Tbl_SZ_G1[SZ_Group1],1)),COLUMN(Tbl_SZ_G1[SZ_Group1]),1,1,"DV")&amp;":"&amp;ADDRESS(ROW(INDEX(Tbl_SZ_G1[SZ_Group1],1))+ROWS(Tbl_SZ_G1[SZ_Group1])-1,COLUMN(Tbl_SZ_G1[SZ_Group1]),1,1),"_src!$A$1"))</f>
        <v>DV!$E$70:$E$78</v>
      </c>
      <c r="X12" s="18" t="str">
        <f>IF($G12="BR",ADDRESS(ROW(INDEX(Tbl_BR_G2[BR_Group2],1)),COLUMN(Tbl_BR_G2[BR_Group2]),1,1,"DV")&amp;":"&amp;ADDRESS(ROW(INDEX(Tbl_BR_G2[BR_Group2],1))+ROWS(Tbl_BR_G2[BR_Group2])-1,COLUMN(Tbl_BR_G2[BR_Group2]),1,1),IF($G12="SZ",ADDRESS(ROW(INDEX(Tbl_SZ_G2[SZ_Group2],1)),COLUMN(Tbl_SZ_G2[SZ_Group2]),1,1,"DV")&amp;":"&amp;ADDRESS(ROW(INDEX(Tbl_SZ_G2[SZ_Group2],1))+ROWS(Tbl_SZ_G2[SZ_Group2])-1,COLUMN(Tbl_SZ_G2[SZ_Group2]),1,1),"_src!$A$1"))</f>
        <v>DV!$J$70:$J$77</v>
      </c>
    </row>
    <row r="13" spans="1:24" x14ac:dyDescent="0.25">
      <c r="A13" s="11" t="s">
        <v>716</v>
      </c>
      <c r="B13" s="12" t="s">
        <v>80</v>
      </c>
      <c r="C13" s="13" t="str">
        <f t="shared" si="0"/>
        <v>e</v>
      </c>
      <c r="D13" s="14"/>
      <c r="E13" s="13" t="str">
        <f t="shared" si="1"/>
        <v/>
      </c>
      <c r="F13" s="12" t="s">
        <v>251</v>
      </c>
      <c r="G13" s="13" t="str">
        <f t="shared" si="2"/>
        <v>BR</v>
      </c>
      <c r="H13" s="12" t="s">
        <v>108</v>
      </c>
      <c r="I13" s="13" t="str">
        <f t="shared" si="3"/>
        <v>OT</v>
      </c>
      <c r="J13" s="13" t="str">
        <f t="shared" si="4"/>
        <v>9</v>
      </c>
      <c r="K13" s="12" t="s">
        <v>273</v>
      </c>
      <c r="L13" s="13" t="str">
        <f t="shared" si="5"/>
        <v>CV</v>
      </c>
      <c r="M13" s="12" t="s">
        <v>82</v>
      </c>
      <c r="N13" s="13" t="str">
        <f t="shared" si="6"/>
        <v>0F</v>
      </c>
      <c r="O13" s="12"/>
      <c r="P13" s="15" t="s">
        <v>762</v>
      </c>
      <c r="Q13" s="13" t="str">
        <f t="shared" si="7"/>
        <v>MT-001</v>
      </c>
      <c r="R13" s="12">
        <v>5</v>
      </c>
      <c r="S13" s="14"/>
      <c r="T13" s="16"/>
      <c r="U13" s="13" t="str">
        <f t="shared" si="8"/>
        <v>BR.OT.CV</v>
      </c>
      <c r="V13" s="17" t="str">
        <f t="shared" si="9"/>
        <v>e_MT-001_BR.OT.CV_0F.5</v>
      </c>
      <c r="W13" s="18" t="str">
        <f>IF($G13="BR",ADDRESS(ROW(INDEX(Tbl_BR_G1[BR_Group1],1)),COLUMN(Tbl_BR_G1[BR_Group1]),1,1,"DV")&amp;":"&amp;ADDRESS(ROW(INDEX(Tbl_BR_G1[BR_Group1],1))+ROWS(Tbl_BR_G1[BR_Group1])-1,COLUMN(Tbl_BR_G1[BR_Group1]),1,1),IF($G13="SZ",ADDRESS(ROW(INDEX(Tbl_SZ_G1[SZ_Group1],1)),COLUMN(Tbl_SZ_G1[SZ_Group1]),1,1,"DV")&amp;":"&amp;ADDRESS(ROW(INDEX(Tbl_SZ_G1[SZ_Group1],1))+ROWS(Tbl_SZ_G1[SZ_Group1])-1,COLUMN(Tbl_SZ_G1[SZ_Group1]),1,1),"_src!$A$1"))</f>
        <v>DV!$E$70:$E$78</v>
      </c>
      <c r="X13" s="18" t="str">
        <f>IF($G13="BR",ADDRESS(ROW(INDEX(Tbl_BR_G2[BR_Group2],1)),COLUMN(Tbl_BR_G2[BR_Group2]),1,1,"DV")&amp;":"&amp;ADDRESS(ROW(INDEX(Tbl_BR_G2[BR_Group2],1))+ROWS(Tbl_BR_G2[BR_Group2])-1,COLUMN(Tbl_BR_G2[BR_Group2]),1,1),IF($G13="SZ",ADDRESS(ROW(INDEX(Tbl_SZ_G2[SZ_Group2],1)),COLUMN(Tbl_SZ_G2[SZ_Group2]),1,1,"DV")&amp;":"&amp;ADDRESS(ROW(INDEX(Tbl_SZ_G2[SZ_Group2],1))+ROWS(Tbl_SZ_G2[SZ_Group2])-1,COLUMN(Tbl_SZ_G2[SZ_Group2]),1,1),"_src!$A$1"))</f>
        <v>DV!$J$70:$J$77</v>
      </c>
    </row>
    <row r="14" spans="1:24" x14ac:dyDescent="0.25">
      <c r="A14" s="11" t="s">
        <v>717</v>
      </c>
      <c r="B14" s="12" t="s">
        <v>80</v>
      </c>
      <c r="C14" s="13" t="str">
        <f t="shared" si="0"/>
        <v>e</v>
      </c>
      <c r="D14" s="14"/>
      <c r="E14" s="13" t="str">
        <f t="shared" si="1"/>
        <v/>
      </c>
      <c r="F14" s="12" t="s">
        <v>256</v>
      </c>
      <c r="G14" s="13" t="str">
        <f t="shared" si="2"/>
        <v>SZ</v>
      </c>
      <c r="H14" s="12" t="s">
        <v>294</v>
      </c>
      <c r="I14" s="13" t="str">
        <f t="shared" si="3"/>
        <v>UN</v>
      </c>
      <c r="J14" s="13" t="str">
        <f t="shared" si="4"/>
        <v>2</v>
      </c>
      <c r="K14" s="12" t="s">
        <v>284</v>
      </c>
      <c r="L14" s="13" t="str">
        <f t="shared" si="5"/>
        <v>SL</v>
      </c>
      <c r="M14" s="12" t="s">
        <v>82</v>
      </c>
      <c r="N14" s="13" t="str">
        <f t="shared" si="6"/>
        <v>0F</v>
      </c>
      <c r="O14" s="12">
        <v>1</v>
      </c>
      <c r="P14" s="15"/>
      <c r="Q14" s="13" t="str">
        <f t="shared" si="7"/>
        <v>SZ-201</v>
      </c>
      <c r="R14" s="12">
        <v>60</v>
      </c>
      <c r="S14" s="14"/>
      <c r="T14" s="16"/>
      <c r="U14" s="13" t="str">
        <f t="shared" si="8"/>
        <v>SZ.UN.SL</v>
      </c>
      <c r="V14" s="17" t="str">
        <f t="shared" si="9"/>
        <v>e_SZ-201_SZ.UN.SL_0F.60</v>
      </c>
      <c r="W14" s="18" t="str">
        <f>IF($G14="BR",ADDRESS(ROW(INDEX(Tbl_BR_G1[BR_Group1],1)),COLUMN(Tbl_BR_G1[BR_Group1]),1,1,"DV")&amp;":"&amp;ADDRESS(ROW(INDEX(Tbl_BR_G1[BR_Group1],1))+ROWS(Tbl_BR_G1[BR_Group1])-1,COLUMN(Tbl_BR_G1[BR_Group1]),1,1),IF($G14="SZ",ADDRESS(ROW(INDEX(Tbl_SZ_G1[SZ_Group1],1)),COLUMN(Tbl_SZ_G1[SZ_Group1]),1,1,"DV")&amp;":"&amp;ADDRESS(ROW(INDEX(Tbl_SZ_G1[SZ_Group1],1))+ROWS(Tbl_SZ_G1[SZ_Group1])-1,COLUMN(Tbl_SZ_G1[SZ_Group1]),1,1),"_src!$A$1"))</f>
        <v>DV!$E$82:$E$86</v>
      </c>
      <c r="X14" s="18" t="str">
        <f>IF($G14="BR",ADDRESS(ROW(INDEX(Tbl_BR_G2[BR_Group2],1)),COLUMN(Tbl_BR_G2[BR_Group2]),1,1,"DV")&amp;":"&amp;ADDRESS(ROW(INDEX(Tbl_BR_G2[BR_Group2],1))+ROWS(Tbl_BR_G2[BR_Group2])-1,COLUMN(Tbl_BR_G2[BR_Group2]),1,1),IF($G14="SZ",ADDRESS(ROW(INDEX(Tbl_SZ_G2[SZ_Group2],1)),COLUMN(Tbl_SZ_G2[SZ_Group2]),1,1,"DV")&amp;":"&amp;ADDRESS(ROW(INDEX(Tbl_SZ_G2[SZ_Group2],1))+ROWS(Tbl_SZ_G2[SZ_Group2])-1,COLUMN(Tbl_SZ_G2[SZ_Group2]),1,1),"_src!$A$1"))</f>
        <v>DV!$J$81:$J$88</v>
      </c>
    </row>
    <row r="15" spans="1:24" x14ac:dyDescent="0.25">
      <c r="A15" s="11" t="s">
        <v>719</v>
      </c>
      <c r="B15" s="12" t="s">
        <v>80</v>
      </c>
      <c r="C15" s="13" t="str">
        <f t="shared" si="0"/>
        <v>e</v>
      </c>
      <c r="D15" s="14" t="s">
        <v>84</v>
      </c>
      <c r="E15" s="13" t="str">
        <f t="shared" si="1"/>
        <v>(I)</v>
      </c>
      <c r="F15" s="12" t="s">
        <v>251</v>
      </c>
      <c r="G15" s="13" t="str">
        <f t="shared" si="2"/>
        <v>BR</v>
      </c>
      <c r="H15" s="12" t="s">
        <v>172</v>
      </c>
      <c r="I15" s="13" t="str">
        <f t="shared" si="3"/>
        <v>MN</v>
      </c>
      <c r="J15" s="13" t="str">
        <f t="shared" si="4"/>
        <v>2</v>
      </c>
      <c r="K15" s="12" t="s">
        <v>253</v>
      </c>
      <c r="L15" s="13" t="str">
        <f t="shared" si="5"/>
        <v>NW</v>
      </c>
      <c r="M15" s="12" t="s">
        <v>88</v>
      </c>
      <c r="N15" s="13" t="str">
        <f t="shared" si="6"/>
        <v>1F</v>
      </c>
      <c r="O15" s="12">
        <v>1</v>
      </c>
      <c r="P15" s="15"/>
      <c r="Q15" s="13" t="str">
        <f t="shared" si="7"/>
        <v>BR-201</v>
      </c>
      <c r="R15" s="12">
        <v>400</v>
      </c>
      <c r="S15" s="14"/>
      <c r="T15" s="16"/>
      <c r="U15" s="13" t="str">
        <f t="shared" si="8"/>
        <v>BR.MN.NW</v>
      </c>
      <c r="V15" s="17" t="str">
        <f t="shared" si="9"/>
        <v>e_BR-201_(I)BR.MN.NW_1F.400</v>
      </c>
      <c r="W15" s="18" t="str">
        <f>IF($G15="BR",ADDRESS(ROW(INDEX(Tbl_BR_G1[BR_Group1],1)),COLUMN(Tbl_BR_G1[BR_Group1]),1,1,"DV")&amp;":"&amp;ADDRESS(ROW(INDEX(Tbl_BR_G1[BR_Group1],1))+ROWS(Tbl_BR_G1[BR_Group1])-1,COLUMN(Tbl_BR_G1[BR_Group1]),1,1),IF($G15="SZ",ADDRESS(ROW(INDEX(Tbl_SZ_G1[SZ_Group1],1)),COLUMN(Tbl_SZ_G1[SZ_Group1]),1,1,"DV")&amp;":"&amp;ADDRESS(ROW(INDEX(Tbl_SZ_G1[SZ_Group1],1))+ROWS(Tbl_SZ_G1[SZ_Group1])-1,COLUMN(Tbl_SZ_G1[SZ_Group1]),1,1),"_src!$A$1"))</f>
        <v>DV!$E$70:$E$78</v>
      </c>
      <c r="X15" s="18" t="str">
        <f>IF($G15="BR",ADDRESS(ROW(INDEX(Tbl_BR_G2[BR_Group2],1)),COLUMN(Tbl_BR_G2[BR_Group2]),1,1,"DV")&amp;":"&amp;ADDRESS(ROW(INDEX(Tbl_BR_G2[BR_Group2],1))+ROWS(Tbl_BR_G2[BR_Group2])-1,COLUMN(Tbl_BR_G2[BR_Group2]),1,1),IF($G15="SZ",ADDRESS(ROW(INDEX(Tbl_SZ_G2[SZ_Group2],1)),COLUMN(Tbl_SZ_G2[SZ_Group2]),1,1,"DV")&amp;":"&amp;ADDRESS(ROW(INDEX(Tbl_SZ_G2[SZ_Group2],1))+ROWS(Tbl_SZ_G2[SZ_Group2])-1,COLUMN(Tbl_SZ_G2[SZ_Group2]),1,1),"_src!$A$1"))</f>
        <v>DV!$J$70:$J$77</v>
      </c>
    </row>
    <row r="16" spans="1:24" x14ac:dyDescent="0.25">
      <c r="A16" s="19">
        <v>1</v>
      </c>
      <c r="B16" s="20"/>
      <c r="C16" s="21" t="str">
        <f t="shared" si="0"/>
        <v/>
      </c>
      <c r="D16" s="22"/>
      <c r="E16" s="21" t="str">
        <f t="shared" si="1"/>
        <v/>
      </c>
      <c r="F16" s="20"/>
      <c r="G16" s="21" t="str">
        <f t="shared" si="2"/>
        <v/>
      </c>
      <c r="H16" s="20"/>
      <c r="I16" s="21" t="str">
        <f t="shared" si="3"/>
        <v/>
      </c>
      <c r="J16" s="21" t="str">
        <f t="shared" si="4"/>
        <v/>
      </c>
      <c r="K16" s="20"/>
      <c r="L16" s="21" t="str">
        <f t="shared" si="5"/>
        <v/>
      </c>
      <c r="M16" s="20"/>
      <c r="N16" s="21" t="str">
        <f t="shared" si="6"/>
        <v/>
      </c>
      <c r="O16" s="20"/>
      <c r="P16" s="23"/>
      <c r="Q16" s="21" t="str">
        <f t="shared" si="7"/>
        <v/>
      </c>
      <c r="R16" s="20"/>
      <c r="S16" s="22"/>
      <c r="T16" s="24"/>
      <c r="U16" s="21" t="str">
        <f t="shared" si="8"/>
        <v/>
      </c>
      <c r="V16" s="25" t="str">
        <f t="shared" si="9"/>
        <v/>
      </c>
      <c r="W16" s="18" t="str">
        <f>IF($G16="BR",ADDRESS(ROW(INDEX(Tbl_BR_G1[BR_Group1],1)),COLUMN(Tbl_BR_G1[BR_Group1]),1,1,"DV")&amp;":"&amp;ADDRESS(ROW(INDEX(Tbl_BR_G1[BR_Group1],1))+ROWS(Tbl_BR_G1[BR_Group1])-1,COLUMN(Tbl_BR_G1[BR_Group1]),1,1),IF($G16="SZ",ADDRESS(ROW(INDEX(Tbl_SZ_G1[SZ_Group1],1)),COLUMN(Tbl_SZ_G1[SZ_Group1]),1,1,"DV")&amp;":"&amp;ADDRESS(ROW(INDEX(Tbl_SZ_G1[SZ_Group1],1))+ROWS(Tbl_SZ_G1[SZ_Group1])-1,COLUMN(Tbl_SZ_G1[SZ_Group1]),1,1),"_src!$A$1"))</f>
        <v>_src!$A$1</v>
      </c>
      <c r="X16" s="18" t="str">
        <f>IF($G16="BR",ADDRESS(ROW(INDEX(Tbl_BR_G2[BR_Group2],1)),COLUMN(Tbl_BR_G2[BR_Group2]),1,1,"DV")&amp;":"&amp;ADDRESS(ROW(INDEX(Tbl_BR_G2[BR_Group2],1))+ROWS(Tbl_BR_G2[BR_Group2])-1,COLUMN(Tbl_BR_G2[BR_Group2]),1,1),IF($G16="SZ",ADDRESS(ROW(INDEX(Tbl_SZ_G2[SZ_Group2],1)),COLUMN(Tbl_SZ_G2[SZ_Group2]),1,1,"DV")&amp;":"&amp;ADDRESS(ROW(INDEX(Tbl_SZ_G2[SZ_Group2],1))+ROWS(Tbl_SZ_G2[SZ_Group2])-1,COLUMN(Tbl_SZ_G2[SZ_Group2]),1,1),"_src!$A$1"))</f>
        <v>_src!$A$1</v>
      </c>
    </row>
    <row r="17" spans="1:24" x14ac:dyDescent="0.25">
      <c r="A17" s="19">
        <v>2</v>
      </c>
      <c r="B17" s="20"/>
      <c r="C17" s="21" t="str">
        <f t="shared" si="0"/>
        <v/>
      </c>
      <c r="D17" s="22"/>
      <c r="E17" s="21" t="str">
        <f t="shared" si="1"/>
        <v/>
      </c>
      <c r="F17" s="20"/>
      <c r="G17" s="21" t="str">
        <f t="shared" si="2"/>
        <v/>
      </c>
      <c r="H17" s="20"/>
      <c r="I17" s="21" t="str">
        <f t="shared" si="3"/>
        <v/>
      </c>
      <c r="J17" s="21" t="str">
        <f t="shared" si="4"/>
        <v/>
      </c>
      <c r="K17" s="20"/>
      <c r="L17" s="21" t="str">
        <f t="shared" si="5"/>
        <v/>
      </c>
      <c r="M17" s="20"/>
      <c r="N17" s="21" t="str">
        <f t="shared" si="6"/>
        <v/>
      </c>
      <c r="O17" s="20"/>
      <c r="P17" s="23"/>
      <c r="Q17" s="21" t="str">
        <f t="shared" si="7"/>
        <v/>
      </c>
      <c r="R17" s="20"/>
      <c r="S17" s="22"/>
      <c r="T17" s="24"/>
      <c r="U17" s="21" t="str">
        <f t="shared" si="8"/>
        <v/>
      </c>
      <c r="V17" s="25" t="str">
        <f t="shared" si="9"/>
        <v/>
      </c>
      <c r="W17" s="18" t="str">
        <f>IF($G17="BR",ADDRESS(ROW(INDEX(Tbl_BR_G1[BR_Group1],1)),COLUMN(Tbl_BR_G1[BR_Group1]),1,1,"DV")&amp;":"&amp;ADDRESS(ROW(INDEX(Tbl_BR_G1[BR_Group1],1))+ROWS(Tbl_BR_G1[BR_Group1])-1,COLUMN(Tbl_BR_G1[BR_Group1]),1,1),IF($G17="SZ",ADDRESS(ROW(INDEX(Tbl_SZ_G1[SZ_Group1],1)),COLUMN(Tbl_SZ_G1[SZ_Group1]),1,1,"DV")&amp;":"&amp;ADDRESS(ROW(INDEX(Tbl_SZ_G1[SZ_Group1],1))+ROWS(Tbl_SZ_G1[SZ_Group1])-1,COLUMN(Tbl_SZ_G1[SZ_Group1]),1,1),"_src!$A$1"))</f>
        <v>_src!$A$1</v>
      </c>
      <c r="X17" s="18" t="str">
        <f>IF($G17="BR",ADDRESS(ROW(INDEX(Tbl_BR_G2[BR_Group2],1)),COLUMN(Tbl_BR_G2[BR_Group2]),1,1,"DV")&amp;":"&amp;ADDRESS(ROW(INDEX(Tbl_BR_G2[BR_Group2],1))+ROWS(Tbl_BR_G2[BR_Group2])-1,COLUMN(Tbl_BR_G2[BR_Group2]),1,1),IF($G17="SZ",ADDRESS(ROW(INDEX(Tbl_SZ_G2[SZ_Group2],1)),COLUMN(Tbl_SZ_G2[SZ_Group2]),1,1,"DV")&amp;":"&amp;ADDRESS(ROW(INDEX(Tbl_SZ_G2[SZ_Group2],1))+ROWS(Tbl_SZ_G2[SZ_Group2])-1,COLUMN(Tbl_SZ_G2[SZ_Group2]),1,1),"_src!$A$1"))</f>
        <v>_src!$A$1</v>
      </c>
    </row>
    <row r="18" spans="1:24" x14ac:dyDescent="0.25">
      <c r="A18" s="19">
        <v>3</v>
      </c>
      <c r="B18" s="20"/>
      <c r="C18" s="21" t="str">
        <f t="shared" si="0"/>
        <v/>
      </c>
      <c r="D18" s="22"/>
      <c r="E18" s="21" t="str">
        <f t="shared" si="1"/>
        <v/>
      </c>
      <c r="F18" s="20"/>
      <c r="G18" s="21" t="str">
        <f t="shared" si="2"/>
        <v/>
      </c>
      <c r="H18" s="20"/>
      <c r="I18" s="21" t="str">
        <f t="shared" si="3"/>
        <v/>
      </c>
      <c r="J18" s="21" t="str">
        <f t="shared" si="4"/>
        <v/>
      </c>
      <c r="K18" s="20"/>
      <c r="L18" s="21" t="str">
        <f t="shared" si="5"/>
        <v/>
      </c>
      <c r="M18" s="20"/>
      <c r="N18" s="21" t="str">
        <f t="shared" si="6"/>
        <v/>
      </c>
      <c r="O18" s="20"/>
      <c r="P18" s="23"/>
      <c r="Q18" s="21" t="str">
        <f t="shared" si="7"/>
        <v/>
      </c>
      <c r="R18" s="20"/>
      <c r="S18" s="22"/>
      <c r="T18" s="24"/>
      <c r="U18" s="21" t="str">
        <f t="shared" si="8"/>
        <v/>
      </c>
      <c r="V18" s="25" t="str">
        <f t="shared" si="9"/>
        <v/>
      </c>
      <c r="W18" s="18" t="str">
        <f>IF($G18="BR",ADDRESS(ROW(INDEX(Tbl_BR_G1[BR_Group1],1)),COLUMN(Tbl_BR_G1[BR_Group1]),1,1,"DV")&amp;":"&amp;ADDRESS(ROW(INDEX(Tbl_BR_G1[BR_Group1],1))+ROWS(Tbl_BR_G1[BR_Group1])-1,COLUMN(Tbl_BR_G1[BR_Group1]),1,1),IF($G18="SZ",ADDRESS(ROW(INDEX(Tbl_SZ_G1[SZ_Group1],1)),COLUMN(Tbl_SZ_G1[SZ_Group1]),1,1,"DV")&amp;":"&amp;ADDRESS(ROW(INDEX(Tbl_SZ_G1[SZ_Group1],1))+ROWS(Tbl_SZ_G1[SZ_Group1])-1,COLUMN(Tbl_SZ_G1[SZ_Group1]),1,1),"_src!$A$1"))</f>
        <v>_src!$A$1</v>
      </c>
      <c r="X18" s="18" t="str">
        <f>IF($G18="BR",ADDRESS(ROW(INDEX(Tbl_BR_G2[BR_Group2],1)),COLUMN(Tbl_BR_G2[BR_Group2]),1,1,"DV")&amp;":"&amp;ADDRESS(ROW(INDEX(Tbl_BR_G2[BR_Group2],1))+ROWS(Tbl_BR_G2[BR_Group2])-1,COLUMN(Tbl_BR_G2[BR_Group2]),1,1),IF($G18="SZ",ADDRESS(ROW(INDEX(Tbl_SZ_G2[SZ_Group2],1)),COLUMN(Tbl_SZ_G2[SZ_Group2]),1,1,"DV")&amp;":"&amp;ADDRESS(ROW(INDEX(Tbl_SZ_G2[SZ_Group2],1))+ROWS(Tbl_SZ_G2[SZ_Group2])-1,COLUMN(Tbl_SZ_G2[SZ_Group2]),1,1),"_src!$A$1"))</f>
        <v>_src!$A$1</v>
      </c>
    </row>
    <row r="19" spans="1:24" x14ac:dyDescent="0.25">
      <c r="A19" s="19">
        <v>4</v>
      </c>
      <c r="B19" s="20"/>
      <c r="C19" s="21" t="str">
        <f t="shared" si="0"/>
        <v/>
      </c>
      <c r="D19" s="22"/>
      <c r="E19" s="21" t="str">
        <f t="shared" si="1"/>
        <v/>
      </c>
      <c r="F19" s="20"/>
      <c r="G19" s="21" t="str">
        <f t="shared" si="2"/>
        <v/>
      </c>
      <c r="H19" s="20"/>
      <c r="I19" s="21" t="str">
        <f t="shared" si="3"/>
        <v/>
      </c>
      <c r="J19" s="21" t="str">
        <f t="shared" si="4"/>
        <v/>
      </c>
      <c r="K19" s="20"/>
      <c r="L19" s="21" t="str">
        <f t="shared" si="5"/>
        <v/>
      </c>
      <c r="M19" s="20"/>
      <c r="N19" s="21" t="str">
        <f t="shared" si="6"/>
        <v/>
      </c>
      <c r="O19" s="20"/>
      <c r="P19" s="23"/>
      <c r="Q19" s="21" t="str">
        <f t="shared" si="7"/>
        <v/>
      </c>
      <c r="R19" s="20"/>
      <c r="S19" s="22"/>
      <c r="T19" s="24"/>
      <c r="U19" s="21" t="str">
        <f t="shared" si="8"/>
        <v/>
      </c>
      <c r="V19" s="25" t="str">
        <f t="shared" si="9"/>
        <v/>
      </c>
      <c r="W19" s="18" t="str">
        <f>IF($G19="BR",ADDRESS(ROW(INDEX(Tbl_BR_G1[BR_Group1],1)),COLUMN(Tbl_BR_G1[BR_Group1]),1,1,"DV")&amp;":"&amp;ADDRESS(ROW(INDEX(Tbl_BR_G1[BR_Group1],1))+ROWS(Tbl_BR_G1[BR_Group1])-1,COLUMN(Tbl_BR_G1[BR_Group1]),1,1),IF($G19="SZ",ADDRESS(ROW(INDEX(Tbl_SZ_G1[SZ_Group1],1)),COLUMN(Tbl_SZ_G1[SZ_Group1]),1,1,"DV")&amp;":"&amp;ADDRESS(ROW(INDEX(Tbl_SZ_G1[SZ_Group1],1))+ROWS(Tbl_SZ_G1[SZ_Group1])-1,COLUMN(Tbl_SZ_G1[SZ_Group1]),1,1),"_src!$A$1"))</f>
        <v>_src!$A$1</v>
      </c>
      <c r="X19" s="18" t="str">
        <f>IF($G19="BR",ADDRESS(ROW(INDEX(Tbl_BR_G2[BR_Group2],1)),COLUMN(Tbl_BR_G2[BR_Group2]),1,1,"DV")&amp;":"&amp;ADDRESS(ROW(INDEX(Tbl_BR_G2[BR_Group2],1))+ROWS(Tbl_BR_G2[BR_Group2])-1,COLUMN(Tbl_BR_G2[BR_Group2]),1,1),IF($G19="SZ",ADDRESS(ROW(INDEX(Tbl_SZ_G2[SZ_Group2],1)),COLUMN(Tbl_SZ_G2[SZ_Group2]),1,1,"DV")&amp;":"&amp;ADDRESS(ROW(INDEX(Tbl_SZ_G2[SZ_Group2],1))+ROWS(Tbl_SZ_G2[SZ_Group2])-1,COLUMN(Tbl_SZ_G2[SZ_Group2]),1,1),"_src!$A$1"))</f>
        <v>_src!$A$1</v>
      </c>
    </row>
    <row r="20" spans="1:24" x14ac:dyDescent="0.25">
      <c r="A20" s="19">
        <v>5</v>
      </c>
      <c r="B20" s="20"/>
      <c r="C20" s="21" t="str">
        <f t="shared" si="0"/>
        <v/>
      </c>
      <c r="D20" s="22"/>
      <c r="E20" s="21" t="str">
        <f t="shared" si="1"/>
        <v/>
      </c>
      <c r="F20" s="20"/>
      <c r="G20" s="21" t="str">
        <f t="shared" si="2"/>
        <v/>
      </c>
      <c r="H20" s="20"/>
      <c r="I20" s="21" t="str">
        <f t="shared" si="3"/>
        <v/>
      </c>
      <c r="J20" s="21" t="str">
        <f t="shared" si="4"/>
        <v/>
      </c>
      <c r="K20" s="20"/>
      <c r="L20" s="21" t="str">
        <f t="shared" si="5"/>
        <v/>
      </c>
      <c r="M20" s="20"/>
      <c r="N20" s="21" t="str">
        <f t="shared" si="6"/>
        <v/>
      </c>
      <c r="O20" s="20"/>
      <c r="P20" s="23"/>
      <c r="Q20" s="21" t="str">
        <f t="shared" si="7"/>
        <v/>
      </c>
      <c r="R20" s="20"/>
      <c r="S20" s="22"/>
      <c r="T20" s="24"/>
      <c r="U20" s="21" t="str">
        <f t="shared" si="8"/>
        <v/>
      </c>
      <c r="V20" s="25" t="str">
        <f t="shared" si="9"/>
        <v/>
      </c>
      <c r="W20" s="18" t="str">
        <f>IF($G20="BR",ADDRESS(ROW(INDEX(Tbl_BR_G1[BR_Group1],1)),COLUMN(Tbl_BR_G1[BR_Group1]),1,1,"DV")&amp;":"&amp;ADDRESS(ROW(INDEX(Tbl_BR_G1[BR_Group1],1))+ROWS(Tbl_BR_G1[BR_Group1])-1,COLUMN(Tbl_BR_G1[BR_Group1]),1,1),IF($G20="SZ",ADDRESS(ROW(INDEX(Tbl_SZ_G1[SZ_Group1],1)),COLUMN(Tbl_SZ_G1[SZ_Group1]),1,1,"DV")&amp;":"&amp;ADDRESS(ROW(INDEX(Tbl_SZ_G1[SZ_Group1],1))+ROWS(Tbl_SZ_G1[SZ_Group1])-1,COLUMN(Tbl_SZ_G1[SZ_Group1]),1,1),"_src!$A$1"))</f>
        <v>_src!$A$1</v>
      </c>
      <c r="X20" s="18" t="str">
        <f>IF($G20="BR",ADDRESS(ROW(INDEX(Tbl_BR_G2[BR_Group2],1)),COLUMN(Tbl_BR_G2[BR_Group2]),1,1,"DV")&amp;":"&amp;ADDRESS(ROW(INDEX(Tbl_BR_G2[BR_Group2],1))+ROWS(Tbl_BR_G2[BR_Group2])-1,COLUMN(Tbl_BR_G2[BR_Group2]),1,1),IF($G20="SZ",ADDRESS(ROW(INDEX(Tbl_SZ_G2[SZ_Group2],1)),COLUMN(Tbl_SZ_G2[SZ_Group2]),1,1,"DV")&amp;":"&amp;ADDRESS(ROW(INDEX(Tbl_SZ_G2[SZ_Group2],1))+ROWS(Tbl_SZ_G2[SZ_Group2])-1,COLUMN(Tbl_SZ_G2[SZ_Group2]),1,1),"_src!$A$1"))</f>
        <v>_src!$A$1</v>
      </c>
    </row>
    <row r="21" spans="1:24" x14ac:dyDescent="0.25">
      <c r="A21" s="19">
        <v>6</v>
      </c>
      <c r="B21" s="20"/>
      <c r="C21" s="21" t="str">
        <f t="shared" si="0"/>
        <v/>
      </c>
      <c r="D21" s="22"/>
      <c r="E21" s="21" t="str">
        <f t="shared" si="1"/>
        <v/>
      </c>
      <c r="F21" s="20"/>
      <c r="G21" s="21" t="str">
        <f t="shared" si="2"/>
        <v/>
      </c>
      <c r="H21" s="20"/>
      <c r="I21" s="21" t="str">
        <f t="shared" si="3"/>
        <v/>
      </c>
      <c r="J21" s="21" t="str">
        <f t="shared" si="4"/>
        <v/>
      </c>
      <c r="K21" s="20"/>
      <c r="L21" s="21" t="str">
        <f t="shared" si="5"/>
        <v/>
      </c>
      <c r="M21" s="20"/>
      <c r="N21" s="21" t="str">
        <f t="shared" si="6"/>
        <v/>
      </c>
      <c r="O21" s="20"/>
      <c r="P21" s="23"/>
      <c r="Q21" s="21" t="str">
        <f t="shared" si="7"/>
        <v/>
      </c>
      <c r="R21" s="20"/>
      <c r="S21" s="22"/>
      <c r="T21" s="24"/>
      <c r="U21" s="21" t="str">
        <f t="shared" si="8"/>
        <v/>
      </c>
      <c r="V21" s="25" t="str">
        <f t="shared" si="9"/>
        <v/>
      </c>
      <c r="W21" s="18" t="str">
        <f>IF($G21="BR",ADDRESS(ROW(INDEX(Tbl_BR_G1[BR_Group1],1)),COLUMN(Tbl_BR_G1[BR_Group1]),1,1,"DV")&amp;":"&amp;ADDRESS(ROW(INDEX(Tbl_BR_G1[BR_Group1],1))+ROWS(Tbl_BR_G1[BR_Group1])-1,COLUMN(Tbl_BR_G1[BR_Group1]),1,1),IF($G21="SZ",ADDRESS(ROW(INDEX(Tbl_SZ_G1[SZ_Group1],1)),COLUMN(Tbl_SZ_G1[SZ_Group1]),1,1,"DV")&amp;":"&amp;ADDRESS(ROW(INDEX(Tbl_SZ_G1[SZ_Group1],1))+ROWS(Tbl_SZ_G1[SZ_Group1])-1,COLUMN(Tbl_SZ_G1[SZ_Group1]),1,1),"_src!$A$1"))</f>
        <v>_src!$A$1</v>
      </c>
      <c r="X21" s="18" t="str">
        <f>IF($G21="BR",ADDRESS(ROW(INDEX(Tbl_BR_G2[BR_Group2],1)),COLUMN(Tbl_BR_G2[BR_Group2]),1,1,"DV")&amp;":"&amp;ADDRESS(ROW(INDEX(Tbl_BR_G2[BR_Group2],1))+ROWS(Tbl_BR_G2[BR_Group2])-1,COLUMN(Tbl_BR_G2[BR_Group2]),1,1),IF($G21="SZ",ADDRESS(ROW(INDEX(Tbl_SZ_G2[SZ_Group2],1)),COLUMN(Tbl_SZ_G2[SZ_Group2]),1,1,"DV")&amp;":"&amp;ADDRESS(ROW(INDEX(Tbl_SZ_G2[SZ_Group2],1))+ROWS(Tbl_SZ_G2[SZ_Group2])-1,COLUMN(Tbl_SZ_G2[SZ_Group2]),1,1),"_src!$A$1"))</f>
        <v>_src!$A$1</v>
      </c>
    </row>
    <row r="22" spans="1:24" x14ac:dyDescent="0.25">
      <c r="A22" s="19">
        <v>7</v>
      </c>
      <c r="B22" s="20"/>
      <c r="C22" s="21" t="str">
        <f t="shared" si="0"/>
        <v/>
      </c>
      <c r="D22" s="22"/>
      <c r="E22" s="21" t="str">
        <f t="shared" si="1"/>
        <v/>
      </c>
      <c r="F22" s="20"/>
      <c r="G22" s="21" t="str">
        <f t="shared" si="2"/>
        <v/>
      </c>
      <c r="H22" s="20"/>
      <c r="I22" s="21" t="str">
        <f t="shared" si="3"/>
        <v/>
      </c>
      <c r="J22" s="21" t="str">
        <f t="shared" si="4"/>
        <v/>
      </c>
      <c r="K22" s="20"/>
      <c r="L22" s="21" t="str">
        <f t="shared" si="5"/>
        <v/>
      </c>
      <c r="M22" s="20"/>
      <c r="N22" s="21" t="str">
        <f t="shared" si="6"/>
        <v/>
      </c>
      <c r="O22" s="20"/>
      <c r="P22" s="23"/>
      <c r="Q22" s="21" t="str">
        <f t="shared" si="7"/>
        <v/>
      </c>
      <c r="R22" s="20"/>
      <c r="S22" s="22"/>
      <c r="T22" s="24"/>
      <c r="U22" s="21" t="str">
        <f t="shared" si="8"/>
        <v/>
      </c>
      <c r="V22" s="25" t="str">
        <f t="shared" si="9"/>
        <v/>
      </c>
      <c r="W22" s="18" t="str">
        <f>IF($G22="BR",ADDRESS(ROW(INDEX(Tbl_BR_G1[BR_Group1],1)),COLUMN(Tbl_BR_G1[BR_Group1]),1,1,"DV")&amp;":"&amp;ADDRESS(ROW(INDEX(Tbl_BR_G1[BR_Group1],1))+ROWS(Tbl_BR_G1[BR_Group1])-1,COLUMN(Tbl_BR_G1[BR_Group1]),1,1),IF($G22="SZ",ADDRESS(ROW(INDEX(Tbl_SZ_G1[SZ_Group1],1)),COLUMN(Tbl_SZ_G1[SZ_Group1]),1,1,"DV")&amp;":"&amp;ADDRESS(ROW(INDEX(Tbl_SZ_G1[SZ_Group1],1))+ROWS(Tbl_SZ_G1[SZ_Group1])-1,COLUMN(Tbl_SZ_G1[SZ_Group1]),1,1),"_src!$A$1"))</f>
        <v>_src!$A$1</v>
      </c>
      <c r="X22" s="18" t="str">
        <f>IF($G22="BR",ADDRESS(ROW(INDEX(Tbl_BR_G2[BR_Group2],1)),COLUMN(Tbl_BR_G2[BR_Group2]),1,1,"DV")&amp;":"&amp;ADDRESS(ROW(INDEX(Tbl_BR_G2[BR_Group2],1))+ROWS(Tbl_BR_G2[BR_Group2])-1,COLUMN(Tbl_BR_G2[BR_Group2]),1,1),IF($G22="SZ",ADDRESS(ROW(INDEX(Tbl_SZ_G2[SZ_Group2],1)),COLUMN(Tbl_SZ_G2[SZ_Group2]),1,1,"DV")&amp;":"&amp;ADDRESS(ROW(INDEX(Tbl_SZ_G2[SZ_Group2],1))+ROWS(Tbl_SZ_G2[SZ_Group2])-1,COLUMN(Tbl_SZ_G2[SZ_Group2]),1,1),"_src!$A$1"))</f>
        <v>_src!$A$1</v>
      </c>
    </row>
    <row r="23" spans="1:24" x14ac:dyDescent="0.25">
      <c r="A23" s="19">
        <v>8</v>
      </c>
      <c r="B23" s="20"/>
      <c r="C23" s="21" t="str">
        <f t="shared" si="0"/>
        <v/>
      </c>
      <c r="D23" s="22"/>
      <c r="E23" s="21" t="str">
        <f t="shared" si="1"/>
        <v/>
      </c>
      <c r="F23" s="20"/>
      <c r="G23" s="21" t="str">
        <f t="shared" si="2"/>
        <v/>
      </c>
      <c r="H23" s="20"/>
      <c r="I23" s="21" t="str">
        <f t="shared" si="3"/>
        <v/>
      </c>
      <c r="J23" s="21" t="str">
        <f t="shared" si="4"/>
        <v/>
      </c>
      <c r="K23" s="20"/>
      <c r="L23" s="21" t="str">
        <f t="shared" si="5"/>
        <v/>
      </c>
      <c r="M23" s="20"/>
      <c r="N23" s="21" t="str">
        <f t="shared" si="6"/>
        <v/>
      </c>
      <c r="O23" s="20"/>
      <c r="P23" s="23"/>
      <c r="Q23" s="21" t="str">
        <f t="shared" si="7"/>
        <v/>
      </c>
      <c r="R23" s="20"/>
      <c r="S23" s="22"/>
      <c r="T23" s="24"/>
      <c r="U23" s="21" t="str">
        <f t="shared" si="8"/>
        <v/>
      </c>
      <c r="V23" s="25" t="str">
        <f t="shared" si="9"/>
        <v/>
      </c>
      <c r="W23" s="18" t="str">
        <f>IF($G23="BR",ADDRESS(ROW(INDEX(Tbl_BR_G1[BR_Group1],1)),COLUMN(Tbl_BR_G1[BR_Group1]),1,1,"DV")&amp;":"&amp;ADDRESS(ROW(INDEX(Tbl_BR_G1[BR_Group1],1))+ROWS(Tbl_BR_G1[BR_Group1])-1,COLUMN(Tbl_BR_G1[BR_Group1]),1,1),IF($G23="SZ",ADDRESS(ROW(INDEX(Tbl_SZ_G1[SZ_Group1],1)),COLUMN(Tbl_SZ_G1[SZ_Group1]),1,1,"DV")&amp;":"&amp;ADDRESS(ROW(INDEX(Tbl_SZ_G1[SZ_Group1],1))+ROWS(Tbl_SZ_G1[SZ_Group1])-1,COLUMN(Tbl_SZ_G1[SZ_Group1]),1,1),"_src!$A$1"))</f>
        <v>_src!$A$1</v>
      </c>
      <c r="X23" s="18" t="str">
        <f>IF($G23="BR",ADDRESS(ROW(INDEX(Tbl_BR_G2[BR_Group2],1)),COLUMN(Tbl_BR_G2[BR_Group2]),1,1,"DV")&amp;":"&amp;ADDRESS(ROW(INDEX(Tbl_BR_G2[BR_Group2],1))+ROWS(Tbl_BR_G2[BR_Group2])-1,COLUMN(Tbl_BR_G2[BR_Group2]),1,1),IF($G23="SZ",ADDRESS(ROW(INDEX(Tbl_SZ_G2[SZ_Group2],1)),COLUMN(Tbl_SZ_G2[SZ_Group2]),1,1,"DV")&amp;":"&amp;ADDRESS(ROW(INDEX(Tbl_SZ_G2[SZ_Group2],1))+ROWS(Tbl_SZ_G2[SZ_Group2])-1,COLUMN(Tbl_SZ_G2[SZ_Group2]),1,1),"_src!$A$1"))</f>
        <v>_src!$A$1</v>
      </c>
    </row>
    <row r="24" spans="1:24" x14ac:dyDescent="0.25">
      <c r="A24" s="19">
        <v>9</v>
      </c>
      <c r="B24" s="20"/>
      <c r="C24" s="21" t="str">
        <f t="shared" si="0"/>
        <v/>
      </c>
      <c r="D24" s="22"/>
      <c r="E24" s="21" t="str">
        <f t="shared" si="1"/>
        <v/>
      </c>
      <c r="F24" s="20"/>
      <c r="G24" s="21" t="str">
        <f t="shared" si="2"/>
        <v/>
      </c>
      <c r="H24" s="20"/>
      <c r="I24" s="21" t="str">
        <f t="shared" si="3"/>
        <v/>
      </c>
      <c r="J24" s="21" t="str">
        <f t="shared" si="4"/>
        <v/>
      </c>
      <c r="K24" s="20"/>
      <c r="L24" s="21" t="str">
        <f t="shared" si="5"/>
        <v/>
      </c>
      <c r="M24" s="20"/>
      <c r="N24" s="21" t="str">
        <f t="shared" si="6"/>
        <v/>
      </c>
      <c r="O24" s="20"/>
      <c r="P24" s="23"/>
      <c r="Q24" s="21" t="str">
        <f t="shared" si="7"/>
        <v/>
      </c>
      <c r="R24" s="20"/>
      <c r="S24" s="22"/>
      <c r="T24" s="24"/>
      <c r="U24" s="21" t="str">
        <f t="shared" si="8"/>
        <v/>
      </c>
      <c r="V24" s="25" t="str">
        <f t="shared" si="9"/>
        <v/>
      </c>
      <c r="W24" s="18" t="str">
        <f>IF($G24="BR",ADDRESS(ROW(INDEX(Tbl_BR_G1[BR_Group1],1)),COLUMN(Tbl_BR_G1[BR_Group1]),1,1,"DV")&amp;":"&amp;ADDRESS(ROW(INDEX(Tbl_BR_G1[BR_Group1],1))+ROWS(Tbl_BR_G1[BR_Group1])-1,COLUMN(Tbl_BR_G1[BR_Group1]),1,1),IF($G24="SZ",ADDRESS(ROW(INDEX(Tbl_SZ_G1[SZ_Group1],1)),COLUMN(Tbl_SZ_G1[SZ_Group1]),1,1,"DV")&amp;":"&amp;ADDRESS(ROW(INDEX(Tbl_SZ_G1[SZ_Group1],1))+ROWS(Tbl_SZ_G1[SZ_Group1])-1,COLUMN(Tbl_SZ_G1[SZ_Group1]),1,1),"_src!$A$1"))</f>
        <v>_src!$A$1</v>
      </c>
      <c r="X24" s="18" t="str">
        <f>IF($G24="BR",ADDRESS(ROW(INDEX(Tbl_BR_G2[BR_Group2],1)),COLUMN(Tbl_BR_G2[BR_Group2]),1,1,"DV")&amp;":"&amp;ADDRESS(ROW(INDEX(Tbl_BR_G2[BR_Group2],1))+ROWS(Tbl_BR_G2[BR_Group2])-1,COLUMN(Tbl_BR_G2[BR_Group2]),1,1),IF($G24="SZ",ADDRESS(ROW(INDEX(Tbl_SZ_G2[SZ_Group2],1)),COLUMN(Tbl_SZ_G2[SZ_Group2]),1,1,"DV")&amp;":"&amp;ADDRESS(ROW(INDEX(Tbl_SZ_G2[SZ_Group2],1))+ROWS(Tbl_SZ_G2[SZ_Group2])-1,COLUMN(Tbl_SZ_G2[SZ_Group2]),1,1),"_src!$A$1"))</f>
        <v>_src!$A$1</v>
      </c>
    </row>
    <row r="25" spans="1:24" x14ac:dyDescent="0.25">
      <c r="A25" s="19">
        <v>10</v>
      </c>
      <c r="B25" s="20"/>
      <c r="C25" s="21" t="str">
        <f t="shared" si="0"/>
        <v/>
      </c>
      <c r="D25" s="22"/>
      <c r="E25" s="21" t="str">
        <f t="shared" si="1"/>
        <v/>
      </c>
      <c r="F25" s="20"/>
      <c r="G25" s="21" t="str">
        <f t="shared" si="2"/>
        <v/>
      </c>
      <c r="H25" s="20"/>
      <c r="I25" s="21" t="str">
        <f t="shared" si="3"/>
        <v/>
      </c>
      <c r="J25" s="21" t="str">
        <f t="shared" si="4"/>
        <v/>
      </c>
      <c r="K25" s="20"/>
      <c r="L25" s="21" t="str">
        <f t="shared" si="5"/>
        <v/>
      </c>
      <c r="M25" s="20"/>
      <c r="N25" s="21" t="str">
        <f t="shared" si="6"/>
        <v/>
      </c>
      <c r="O25" s="20"/>
      <c r="P25" s="23"/>
      <c r="Q25" s="21" t="str">
        <f t="shared" si="7"/>
        <v/>
      </c>
      <c r="R25" s="20"/>
      <c r="S25" s="22"/>
      <c r="T25" s="24"/>
      <c r="U25" s="21" t="str">
        <f t="shared" si="8"/>
        <v/>
      </c>
      <c r="V25" s="25" t="str">
        <f t="shared" si="9"/>
        <v/>
      </c>
      <c r="W25" s="18" t="str">
        <f>IF($G25="BR",ADDRESS(ROW(INDEX(Tbl_BR_G1[BR_Group1],1)),COLUMN(Tbl_BR_G1[BR_Group1]),1,1,"DV")&amp;":"&amp;ADDRESS(ROW(INDEX(Tbl_BR_G1[BR_Group1],1))+ROWS(Tbl_BR_G1[BR_Group1])-1,COLUMN(Tbl_BR_G1[BR_Group1]),1,1),IF($G25="SZ",ADDRESS(ROW(INDEX(Tbl_SZ_G1[SZ_Group1],1)),COLUMN(Tbl_SZ_G1[SZ_Group1]),1,1,"DV")&amp;":"&amp;ADDRESS(ROW(INDEX(Tbl_SZ_G1[SZ_Group1],1))+ROWS(Tbl_SZ_G1[SZ_Group1])-1,COLUMN(Tbl_SZ_G1[SZ_Group1]),1,1),"_src!$A$1"))</f>
        <v>_src!$A$1</v>
      </c>
      <c r="X25" s="18" t="str">
        <f>IF($G25="BR",ADDRESS(ROW(INDEX(Tbl_BR_G2[BR_Group2],1)),COLUMN(Tbl_BR_G2[BR_Group2]),1,1,"DV")&amp;":"&amp;ADDRESS(ROW(INDEX(Tbl_BR_G2[BR_Group2],1))+ROWS(Tbl_BR_G2[BR_Group2])-1,COLUMN(Tbl_BR_G2[BR_Group2]),1,1),IF($G25="SZ",ADDRESS(ROW(INDEX(Tbl_SZ_G2[SZ_Group2],1)),COLUMN(Tbl_SZ_G2[SZ_Group2]),1,1,"DV")&amp;":"&amp;ADDRESS(ROW(INDEX(Tbl_SZ_G2[SZ_Group2],1))+ROWS(Tbl_SZ_G2[SZ_Group2])-1,COLUMN(Tbl_SZ_G2[SZ_Group2]),1,1),"_src!$A$1"))</f>
        <v>_src!$A$1</v>
      </c>
    </row>
    <row r="26" spans="1:24" x14ac:dyDescent="0.25">
      <c r="A26" s="19">
        <v>11</v>
      </c>
      <c r="B26" s="20"/>
      <c r="C26" s="21" t="str">
        <f t="shared" si="0"/>
        <v/>
      </c>
      <c r="D26" s="22"/>
      <c r="E26" s="21" t="str">
        <f t="shared" si="1"/>
        <v/>
      </c>
      <c r="F26" s="20"/>
      <c r="G26" s="21" t="str">
        <f t="shared" si="2"/>
        <v/>
      </c>
      <c r="H26" s="20"/>
      <c r="I26" s="21" t="str">
        <f t="shared" si="3"/>
        <v/>
      </c>
      <c r="J26" s="21" t="str">
        <f t="shared" si="4"/>
        <v/>
      </c>
      <c r="K26" s="20"/>
      <c r="L26" s="21" t="str">
        <f t="shared" si="5"/>
        <v/>
      </c>
      <c r="M26" s="20"/>
      <c r="N26" s="21" t="str">
        <f t="shared" si="6"/>
        <v/>
      </c>
      <c r="O26" s="20"/>
      <c r="P26" s="23"/>
      <c r="Q26" s="21" t="str">
        <f t="shared" si="7"/>
        <v/>
      </c>
      <c r="R26" s="20"/>
      <c r="S26" s="22"/>
      <c r="T26" s="24"/>
      <c r="U26" s="21" t="str">
        <f t="shared" si="8"/>
        <v/>
      </c>
      <c r="V26" s="25" t="str">
        <f t="shared" si="9"/>
        <v/>
      </c>
      <c r="W26" s="18" t="str">
        <f>IF($G26="BR",ADDRESS(ROW(INDEX(Tbl_BR_G1[BR_Group1],1)),COLUMN(Tbl_BR_G1[BR_Group1]),1,1,"DV")&amp;":"&amp;ADDRESS(ROW(INDEX(Tbl_BR_G1[BR_Group1],1))+ROWS(Tbl_BR_G1[BR_Group1])-1,COLUMN(Tbl_BR_G1[BR_Group1]),1,1),IF($G26="SZ",ADDRESS(ROW(INDEX(Tbl_SZ_G1[SZ_Group1],1)),COLUMN(Tbl_SZ_G1[SZ_Group1]),1,1,"DV")&amp;":"&amp;ADDRESS(ROW(INDEX(Tbl_SZ_G1[SZ_Group1],1))+ROWS(Tbl_SZ_G1[SZ_Group1])-1,COLUMN(Tbl_SZ_G1[SZ_Group1]),1,1),"_src!$A$1"))</f>
        <v>_src!$A$1</v>
      </c>
      <c r="X26" s="18" t="str">
        <f>IF($G26="BR",ADDRESS(ROW(INDEX(Tbl_BR_G2[BR_Group2],1)),COLUMN(Tbl_BR_G2[BR_Group2]),1,1,"DV")&amp;":"&amp;ADDRESS(ROW(INDEX(Tbl_BR_G2[BR_Group2],1))+ROWS(Tbl_BR_G2[BR_Group2])-1,COLUMN(Tbl_BR_G2[BR_Group2]),1,1),IF($G26="SZ",ADDRESS(ROW(INDEX(Tbl_SZ_G2[SZ_Group2],1)),COLUMN(Tbl_SZ_G2[SZ_Group2]),1,1,"DV")&amp;":"&amp;ADDRESS(ROW(INDEX(Tbl_SZ_G2[SZ_Group2],1))+ROWS(Tbl_SZ_G2[SZ_Group2])-1,COLUMN(Tbl_SZ_G2[SZ_Group2]),1,1),"_src!$A$1"))</f>
        <v>_src!$A$1</v>
      </c>
    </row>
    <row r="27" spans="1:24" x14ac:dyDescent="0.25">
      <c r="A27" s="19">
        <v>12</v>
      </c>
      <c r="B27" s="20"/>
      <c r="C27" s="21" t="str">
        <f t="shared" si="0"/>
        <v/>
      </c>
      <c r="D27" s="22"/>
      <c r="E27" s="21" t="str">
        <f t="shared" si="1"/>
        <v/>
      </c>
      <c r="F27" s="20"/>
      <c r="G27" s="21" t="str">
        <f t="shared" si="2"/>
        <v/>
      </c>
      <c r="H27" s="20"/>
      <c r="I27" s="21" t="str">
        <f t="shared" si="3"/>
        <v/>
      </c>
      <c r="J27" s="21" t="str">
        <f t="shared" si="4"/>
        <v/>
      </c>
      <c r="K27" s="20"/>
      <c r="L27" s="21" t="str">
        <f t="shared" si="5"/>
        <v/>
      </c>
      <c r="M27" s="20"/>
      <c r="N27" s="21" t="str">
        <f t="shared" si="6"/>
        <v/>
      </c>
      <c r="O27" s="20"/>
      <c r="P27" s="23"/>
      <c r="Q27" s="21" t="str">
        <f t="shared" si="7"/>
        <v/>
      </c>
      <c r="R27" s="20"/>
      <c r="S27" s="22"/>
      <c r="T27" s="24"/>
      <c r="U27" s="21" t="str">
        <f t="shared" si="8"/>
        <v/>
      </c>
      <c r="V27" s="25" t="str">
        <f t="shared" si="9"/>
        <v/>
      </c>
      <c r="W27" s="18" t="str">
        <f>IF($G27="BR",ADDRESS(ROW(INDEX(Tbl_BR_G1[BR_Group1],1)),COLUMN(Tbl_BR_G1[BR_Group1]),1,1,"DV")&amp;":"&amp;ADDRESS(ROW(INDEX(Tbl_BR_G1[BR_Group1],1))+ROWS(Tbl_BR_G1[BR_Group1])-1,COLUMN(Tbl_BR_G1[BR_Group1]),1,1),IF($G27="SZ",ADDRESS(ROW(INDEX(Tbl_SZ_G1[SZ_Group1],1)),COLUMN(Tbl_SZ_G1[SZ_Group1]),1,1,"DV")&amp;":"&amp;ADDRESS(ROW(INDEX(Tbl_SZ_G1[SZ_Group1],1))+ROWS(Tbl_SZ_G1[SZ_Group1])-1,COLUMN(Tbl_SZ_G1[SZ_Group1]),1,1),"_src!$A$1"))</f>
        <v>_src!$A$1</v>
      </c>
      <c r="X27" s="18" t="str">
        <f>IF($G27="BR",ADDRESS(ROW(INDEX(Tbl_BR_G2[BR_Group2],1)),COLUMN(Tbl_BR_G2[BR_Group2]),1,1,"DV")&amp;":"&amp;ADDRESS(ROW(INDEX(Tbl_BR_G2[BR_Group2],1))+ROWS(Tbl_BR_G2[BR_Group2])-1,COLUMN(Tbl_BR_G2[BR_Group2]),1,1),IF($G27="SZ",ADDRESS(ROW(INDEX(Tbl_SZ_G2[SZ_Group2],1)),COLUMN(Tbl_SZ_G2[SZ_Group2]),1,1,"DV")&amp;":"&amp;ADDRESS(ROW(INDEX(Tbl_SZ_G2[SZ_Group2],1))+ROWS(Tbl_SZ_G2[SZ_Group2])-1,COLUMN(Tbl_SZ_G2[SZ_Group2]),1,1),"_src!$A$1"))</f>
        <v>_src!$A$1</v>
      </c>
    </row>
    <row r="28" spans="1:24" x14ac:dyDescent="0.25">
      <c r="A28" s="19">
        <v>13</v>
      </c>
      <c r="B28" s="20"/>
      <c r="C28" s="21" t="str">
        <f t="shared" si="0"/>
        <v/>
      </c>
      <c r="D28" s="22"/>
      <c r="E28" s="21" t="str">
        <f t="shared" si="1"/>
        <v/>
      </c>
      <c r="F28" s="20"/>
      <c r="G28" s="21" t="str">
        <f t="shared" si="2"/>
        <v/>
      </c>
      <c r="H28" s="20"/>
      <c r="I28" s="21" t="str">
        <f t="shared" si="3"/>
        <v/>
      </c>
      <c r="J28" s="21" t="str">
        <f t="shared" si="4"/>
        <v/>
      </c>
      <c r="K28" s="20"/>
      <c r="L28" s="21" t="str">
        <f t="shared" si="5"/>
        <v/>
      </c>
      <c r="M28" s="20"/>
      <c r="N28" s="21" t="str">
        <f t="shared" si="6"/>
        <v/>
      </c>
      <c r="O28" s="20"/>
      <c r="P28" s="23"/>
      <c r="Q28" s="21" t="str">
        <f t="shared" si="7"/>
        <v/>
      </c>
      <c r="R28" s="20"/>
      <c r="S28" s="22"/>
      <c r="T28" s="24"/>
      <c r="U28" s="21" t="str">
        <f t="shared" si="8"/>
        <v/>
      </c>
      <c r="V28" s="25" t="str">
        <f t="shared" si="9"/>
        <v/>
      </c>
      <c r="W28" s="18" t="str">
        <f>IF($G28="BR",ADDRESS(ROW(INDEX(Tbl_BR_G1[BR_Group1],1)),COLUMN(Tbl_BR_G1[BR_Group1]),1,1,"DV")&amp;":"&amp;ADDRESS(ROW(INDEX(Tbl_BR_G1[BR_Group1],1))+ROWS(Tbl_BR_G1[BR_Group1])-1,COLUMN(Tbl_BR_G1[BR_Group1]),1,1),IF($G28="SZ",ADDRESS(ROW(INDEX(Tbl_SZ_G1[SZ_Group1],1)),COLUMN(Tbl_SZ_G1[SZ_Group1]),1,1,"DV")&amp;":"&amp;ADDRESS(ROW(INDEX(Tbl_SZ_G1[SZ_Group1],1))+ROWS(Tbl_SZ_G1[SZ_Group1])-1,COLUMN(Tbl_SZ_G1[SZ_Group1]),1,1),"_src!$A$1"))</f>
        <v>_src!$A$1</v>
      </c>
      <c r="X28" s="18" t="str">
        <f>IF($G28="BR",ADDRESS(ROW(INDEX(Tbl_BR_G2[BR_Group2],1)),COLUMN(Tbl_BR_G2[BR_Group2]),1,1,"DV")&amp;":"&amp;ADDRESS(ROW(INDEX(Tbl_BR_G2[BR_Group2],1))+ROWS(Tbl_BR_G2[BR_Group2])-1,COLUMN(Tbl_BR_G2[BR_Group2]),1,1),IF($G28="SZ",ADDRESS(ROW(INDEX(Tbl_SZ_G2[SZ_Group2],1)),COLUMN(Tbl_SZ_G2[SZ_Group2]),1,1,"DV")&amp;":"&amp;ADDRESS(ROW(INDEX(Tbl_SZ_G2[SZ_Group2],1))+ROWS(Tbl_SZ_G2[SZ_Group2])-1,COLUMN(Tbl_SZ_G2[SZ_Group2]),1,1),"_src!$A$1"))</f>
        <v>_src!$A$1</v>
      </c>
    </row>
    <row r="29" spans="1:24" x14ac:dyDescent="0.25">
      <c r="A29" s="19">
        <v>14</v>
      </c>
      <c r="B29" s="20"/>
      <c r="C29" s="21" t="str">
        <f t="shared" si="0"/>
        <v/>
      </c>
      <c r="D29" s="22"/>
      <c r="E29" s="21" t="str">
        <f t="shared" si="1"/>
        <v/>
      </c>
      <c r="F29" s="20"/>
      <c r="G29" s="21" t="str">
        <f t="shared" si="2"/>
        <v/>
      </c>
      <c r="H29" s="20"/>
      <c r="I29" s="21" t="str">
        <f t="shared" si="3"/>
        <v/>
      </c>
      <c r="J29" s="21" t="str">
        <f t="shared" si="4"/>
        <v/>
      </c>
      <c r="K29" s="20"/>
      <c r="L29" s="21" t="str">
        <f t="shared" si="5"/>
        <v/>
      </c>
      <c r="M29" s="20"/>
      <c r="N29" s="21" t="str">
        <f t="shared" si="6"/>
        <v/>
      </c>
      <c r="O29" s="20"/>
      <c r="P29" s="23"/>
      <c r="Q29" s="21" t="str">
        <f t="shared" si="7"/>
        <v/>
      </c>
      <c r="R29" s="20"/>
      <c r="S29" s="22"/>
      <c r="T29" s="24"/>
      <c r="U29" s="21" t="str">
        <f t="shared" si="8"/>
        <v/>
      </c>
      <c r="V29" s="25" t="str">
        <f t="shared" si="9"/>
        <v/>
      </c>
      <c r="W29" s="18" t="str">
        <f>IF($G29="BR",ADDRESS(ROW(INDEX(Tbl_BR_G1[BR_Group1],1)),COLUMN(Tbl_BR_G1[BR_Group1]),1,1,"DV")&amp;":"&amp;ADDRESS(ROW(INDEX(Tbl_BR_G1[BR_Group1],1))+ROWS(Tbl_BR_G1[BR_Group1])-1,COLUMN(Tbl_BR_G1[BR_Group1]),1,1),IF($G29="SZ",ADDRESS(ROW(INDEX(Tbl_SZ_G1[SZ_Group1],1)),COLUMN(Tbl_SZ_G1[SZ_Group1]),1,1,"DV")&amp;":"&amp;ADDRESS(ROW(INDEX(Tbl_SZ_G1[SZ_Group1],1))+ROWS(Tbl_SZ_G1[SZ_Group1])-1,COLUMN(Tbl_SZ_G1[SZ_Group1]),1,1),"_src!$A$1"))</f>
        <v>_src!$A$1</v>
      </c>
      <c r="X29" s="18" t="str">
        <f>IF($G29="BR",ADDRESS(ROW(INDEX(Tbl_BR_G2[BR_Group2],1)),COLUMN(Tbl_BR_G2[BR_Group2]),1,1,"DV")&amp;":"&amp;ADDRESS(ROW(INDEX(Tbl_BR_G2[BR_Group2],1))+ROWS(Tbl_BR_G2[BR_Group2])-1,COLUMN(Tbl_BR_G2[BR_Group2]),1,1),IF($G29="SZ",ADDRESS(ROW(INDEX(Tbl_SZ_G2[SZ_Group2],1)),COLUMN(Tbl_SZ_G2[SZ_Group2]),1,1,"DV")&amp;":"&amp;ADDRESS(ROW(INDEX(Tbl_SZ_G2[SZ_Group2],1))+ROWS(Tbl_SZ_G2[SZ_Group2])-1,COLUMN(Tbl_SZ_G2[SZ_Group2]),1,1),"_src!$A$1"))</f>
        <v>_src!$A$1</v>
      </c>
    </row>
    <row r="30" spans="1:24" x14ac:dyDescent="0.25">
      <c r="A30" s="19">
        <v>15</v>
      </c>
      <c r="B30" s="20"/>
      <c r="C30" s="21" t="str">
        <f t="shared" si="0"/>
        <v/>
      </c>
      <c r="D30" s="22"/>
      <c r="E30" s="21" t="str">
        <f t="shared" si="1"/>
        <v/>
      </c>
      <c r="F30" s="20"/>
      <c r="G30" s="21" t="str">
        <f t="shared" si="2"/>
        <v/>
      </c>
      <c r="H30" s="20"/>
      <c r="I30" s="21" t="str">
        <f t="shared" si="3"/>
        <v/>
      </c>
      <c r="J30" s="21" t="str">
        <f t="shared" si="4"/>
        <v/>
      </c>
      <c r="K30" s="20"/>
      <c r="L30" s="21" t="str">
        <f t="shared" si="5"/>
        <v/>
      </c>
      <c r="M30" s="20"/>
      <c r="N30" s="21" t="str">
        <f t="shared" si="6"/>
        <v/>
      </c>
      <c r="O30" s="20"/>
      <c r="P30" s="23"/>
      <c r="Q30" s="21" t="str">
        <f t="shared" si="7"/>
        <v/>
      </c>
      <c r="R30" s="20"/>
      <c r="S30" s="22"/>
      <c r="T30" s="24"/>
      <c r="U30" s="21" t="str">
        <f t="shared" si="8"/>
        <v/>
      </c>
      <c r="V30" s="25" t="str">
        <f t="shared" si="9"/>
        <v/>
      </c>
      <c r="W30" s="18" t="str">
        <f>IF($G30="BR",ADDRESS(ROW(INDEX(Tbl_BR_G1[BR_Group1],1)),COLUMN(Tbl_BR_G1[BR_Group1]),1,1,"DV")&amp;":"&amp;ADDRESS(ROW(INDEX(Tbl_BR_G1[BR_Group1],1))+ROWS(Tbl_BR_G1[BR_Group1])-1,COLUMN(Tbl_BR_G1[BR_Group1]),1,1),IF($G30="SZ",ADDRESS(ROW(INDEX(Tbl_SZ_G1[SZ_Group1],1)),COLUMN(Tbl_SZ_G1[SZ_Group1]),1,1,"DV")&amp;":"&amp;ADDRESS(ROW(INDEX(Tbl_SZ_G1[SZ_Group1],1))+ROWS(Tbl_SZ_G1[SZ_Group1])-1,COLUMN(Tbl_SZ_G1[SZ_Group1]),1,1),"_src!$A$1"))</f>
        <v>_src!$A$1</v>
      </c>
      <c r="X30" s="18" t="str">
        <f>IF($G30="BR",ADDRESS(ROW(INDEX(Tbl_BR_G2[BR_Group2],1)),COLUMN(Tbl_BR_G2[BR_Group2]),1,1,"DV")&amp;":"&amp;ADDRESS(ROW(INDEX(Tbl_BR_G2[BR_Group2],1))+ROWS(Tbl_BR_G2[BR_Group2])-1,COLUMN(Tbl_BR_G2[BR_Group2]),1,1),IF($G30="SZ",ADDRESS(ROW(INDEX(Tbl_SZ_G2[SZ_Group2],1)),COLUMN(Tbl_SZ_G2[SZ_Group2]),1,1,"DV")&amp;":"&amp;ADDRESS(ROW(INDEX(Tbl_SZ_G2[SZ_Group2],1))+ROWS(Tbl_SZ_G2[SZ_Group2])-1,COLUMN(Tbl_SZ_G2[SZ_Group2]),1,1),"_src!$A$1"))</f>
        <v>_src!$A$1</v>
      </c>
    </row>
    <row r="33" spans="1:22" ht="21.95" customHeight="1" x14ac:dyDescent="0.25">
      <c r="A33" s="38" t="s">
        <v>763</v>
      </c>
      <c r="B33" s="39"/>
      <c r="C33" s="39"/>
      <c r="D33" s="39"/>
      <c r="E33" s="39"/>
      <c r="F33" s="39"/>
      <c r="G33" s="39"/>
      <c r="H33" s="39"/>
      <c r="I33" s="39"/>
      <c r="J33" s="39"/>
      <c r="K33" s="39"/>
      <c r="L33" s="39"/>
      <c r="M33" s="39"/>
      <c r="N33" s="39"/>
      <c r="O33" s="39"/>
      <c r="P33" s="39"/>
      <c r="Q33" s="39"/>
      <c r="R33" s="39"/>
      <c r="S33" s="39"/>
      <c r="T33" s="39"/>
      <c r="U33" s="39"/>
      <c r="V33" s="39"/>
    </row>
    <row r="34" spans="1:22" ht="15.95" customHeight="1" x14ac:dyDescent="0.25">
      <c r="A34" s="40" t="s">
        <v>721</v>
      </c>
      <c r="B34" s="31"/>
      <c r="C34" s="31"/>
      <c r="D34" s="31"/>
      <c r="E34" s="31"/>
      <c r="F34" s="31"/>
      <c r="G34" s="31"/>
      <c r="H34" s="31"/>
      <c r="I34" s="31"/>
      <c r="J34" s="31"/>
      <c r="K34" s="31"/>
      <c r="L34" s="31"/>
      <c r="M34" s="31"/>
      <c r="N34" s="31"/>
      <c r="O34" s="31"/>
      <c r="P34" s="31"/>
      <c r="Q34" s="31"/>
      <c r="R34" s="31"/>
      <c r="S34" s="31"/>
      <c r="T34" s="31"/>
      <c r="U34" s="31"/>
      <c r="V34" s="31"/>
    </row>
    <row r="36" spans="1:22" ht="18" customHeight="1" x14ac:dyDescent="0.25">
      <c r="A36" s="36" t="s">
        <v>764</v>
      </c>
      <c r="B36" s="31"/>
      <c r="C36" s="31"/>
      <c r="D36" s="31"/>
      <c r="E36" s="31"/>
      <c r="F36" s="31"/>
      <c r="G36" s="31"/>
      <c r="H36" s="31"/>
      <c r="I36" s="31"/>
      <c r="J36" s="31"/>
      <c r="K36" s="31"/>
      <c r="L36" s="31"/>
      <c r="M36" s="31"/>
      <c r="N36" s="31"/>
      <c r="O36" s="31"/>
      <c r="P36" s="31"/>
      <c r="Q36" s="31"/>
      <c r="R36" s="31"/>
      <c r="S36" s="31"/>
      <c r="T36" s="31"/>
      <c r="U36" s="31"/>
      <c r="V36" s="31"/>
    </row>
    <row r="37" spans="1:22" ht="21" customHeight="1" x14ac:dyDescent="0.25">
      <c r="A37" s="37" t="s">
        <v>765</v>
      </c>
      <c r="B37" s="31"/>
      <c r="C37" s="31"/>
      <c r="D37" s="31"/>
      <c r="E37" s="31"/>
      <c r="F37" s="31"/>
      <c r="G37" s="31"/>
      <c r="H37" s="31"/>
      <c r="I37" s="31"/>
      <c r="J37" s="31"/>
      <c r="K37" s="31"/>
      <c r="L37" s="31"/>
      <c r="M37" s="31"/>
      <c r="N37" s="31"/>
      <c r="O37" s="31"/>
      <c r="P37" s="31"/>
      <c r="Q37" s="31"/>
      <c r="R37" s="31"/>
      <c r="S37" s="31"/>
      <c r="T37" s="31"/>
      <c r="U37" s="31"/>
      <c r="V37" s="31"/>
    </row>
    <row r="38" spans="1:22" ht="6" customHeight="1" x14ac:dyDescent="0.25"/>
    <row r="39" spans="1:22" ht="18" customHeight="1" x14ac:dyDescent="0.25">
      <c r="A39" s="36" t="s">
        <v>766</v>
      </c>
      <c r="B39" s="31"/>
      <c r="C39" s="31"/>
      <c r="D39" s="31"/>
      <c r="E39" s="31"/>
      <c r="F39" s="31"/>
      <c r="G39" s="31"/>
      <c r="H39" s="31"/>
      <c r="I39" s="31"/>
      <c r="J39" s="31"/>
      <c r="K39" s="31"/>
      <c r="L39" s="31"/>
      <c r="M39" s="31"/>
      <c r="N39" s="31"/>
      <c r="O39" s="31"/>
      <c r="P39" s="31"/>
      <c r="Q39" s="31"/>
      <c r="R39" s="31"/>
      <c r="S39" s="31"/>
      <c r="T39" s="31"/>
      <c r="U39" s="31"/>
      <c r="V39" s="31"/>
    </row>
    <row r="40" spans="1:22" ht="21" customHeight="1" x14ac:dyDescent="0.25">
      <c r="A40" s="37" t="s">
        <v>767</v>
      </c>
      <c r="B40" s="31"/>
      <c r="C40" s="31"/>
      <c r="D40" s="31"/>
      <c r="E40" s="31"/>
      <c r="F40" s="31"/>
      <c r="G40" s="31"/>
      <c r="H40" s="31"/>
      <c r="I40" s="31"/>
      <c r="J40" s="31"/>
      <c r="K40" s="31"/>
      <c r="L40" s="31"/>
      <c r="M40" s="31"/>
      <c r="N40" s="31"/>
      <c r="O40" s="31"/>
      <c r="P40" s="31"/>
      <c r="Q40" s="31"/>
      <c r="R40" s="31"/>
      <c r="S40" s="31"/>
      <c r="T40" s="31"/>
      <c r="U40" s="31"/>
      <c r="V40" s="31"/>
    </row>
    <row r="41" spans="1:22" ht="6" customHeight="1" x14ac:dyDescent="0.25"/>
    <row r="42" spans="1:22" ht="18" customHeight="1" x14ac:dyDescent="0.25">
      <c r="A42" s="36" t="s">
        <v>253</v>
      </c>
      <c r="B42" s="31"/>
      <c r="C42" s="31"/>
      <c r="D42" s="31"/>
      <c r="E42" s="31"/>
      <c r="F42" s="31"/>
      <c r="G42" s="31"/>
      <c r="H42" s="31"/>
      <c r="I42" s="31"/>
      <c r="J42" s="31"/>
      <c r="K42" s="31"/>
      <c r="L42" s="31"/>
      <c r="M42" s="31"/>
      <c r="N42" s="31"/>
      <c r="O42" s="31"/>
      <c r="P42" s="31"/>
      <c r="Q42" s="31"/>
      <c r="R42" s="31"/>
      <c r="S42" s="31"/>
      <c r="T42" s="31"/>
      <c r="U42" s="31"/>
      <c r="V42" s="31"/>
    </row>
    <row r="43" spans="1:22" ht="21" customHeight="1" x14ac:dyDescent="0.25">
      <c r="A43" s="37" t="s">
        <v>768</v>
      </c>
      <c r="B43" s="31"/>
      <c r="C43" s="31"/>
      <c r="D43" s="31"/>
      <c r="E43" s="31"/>
      <c r="F43" s="31"/>
      <c r="G43" s="31"/>
      <c r="H43" s="31"/>
      <c r="I43" s="31"/>
      <c r="J43" s="31"/>
      <c r="K43" s="31"/>
      <c r="L43" s="31"/>
      <c r="M43" s="31"/>
      <c r="N43" s="31"/>
      <c r="O43" s="31"/>
      <c r="P43" s="31"/>
      <c r="Q43" s="31"/>
      <c r="R43" s="31"/>
      <c r="S43" s="31"/>
      <c r="T43" s="31"/>
      <c r="U43" s="31"/>
      <c r="V43" s="31"/>
    </row>
    <row r="44" spans="1:22" ht="6" customHeight="1" x14ac:dyDescent="0.25"/>
    <row r="45" spans="1:22" ht="18" customHeight="1" x14ac:dyDescent="0.25">
      <c r="A45" s="36" t="s">
        <v>728</v>
      </c>
      <c r="B45" s="31"/>
      <c r="C45" s="31"/>
      <c r="D45" s="31"/>
      <c r="E45" s="31"/>
      <c r="F45" s="31"/>
      <c r="G45" s="31"/>
      <c r="H45" s="31"/>
      <c r="I45" s="31"/>
      <c r="J45" s="31"/>
      <c r="K45" s="31"/>
      <c r="L45" s="31"/>
      <c r="M45" s="31"/>
      <c r="N45" s="31"/>
      <c r="O45" s="31"/>
      <c r="P45" s="31"/>
      <c r="Q45" s="31"/>
      <c r="R45" s="31"/>
      <c r="S45" s="31"/>
      <c r="T45" s="31"/>
      <c r="U45" s="31"/>
      <c r="V45" s="31"/>
    </row>
    <row r="46" spans="1:22" ht="51" customHeight="1" x14ac:dyDescent="0.25">
      <c r="A46" s="37" t="s">
        <v>729</v>
      </c>
      <c r="B46" s="31"/>
      <c r="C46" s="31"/>
      <c r="D46" s="31"/>
      <c r="E46" s="31"/>
      <c r="F46" s="31"/>
      <c r="G46" s="31"/>
      <c r="H46" s="31"/>
      <c r="I46" s="31"/>
      <c r="J46" s="31"/>
      <c r="K46" s="31"/>
      <c r="L46" s="31"/>
      <c r="M46" s="31"/>
      <c r="N46" s="31"/>
      <c r="O46" s="31"/>
      <c r="P46" s="31"/>
      <c r="Q46" s="31"/>
      <c r="R46" s="31"/>
      <c r="S46" s="31"/>
      <c r="T46" s="31"/>
      <c r="U46" s="31"/>
      <c r="V46" s="31"/>
    </row>
    <row r="47" spans="1:22" ht="6" customHeight="1" x14ac:dyDescent="0.25"/>
    <row r="50" spans="1:22" ht="21.95" customHeight="1" x14ac:dyDescent="0.25">
      <c r="A50" s="38" t="s">
        <v>730</v>
      </c>
      <c r="B50" s="39"/>
      <c r="C50" s="39"/>
      <c r="D50" s="39"/>
      <c r="E50" s="39"/>
      <c r="F50" s="39"/>
      <c r="G50" s="39"/>
      <c r="H50" s="39"/>
      <c r="I50" s="39"/>
      <c r="J50" s="39"/>
      <c r="K50" s="39"/>
      <c r="L50" s="39"/>
      <c r="M50" s="39"/>
      <c r="N50" s="39"/>
      <c r="O50" s="39"/>
      <c r="P50" s="39"/>
      <c r="Q50" s="39"/>
      <c r="R50" s="39"/>
      <c r="S50" s="39"/>
      <c r="T50" s="39"/>
      <c r="U50" s="39"/>
      <c r="V50" s="39"/>
    </row>
    <row r="52" spans="1:22" ht="18" customHeight="1" x14ac:dyDescent="0.25">
      <c r="A52" s="36" t="s">
        <v>70</v>
      </c>
      <c r="B52" s="31"/>
      <c r="C52" s="31"/>
      <c r="D52" s="31"/>
      <c r="E52" s="31"/>
      <c r="F52" s="31"/>
      <c r="G52" s="31"/>
      <c r="H52" s="31"/>
      <c r="I52" s="31"/>
      <c r="J52" s="31"/>
      <c r="K52" s="31"/>
      <c r="L52" s="31"/>
      <c r="M52" s="31"/>
      <c r="N52" s="31"/>
      <c r="O52" s="31"/>
      <c r="P52" s="31"/>
      <c r="Q52" s="31"/>
      <c r="R52" s="31"/>
      <c r="S52" s="31"/>
      <c r="T52" s="31"/>
      <c r="U52" s="31"/>
      <c r="V52" s="31"/>
    </row>
    <row r="53" spans="1:22" ht="21" customHeight="1" x14ac:dyDescent="0.25">
      <c r="A53" s="37" t="s">
        <v>731</v>
      </c>
      <c r="B53" s="31"/>
      <c r="C53" s="31"/>
      <c r="D53" s="31"/>
      <c r="E53" s="31"/>
      <c r="F53" s="31"/>
      <c r="G53" s="31"/>
      <c r="H53" s="31"/>
      <c r="I53" s="31"/>
      <c r="J53" s="31"/>
      <c r="K53" s="31"/>
      <c r="L53" s="31"/>
      <c r="M53" s="31"/>
      <c r="N53" s="31"/>
      <c r="O53" s="31"/>
      <c r="P53" s="31"/>
      <c r="Q53" s="31"/>
      <c r="R53" s="31"/>
      <c r="S53" s="31"/>
      <c r="T53" s="31"/>
      <c r="U53" s="31"/>
      <c r="V53" s="31"/>
    </row>
    <row r="54" spans="1:22" ht="6" customHeight="1" x14ac:dyDescent="0.25"/>
    <row r="55" spans="1:22" ht="18" customHeight="1" x14ac:dyDescent="0.25">
      <c r="A55" s="36" t="s">
        <v>84</v>
      </c>
      <c r="B55" s="31"/>
      <c r="C55" s="31"/>
      <c r="D55" s="31"/>
      <c r="E55" s="31"/>
      <c r="F55" s="31"/>
      <c r="G55" s="31"/>
      <c r="H55" s="31"/>
      <c r="I55" s="31"/>
      <c r="J55" s="31"/>
      <c r="K55" s="31"/>
      <c r="L55" s="31"/>
      <c r="M55" s="31"/>
      <c r="N55" s="31"/>
      <c r="O55" s="31"/>
      <c r="P55" s="31"/>
      <c r="Q55" s="31"/>
      <c r="R55" s="31"/>
      <c r="S55" s="31"/>
      <c r="T55" s="31"/>
      <c r="U55" s="31"/>
      <c r="V55" s="31"/>
    </row>
    <row r="56" spans="1:22" ht="36" customHeight="1" x14ac:dyDescent="0.25">
      <c r="A56" s="37" t="s">
        <v>732</v>
      </c>
      <c r="B56" s="31"/>
      <c r="C56" s="31"/>
      <c r="D56" s="31"/>
      <c r="E56" s="31"/>
      <c r="F56" s="31"/>
      <c r="G56" s="31"/>
      <c r="H56" s="31"/>
      <c r="I56" s="31"/>
      <c r="J56" s="31"/>
      <c r="K56" s="31"/>
      <c r="L56" s="31"/>
      <c r="M56" s="31"/>
      <c r="N56" s="31"/>
      <c r="O56" s="31"/>
      <c r="P56" s="31"/>
      <c r="Q56" s="31"/>
      <c r="R56" s="31"/>
      <c r="S56" s="31"/>
      <c r="T56" s="31"/>
      <c r="U56" s="31"/>
      <c r="V56" s="31"/>
    </row>
    <row r="57" spans="1:22" ht="6" customHeight="1" x14ac:dyDescent="0.25"/>
    <row r="58" spans="1:22" ht="18" customHeight="1" x14ac:dyDescent="0.25">
      <c r="A58" s="36" t="s">
        <v>684</v>
      </c>
      <c r="B58" s="31"/>
      <c r="C58" s="31"/>
      <c r="D58" s="31"/>
      <c r="E58" s="31"/>
      <c r="F58" s="31"/>
      <c r="G58" s="31"/>
      <c r="H58" s="31"/>
      <c r="I58" s="31"/>
      <c r="J58" s="31"/>
      <c r="K58" s="31"/>
      <c r="L58" s="31"/>
      <c r="M58" s="31"/>
      <c r="N58" s="31"/>
      <c r="O58" s="31"/>
      <c r="P58" s="31"/>
      <c r="Q58" s="31"/>
      <c r="R58" s="31"/>
      <c r="S58" s="31"/>
      <c r="T58" s="31"/>
      <c r="U58" s="31"/>
      <c r="V58" s="31"/>
    </row>
    <row r="59" spans="1:22" ht="21" customHeight="1" x14ac:dyDescent="0.25">
      <c r="A59" s="37" t="s">
        <v>733</v>
      </c>
      <c r="B59" s="31"/>
      <c r="C59" s="31"/>
      <c r="D59" s="31"/>
      <c r="E59" s="31"/>
      <c r="F59" s="31"/>
      <c r="G59" s="31"/>
      <c r="H59" s="31"/>
      <c r="I59" s="31"/>
      <c r="J59" s="31"/>
      <c r="K59" s="31"/>
      <c r="L59" s="31"/>
      <c r="M59" s="31"/>
      <c r="N59" s="31"/>
      <c r="O59" s="31"/>
      <c r="P59" s="31"/>
      <c r="Q59" s="31"/>
      <c r="R59" s="31"/>
      <c r="S59" s="31"/>
      <c r="T59" s="31"/>
      <c r="U59" s="31"/>
      <c r="V59" s="31"/>
    </row>
    <row r="60" spans="1:22" ht="6" customHeight="1" x14ac:dyDescent="0.25"/>
    <row r="61" spans="1:22" ht="18" customHeight="1" x14ac:dyDescent="0.25">
      <c r="A61" s="36" t="s">
        <v>686</v>
      </c>
      <c r="B61" s="31"/>
      <c r="C61" s="31"/>
      <c r="D61" s="31"/>
      <c r="E61" s="31"/>
      <c r="F61" s="31"/>
      <c r="G61" s="31"/>
      <c r="H61" s="31"/>
      <c r="I61" s="31"/>
      <c r="J61" s="31"/>
      <c r="K61" s="31"/>
      <c r="L61" s="31"/>
      <c r="M61" s="31"/>
      <c r="N61" s="31"/>
      <c r="O61" s="31"/>
      <c r="P61" s="31"/>
      <c r="Q61" s="31"/>
      <c r="R61" s="31"/>
      <c r="S61" s="31"/>
      <c r="T61" s="31"/>
      <c r="U61" s="31"/>
      <c r="V61" s="31"/>
    </row>
    <row r="62" spans="1:22" ht="21" customHeight="1" x14ac:dyDescent="0.25">
      <c r="A62" s="37" t="s">
        <v>769</v>
      </c>
      <c r="B62" s="31"/>
      <c r="C62" s="31"/>
      <c r="D62" s="31"/>
      <c r="E62" s="31"/>
      <c r="F62" s="31"/>
      <c r="G62" s="31"/>
      <c r="H62" s="31"/>
      <c r="I62" s="31"/>
      <c r="J62" s="31"/>
      <c r="K62" s="31"/>
      <c r="L62" s="31"/>
      <c r="M62" s="31"/>
      <c r="N62" s="31"/>
      <c r="O62" s="31"/>
      <c r="P62" s="31"/>
      <c r="Q62" s="31"/>
      <c r="R62" s="31"/>
      <c r="S62" s="31"/>
      <c r="T62" s="31"/>
      <c r="U62" s="31"/>
      <c r="V62" s="31"/>
    </row>
    <row r="63" spans="1:22" ht="6" customHeight="1" x14ac:dyDescent="0.25"/>
    <row r="64" spans="1:22" ht="18" customHeight="1" x14ac:dyDescent="0.25">
      <c r="A64" s="36" t="s">
        <v>689</v>
      </c>
      <c r="B64" s="31"/>
      <c r="C64" s="31"/>
      <c r="D64" s="31"/>
      <c r="E64" s="31"/>
      <c r="F64" s="31"/>
      <c r="G64" s="31"/>
      <c r="H64" s="31"/>
      <c r="I64" s="31"/>
      <c r="J64" s="31"/>
      <c r="K64" s="31"/>
      <c r="L64" s="31"/>
      <c r="M64" s="31"/>
      <c r="N64" s="31"/>
      <c r="O64" s="31"/>
      <c r="P64" s="31"/>
      <c r="Q64" s="31"/>
      <c r="R64" s="31"/>
      <c r="S64" s="31"/>
      <c r="T64" s="31"/>
      <c r="U64" s="31"/>
      <c r="V64" s="31"/>
    </row>
    <row r="65" spans="1:22" ht="21" customHeight="1" x14ac:dyDescent="0.25">
      <c r="A65" s="37" t="s">
        <v>770</v>
      </c>
      <c r="B65" s="31"/>
      <c r="C65" s="31"/>
      <c r="D65" s="31"/>
      <c r="E65" s="31"/>
      <c r="F65" s="31"/>
      <c r="G65" s="31"/>
      <c r="H65" s="31"/>
      <c r="I65" s="31"/>
      <c r="J65" s="31"/>
      <c r="K65" s="31"/>
      <c r="L65" s="31"/>
      <c r="M65" s="31"/>
      <c r="N65" s="31"/>
      <c r="O65" s="31"/>
      <c r="P65" s="31"/>
      <c r="Q65" s="31"/>
      <c r="R65" s="31"/>
      <c r="S65" s="31"/>
      <c r="T65" s="31"/>
      <c r="U65" s="31"/>
      <c r="V65" s="31"/>
    </row>
    <row r="66" spans="1:22" ht="6" customHeight="1" x14ac:dyDescent="0.25"/>
    <row r="67" spans="1:22" ht="18" customHeight="1" x14ac:dyDescent="0.25">
      <c r="A67" s="36" t="s">
        <v>72</v>
      </c>
      <c r="B67" s="31"/>
      <c r="C67" s="31"/>
      <c r="D67" s="31"/>
      <c r="E67" s="31"/>
      <c r="F67" s="31"/>
      <c r="G67" s="31"/>
      <c r="H67" s="31"/>
      <c r="I67" s="31"/>
      <c r="J67" s="31"/>
      <c r="K67" s="31"/>
      <c r="L67" s="31"/>
      <c r="M67" s="31"/>
      <c r="N67" s="31"/>
      <c r="O67" s="31"/>
      <c r="P67" s="31"/>
      <c r="Q67" s="31"/>
      <c r="R67" s="31"/>
      <c r="S67" s="31"/>
      <c r="T67" s="31"/>
      <c r="U67" s="31"/>
      <c r="V67" s="31"/>
    </row>
    <row r="68" spans="1:22" ht="21" customHeight="1" x14ac:dyDescent="0.25">
      <c r="A68" s="37" t="s">
        <v>736</v>
      </c>
      <c r="B68" s="31"/>
      <c r="C68" s="31"/>
      <c r="D68" s="31"/>
      <c r="E68" s="31"/>
      <c r="F68" s="31"/>
      <c r="G68" s="31"/>
      <c r="H68" s="31"/>
      <c r="I68" s="31"/>
      <c r="J68" s="31"/>
      <c r="K68" s="31"/>
      <c r="L68" s="31"/>
      <c r="M68" s="31"/>
      <c r="N68" s="31"/>
      <c r="O68" s="31"/>
      <c r="P68" s="31"/>
      <c r="Q68" s="31"/>
      <c r="R68" s="31"/>
      <c r="S68" s="31"/>
      <c r="T68" s="31"/>
      <c r="U68" s="31"/>
      <c r="V68" s="31"/>
    </row>
    <row r="69" spans="1:22" ht="6" customHeight="1" x14ac:dyDescent="0.25"/>
    <row r="70" spans="1:22" ht="18" customHeight="1" x14ac:dyDescent="0.25">
      <c r="A70" s="36" t="s">
        <v>692</v>
      </c>
      <c r="B70" s="31"/>
      <c r="C70" s="31"/>
      <c r="D70" s="31"/>
      <c r="E70" s="31"/>
      <c r="F70" s="31"/>
      <c r="G70" s="31"/>
      <c r="H70" s="31"/>
      <c r="I70" s="31"/>
      <c r="J70" s="31"/>
      <c r="K70" s="31"/>
      <c r="L70" s="31"/>
      <c r="M70" s="31"/>
      <c r="N70" s="31"/>
      <c r="O70" s="31"/>
      <c r="P70" s="31"/>
      <c r="Q70" s="31"/>
      <c r="R70" s="31"/>
      <c r="S70" s="31"/>
      <c r="T70" s="31"/>
      <c r="U70" s="31"/>
      <c r="V70" s="31"/>
    </row>
    <row r="71" spans="1:22" ht="21" customHeight="1" x14ac:dyDescent="0.25">
      <c r="A71" s="37" t="s">
        <v>737</v>
      </c>
      <c r="B71" s="31"/>
      <c r="C71" s="31"/>
      <c r="D71" s="31"/>
      <c r="E71" s="31"/>
      <c r="F71" s="31"/>
      <c r="G71" s="31"/>
      <c r="H71" s="31"/>
      <c r="I71" s="31"/>
      <c r="J71" s="31"/>
      <c r="K71" s="31"/>
      <c r="L71" s="31"/>
      <c r="M71" s="31"/>
      <c r="N71" s="31"/>
      <c r="O71" s="31"/>
      <c r="P71" s="31"/>
      <c r="Q71" s="31"/>
      <c r="R71" s="31"/>
      <c r="S71" s="31"/>
      <c r="T71" s="31"/>
      <c r="U71" s="31"/>
      <c r="V71" s="31"/>
    </row>
    <row r="72" spans="1:22" ht="6" customHeight="1" x14ac:dyDescent="0.25"/>
    <row r="73" spans="1:22" ht="18" customHeight="1" x14ac:dyDescent="0.25">
      <c r="A73" s="36" t="s">
        <v>693</v>
      </c>
      <c r="B73" s="31"/>
      <c r="C73" s="31"/>
      <c r="D73" s="31"/>
      <c r="E73" s="31"/>
      <c r="F73" s="31"/>
      <c r="G73" s="31"/>
      <c r="H73" s="31"/>
      <c r="I73" s="31"/>
      <c r="J73" s="31"/>
      <c r="K73" s="31"/>
      <c r="L73" s="31"/>
      <c r="M73" s="31"/>
      <c r="N73" s="31"/>
      <c r="O73" s="31"/>
      <c r="P73" s="31"/>
      <c r="Q73" s="31"/>
      <c r="R73" s="31"/>
      <c r="S73" s="31"/>
      <c r="T73" s="31"/>
      <c r="U73" s="31"/>
      <c r="V73" s="31"/>
    </row>
    <row r="74" spans="1:22" ht="21" customHeight="1" x14ac:dyDescent="0.25">
      <c r="A74" s="37" t="s">
        <v>738</v>
      </c>
      <c r="B74" s="31"/>
      <c r="C74" s="31"/>
      <c r="D74" s="31"/>
      <c r="E74" s="31"/>
      <c r="F74" s="31"/>
      <c r="G74" s="31"/>
      <c r="H74" s="31"/>
      <c r="I74" s="31"/>
      <c r="J74" s="31"/>
      <c r="K74" s="31"/>
      <c r="L74" s="31"/>
      <c r="M74" s="31"/>
      <c r="N74" s="31"/>
      <c r="O74" s="31"/>
      <c r="P74" s="31"/>
      <c r="Q74" s="31"/>
      <c r="R74" s="31"/>
      <c r="S74" s="31"/>
      <c r="T74" s="31"/>
      <c r="U74" s="31"/>
      <c r="V74" s="31"/>
    </row>
    <row r="75" spans="1:22" ht="6" customHeight="1" x14ac:dyDescent="0.25"/>
    <row r="76" spans="1:22" ht="18" customHeight="1" x14ac:dyDescent="0.25">
      <c r="A76" s="36" t="s">
        <v>695</v>
      </c>
      <c r="B76" s="31"/>
      <c r="C76" s="31"/>
      <c r="D76" s="31"/>
      <c r="E76" s="31"/>
      <c r="F76" s="31"/>
      <c r="G76" s="31"/>
      <c r="H76" s="31"/>
      <c r="I76" s="31"/>
      <c r="J76" s="31"/>
      <c r="K76" s="31"/>
      <c r="L76" s="31"/>
      <c r="M76" s="31"/>
      <c r="N76" s="31"/>
      <c r="O76" s="31"/>
      <c r="P76" s="31"/>
      <c r="Q76" s="31"/>
      <c r="R76" s="31"/>
      <c r="S76" s="31"/>
      <c r="T76" s="31"/>
      <c r="U76" s="31"/>
      <c r="V76" s="31"/>
    </row>
    <row r="77" spans="1:22" ht="21" customHeight="1" x14ac:dyDescent="0.25">
      <c r="A77" s="37" t="s">
        <v>739</v>
      </c>
      <c r="B77" s="31"/>
      <c r="C77" s="31"/>
      <c r="D77" s="31"/>
      <c r="E77" s="31"/>
      <c r="F77" s="31"/>
      <c r="G77" s="31"/>
      <c r="H77" s="31"/>
      <c r="I77" s="31"/>
      <c r="J77" s="31"/>
      <c r="K77" s="31"/>
      <c r="L77" s="31"/>
      <c r="M77" s="31"/>
      <c r="N77" s="31"/>
      <c r="O77" s="31"/>
      <c r="P77" s="31"/>
      <c r="Q77" s="31"/>
      <c r="R77" s="31"/>
      <c r="S77" s="31"/>
      <c r="T77" s="31"/>
      <c r="U77" s="31"/>
      <c r="V77" s="31"/>
    </row>
    <row r="78" spans="1:22" ht="6" customHeight="1" x14ac:dyDescent="0.25"/>
    <row r="79" spans="1:22" ht="18" customHeight="1" x14ac:dyDescent="0.25">
      <c r="A79" s="36" t="s">
        <v>696</v>
      </c>
      <c r="B79" s="31"/>
      <c r="C79" s="31"/>
      <c r="D79" s="31"/>
      <c r="E79" s="31"/>
      <c r="F79" s="31"/>
      <c r="G79" s="31"/>
      <c r="H79" s="31"/>
      <c r="I79" s="31"/>
      <c r="J79" s="31"/>
      <c r="K79" s="31"/>
      <c r="L79" s="31"/>
      <c r="M79" s="31"/>
      <c r="N79" s="31"/>
      <c r="O79" s="31"/>
      <c r="P79" s="31"/>
      <c r="Q79" s="31"/>
      <c r="R79" s="31"/>
      <c r="S79" s="31"/>
      <c r="T79" s="31"/>
      <c r="U79" s="31"/>
      <c r="V79" s="31"/>
    </row>
    <row r="80" spans="1:22" ht="21" customHeight="1" x14ac:dyDescent="0.25">
      <c r="A80" s="37" t="s">
        <v>740</v>
      </c>
      <c r="B80" s="31"/>
      <c r="C80" s="31"/>
      <c r="D80" s="31"/>
      <c r="E80" s="31"/>
      <c r="F80" s="31"/>
      <c r="G80" s="31"/>
      <c r="H80" s="31"/>
      <c r="I80" s="31"/>
      <c r="J80" s="31"/>
      <c r="K80" s="31"/>
      <c r="L80" s="31"/>
      <c r="M80" s="31"/>
      <c r="N80" s="31"/>
      <c r="O80" s="31"/>
      <c r="P80" s="31"/>
      <c r="Q80" s="31"/>
      <c r="R80" s="31"/>
      <c r="S80" s="31"/>
      <c r="T80" s="31"/>
      <c r="U80" s="31"/>
      <c r="V80" s="31"/>
    </row>
    <row r="81" spans="1:22" ht="6" customHeight="1" x14ac:dyDescent="0.25"/>
    <row r="82" spans="1:22" ht="18" customHeight="1" x14ac:dyDescent="0.25">
      <c r="A82" s="36" t="s">
        <v>699</v>
      </c>
      <c r="B82" s="31"/>
      <c r="C82" s="31"/>
      <c r="D82" s="31"/>
      <c r="E82" s="31"/>
      <c r="F82" s="31"/>
      <c r="G82" s="31"/>
      <c r="H82" s="31"/>
      <c r="I82" s="31"/>
      <c r="J82" s="31"/>
      <c r="K82" s="31"/>
      <c r="L82" s="31"/>
      <c r="M82" s="31"/>
      <c r="N82" s="31"/>
      <c r="O82" s="31"/>
      <c r="P82" s="31"/>
      <c r="Q82" s="31"/>
      <c r="R82" s="31"/>
      <c r="S82" s="31"/>
      <c r="T82" s="31"/>
      <c r="U82" s="31"/>
      <c r="V82" s="31"/>
    </row>
    <row r="83" spans="1:22" ht="21" customHeight="1" x14ac:dyDescent="0.25">
      <c r="A83" s="37" t="s">
        <v>743</v>
      </c>
      <c r="B83" s="31"/>
      <c r="C83" s="31"/>
      <c r="D83" s="31"/>
      <c r="E83" s="31"/>
      <c r="F83" s="31"/>
      <c r="G83" s="31"/>
      <c r="H83" s="31"/>
      <c r="I83" s="31"/>
      <c r="J83" s="31"/>
      <c r="K83" s="31"/>
      <c r="L83" s="31"/>
      <c r="M83" s="31"/>
      <c r="N83" s="31"/>
      <c r="O83" s="31"/>
      <c r="P83" s="31"/>
      <c r="Q83" s="31"/>
      <c r="R83" s="31"/>
      <c r="S83" s="31"/>
      <c r="T83" s="31"/>
      <c r="U83" s="31"/>
      <c r="V83" s="31"/>
    </row>
    <row r="84" spans="1:22" ht="6" customHeight="1" x14ac:dyDescent="0.25"/>
    <row r="87" spans="1:22" x14ac:dyDescent="0.25">
      <c r="A87" s="40" t="s">
        <v>744</v>
      </c>
      <c r="B87" s="31"/>
      <c r="C87" s="31"/>
      <c r="D87" s="31"/>
      <c r="E87" s="31"/>
      <c r="F87" s="31"/>
      <c r="G87" s="31"/>
      <c r="H87" s="31"/>
      <c r="I87" s="31"/>
      <c r="J87" s="31"/>
      <c r="K87" s="31"/>
      <c r="L87" s="31"/>
      <c r="M87" s="31"/>
      <c r="N87" s="31"/>
      <c r="O87" s="31"/>
      <c r="P87" s="31"/>
      <c r="Q87" s="31"/>
      <c r="R87" s="31"/>
      <c r="S87" s="31"/>
      <c r="T87" s="31"/>
      <c r="U87" s="31"/>
      <c r="V87" s="31"/>
    </row>
  </sheetData>
  <mergeCells count="34">
    <mergeCell ref="A87:V87"/>
    <mergeCell ref="A65:V65"/>
    <mergeCell ref="A80:V80"/>
    <mergeCell ref="A37:V37"/>
    <mergeCell ref="A46:V46"/>
    <mergeCell ref="A74:V74"/>
    <mergeCell ref="A50:V50"/>
    <mergeCell ref="A56:V56"/>
    <mergeCell ref="A55:V55"/>
    <mergeCell ref="A77:V77"/>
    <mergeCell ref="A34:V34"/>
    <mergeCell ref="A39:V39"/>
    <mergeCell ref="A83:V83"/>
    <mergeCell ref="A59:V59"/>
    <mergeCell ref="A73:V73"/>
    <mergeCell ref="A64:V64"/>
    <mergeCell ref="A82:V82"/>
    <mergeCell ref="A36:V36"/>
    <mergeCell ref="A45:V45"/>
    <mergeCell ref="A79:V79"/>
    <mergeCell ref="A61:V61"/>
    <mergeCell ref="A70:V70"/>
    <mergeCell ref="A42:V42"/>
    <mergeCell ref="A76:V76"/>
    <mergeCell ref="A33:V33"/>
    <mergeCell ref="A71:V71"/>
    <mergeCell ref="A62:V62"/>
    <mergeCell ref="A53:V53"/>
    <mergeCell ref="A43:V43"/>
    <mergeCell ref="A52:V52"/>
    <mergeCell ref="A68:V68"/>
    <mergeCell ref="A58:V58"/>
    <mergeCell ref="A40:V40"/>
    <mergeCell ref="A67:V67"/>
  </mergeCells>
  <dataValidations count="11">
    <dataValidation type="list" allowBlank="1" errorTitle="Valore non valido" error="Seleziona dalla lista." promptTitle="Author" prompt="Autore della codifica." sqref="B5:B30" xr:uid="{00000000-0002-0000-0400-000000000000}">
      <formula1>Author_Name</formula1>
    </dataValidation>
    <dataValidation type="list" allowBlank="1" errorTitle="Valore non valido" error="Seleziona dalla lista, oppure lascia vuoto." promptTitle="In Place" sqref="D5:D30" xr:uid="{00000000-0002-0000-0400-000001000000}">
      <formula1>InPl_Name</formula1>
    </dataValidation>
    <dataValidation type="list" allowBlank="1" errorTitle="Valore non valido" error="Seleziona dalla lista." promptTitle="Famiglia di sistema" prompt="Famiglia di sistema Revit." sqref="F5:F30" xr:uid="{00000000-0002-0000-0400-000002000000}">
      <formula1>RF_Cat_Name</formula1>
    </dataValidation>
    <dataValidation type="list" allowBlank="1" errorTitle="Non disponibile" error="Seleziona prima la famiglia di sistema su questa riga." promptTitle="Group1" prompt="Sistema costruttivo. Le opzioni cambiano con la famiglia scelta sulla riga." sqref="H5:H30" xr:uid="{00000000-0002-0000-0400-000003000000}">
      <formula1>INDIRECT($W5)</formula1>
    </dataValidation>
    <dataValidation type="list" allowBlank="1" errorTitle="Non disponibile" error="Seleziona prima la famiglia di sistema su questa riga." promptTitle="Group2" prompt="Basic Roof: ruolo della copertura. Sloped Glazing: elemento reale rappresentato dal sistema vetrato." sqref="K5:K30" xr:uid="{00000000-0002-0000-0400-000004000000}">
      <formula1>INDIRECT($X5)</formula1>
    </dataValidation>
    <dataValidation type="list" allowBlank="1" errorTitle="Valore non valido" error="Seleziona dalla lista." promptTitle="N. finiture" prompt="Numero di facce finite: 0F, 1F, 2F. Elemento a strato singolo → 0F, anche quando quell’unico strato è la finitura." sqref="M5:M30" xr:uid="{00000000-0002-0000-0400-000005000000}">
      <formula1>Fin_Name</formula1>
    </dataValidation>
    <dataValidation type="custom" allowBlank="1" errorTitle="Non valido" error="Inserisci un intero tra 0 e 99, oppure XX se i tipi non sono ancora definiti. Se Group1 è Other compila il Type Mark manuale." promptTitle="TM sequenza" prompt="Due cifre da 0 a 99. Distingue le varianti di stesso Group1 e stesso Group2. Tipo non ancora definito → XX. Non si compila con Group1 = OT." sqref="O5:O30" xr:uid="{00000000-0002-0000-0400-000006000000}">
      <formula1>AND($I5&lt;&gt;"OT",OR(UPPER($O5)="XX",AND(ISNUMBER($O5),$O5&gt;=0,$O5&lt;=99,$O5=INT($O5))))</formula1>
    </dataValidation>
    <dataValidation type="custom" allowBlank="1" errorTitle="Non ammesso qui" error="Si usa solo quando Group1 è Other." promptTitle="Type Mark manuale" prompt="Solo con Group1 = OT. Sostituisce tutto il Type Mark, prefisso di categoria compreso. Finiture → prefisso materiale + tre cifre: PT-001, WD-001, MT-001." sqref="P5:P30" xr:uid="{00000000-0002-0000-0400-000007000000}">
      <formula1>$I5="OT"</formula1>
    </dataValidation>
    <dataValidation type="decimal" operator="greaterThan" allowBlank="1" errorTitle="Non valido" error="Inserisci un valore maggiore di 0." promptTitle="Thickness mm" prompt="Spessore totale in mm." sqref="R5:R30" xr:uid="{00000000-0002-0000-0400-000008000000}">
      <formula1>0</formula1>
    </dataValidation>
    <dataValidation type="textLength" operator="lessThanOrEqual" allowBlank="1" errorTitle="Troppo lungo" error="Massimo 12 caratteri." promptTitle="REI" prompt="Facoltativo. Sigla completa come certificata: REI120, EI90, RE60. Deve coincidere con FireRating." sqref="S5:S30" xr:uid="{00000000-0002-0000-0400-000009000000}">
      <formula1>12</formula1>
    </dataValidation>
    <dataValidation type="textLength" operator="lessThanOrEqual" allowBlank="1" errorTitle="Troppo lunga" error="Massimo 40 caratteri." promptTitle="Description" prompt="Facoltativa. Solo se aggiunge un’informazione non già nei codici: destinazione, posizione, o ciò che distingue due tipi altrimenti identici. Senza spazi, iniziali maiuscole, massimo 40 caratteri, senza accenti." sqref="T5:T30" xr:uid="{00000000-0002-0000-0400-00000A000000}">
      <formula1>40</formula1>
    </dataValidation>
  </dataValidation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U84"/>
  <sheetViews>
    <sheetView showGridLines="0" workbookViewId="0">
      <pane ySplit="4" topLeftCell="A5" activePane="bottomLeft" state="frozen"/>
      <selection pane="bottomLeft"/>
    </sheetView>
  </sheetViews>
  <sheetFormatPr defaultRowHeight="15" x14ac:dyDescent="0.25"/>
  <cols>
    <col min="1" max="1" width="3" customWidth="1"/>
    <col min="2" max="2" width="15" customWidth="1"/>
    <col min="3" max="3" width="5" customWidth="1"/>
    <col min="4" max="4" width="10" customWidth="1"/>
    <col min="5" max="5" width="4" customWidth="1"/>
    <col min="6" max="6" width="17" customWidth="1"/>
    <col min="7" max="7" width="4" customWidth="1"/>
    <col min="8" max="8" width="15" customWidth="1"/>
    <col min="9" max="9" width="4" customWidth="1"/>
    <col min="10" max="10" width="6" customWidth="1"/>
    <col min="11" max="11" width="15" customWidth="1"/>
    <col min="12" max="12" width="4" customWidth="1"/>
    <col min="13" max="13" width="12" customWidth="1"/>
    <col min="14" max="14" width="19" customWidth="1"/>
    <col min="15" max="15" width="12" customWidth="1"/>
    <col min="16" max="16" width="10" customWidth="1"/>
    <col min="17" max="17" width="16" customWidth="1"/>
    <col min="18" max="18" width="5" customWidth="1"/>
    <col min="19" max="19" width="22" customWidth="1"/>
    <col min="20" max="20" width="12" customWidth="1"/>
    <col min="21" max="21" width="40" customWidth="1"/>
  </cols>
  <sheetData>
    <row r="1" spans="1:21" ht="19.5" x14ac:dyDescent="0.3">
      <c r="A1" s="6" t="s">
        <v>771</v>
      </c>
    </row>
    <row r="2" spans="1:21" x14ac:dyDescent="0.25">
      <c r="A2" s="7" t="s">
        <v>680</v>
      </c>
    </row>
    <row r="3" spans="1:21" x14ac:dyDescent="0.25">
      <c r="A3" s="8" t="s">
        <v>772</v>
      </c>
    </row>
    <row r="4" spans="1:21" ht="30" customHeight="1" x14ac:dyDescent="0.25">
      <c r="A4" s="9" t="s">
        <v>682</v>
      </c>
      <c r="B4" s="9" t="s">
        <v>70</v>
      </c>
      <c r="C4" s="9" t="s">
        <v>683</v>
      </c>
      <c r="D4" s="10" t="s">
        <v>84</v>
      </c>
      <c r="E4" s="9" t="s">
        <v>83</v>
      </c>
      <c r="F4" s="9" t="s">
        <v>684</v>
      </c>
      <c r="G4" s="9" t="s">
        <v>685</v>
      </c>
      <c r="H4" s="9" t="s">
        <v>686</v>
      </c>
      <c r="I4" s="9" t="s">
        <v>687</v>
      </c>
      <c r="J4" s="9" t="s">
        <v>688</v>
      </c>
      <c r="K4" s="9" t="s">
        <v>689</v>
      </c>
      <c r="L4" s="9" t="s">
        <v>690</v>
      </c>
      <c r="M4" s="9" t="s">
        <v>692</v>
      </c>
      <c r="N4" s="9" t="s">
        <v>693</v>
      </c>
      <c r="O4" s="9" t="s">
        <v>694</v>
      </c>
      <c r="P4" s="9" t="s">
        <v>773</v>
      </c>
      <c r="Q4" s="10" t="s">
        <v>774</v>
      </c>
      <c r="R4" s="9" t="s">
        <v>775</v>
      </c>
      <c r="S4" s="10" t="s">
        <v>699</v>
      </c>
      <c r="T4" s="9" t="s">
        <v>700</v>
      </c>
      <c r="U4" s="9" t="s">
        <v>701</v>
      </c>
    </row>
    <row r="5" spans="1:21" x14ac:dyDescent="0.25">
      <c r="A5" s="11" t="s">
        <v>704</v>
      </c>
      <c r="B5" s="12" t="s">
        <v>80</v>
      </c>
      <c r="C5" s="13" t="str">
        <f t="shared" ref="C5:C30" si="0">IFERROR(INDEX(Author_Code,MATCH($B5,Author_Name,0)),"")</f>
        <v>e</v>
      </c>
      <c r="D5" s="14"/>
      <c r="E5" s="13" t="str">
        <f t="shared" ref="E5:E30" si="1">IFERROR(INDEX(InPl_Code,MATCH($D5,InPl_Name,0)),"")</f>
        <v/>
      </c>
      <c r="F5" s="12" t="s">
        <v>300</v>
      </c>
      <c r="G5" s="13" t="str">
        <f t="shared" ref="G5:G30" si="2">IFERROR(INDEX(RL_Cat_Code,MATCH($F5,RL_Cat_Name,0)),"")</f>
        <v>RL</v>
      </c>
      <c r="H5" s="12" t="s">
        <v>320</v>
      </c>
      <c r="I5" s="13" t="str">
        <f t="shared" ref="I5:I30" si="3">IFERROR(INDEX(RL_G1_Code,MATCH($H5,RL_G1_Name,0)),"")</f>
        <v>VP</v>
      </c>
      <c r="J5" s="13" t="str">
        <f t="shared" ref="J5:J30" si="4">IFERROR(LEFT(INDEX(RL_G1_TM,MATCH($H5,RL_G1_Name,0)),1),"")</f>
        <v>1</v>
      </c>
      <c r="K5" s="12" t="s">
        <v>317</v>
      </c>
      <c r="L5" s="13" t="str">
        <f t="shared" ref="L5:L30" si="5">IFERROR(INDEX(RL_G2_Code,MATCH($K5,RL_G2_Name,0)),"")</f>
        <v>GR</v>
      </c>
      <c r="M5" s="12">
        <v>1</v>
      </c>
      <c r="N5" s="15"/>
      <c r="O5" s="13" t="str">
        <f t="shared" ref="O5:O30" si="6">IF($I5="OT",$N5,IF(OR($G5="",$J5="",$M5=""),"",$G5&amp;"-"&amp;$J5&amp;IF(UPPER($M5)="XX","XX",TEXT($M5,"00"))))</f>
        <v>RL-101</v>
      </c>
      <c r="P5" s="12">
        <v>1100</v>
      </c>
      <c r="Q5" s="14" t="s">
        <v>119</v>
      </c>
      <c r="R5" s="13" t="str">
        <f t="shared" ref="R5:R30" si="7">IFERROR(INDEX(Rail_Code,MATCH($Q5,Rail_Name,0)),"")</f>
        <v>B</v>
      </c>
      <c r="S5" s="16"/>
      <c r="T5" s="13" t="str">
        <f t="shared" ref="T5:T30" si="8">$G5&amp;IF($I5&lt;&gt;"","."&amp;$I5,"")&amp;IF($L5&lt;&gt;"","."&amp;$L5,"")</f>
        <v>RL.VP.GR</v>
      </c>
      <c r="U5" s="17" t="str">
        <f t="shared" ref="U5:U30" si="9">IF(AND($F5&lt;&gt;"",$H5&lt;&gt;"",$O5&lt;&gt;"",$P5&lt;&gt;""),$C5&amp;"_"&amp;$O5&amp;"_"&amp;$E5&amp;$T5&amp;"_"&amp;"H"&amp;TEXT($P5,"0")&amp;IF($R5&lt;&gt;"","_"&amp;$R5,"")&amp;IF($S5&lt;&gt;"","_"&amp;$S5,""),"")</f>
        <v>e_RL-101_RL.VP.GR_H1100_B</v>
      </c>
    </row>
    <row r="6" spans="1:21" x14ac:dyDescent="0.25">
      <c r="A6" s="11" t="s">
        <v>705</v>
      </c>
      <c r="B6" s="12" t="s">
        <v>80</v>
      </c>
      <c r="C6" s="13" t="str">
        <f t="shared" si="0"/>
        <v>e</v>
      </c>
      <c r="D6" s="14"/>
      <c r="E6" s="13" t="str">
        <f t="shared" si="1"/>
        <v/>
      </c>
      <c r="F6" s="12" t="s">
        <v>300</v>
      </c>
      <c r="G6" s="13" t="str">
        <f t="shared" si="2"/>
        <v>RL</v>
      </c>
      <c r="H6" s="12" t="s">
        <v>320</v>
      </c>
      <c r="I6" s="13" t="str">
        <f t="shared" si="3"/>
        <v>VP</v>
      </c>
      <c r="J6" s="13" t="str">
        <f t="shared" si="4"/>
        <v>1</v>
      </c>
      <c r="K6" s="12" t="s">
        <v>317</v>
      </c>
      <c r="L6" s="13" t="str">
        <f t="shared" si="5"/>
        <v>GR</v>
      </c>
      <c r="M6" s="12">
        <v>2</v>
      </c>
      <c r="N6" s="15"/>
      <c r="O6" s="13" t="str">
        <f t="shared" si="6"/>
        <v>RL-102</v>
      </c>
      <c r="P6" s="12">
        <v>1100</v>
      </c>
      <c r="Q6" s="14" t="s">
        <v>115</v>
      </c>
      <c r="R6" s="13" t="str">
        <f t="shared" si="7"/>
        <v>T</v>
      </c>
      <c r="S6" s="16"/>
      <c r="T6" s="13" t="str">
        <f t="shared" si="8"/>
        <v>RL.VP.GR</v>
      </c>
      <c r="U6" s="17" t="str">
        <f t="shared" si="9"/>
        <v>e_RL-102_RL.VP.GR_H1100_T</v>
      </c>
    </row>
    <row r="7" spans="1:21" x14ac:dyDescent="0.25">
      <c r="A7" s="11" t="s">
        <v>707</v>
      </c>
      <c r="B7" s="12" t="s">
        <v>80</v>
      </c>
      <c r="C7" s="13" t="str">
        <f t="shared" si="0"/>
        <v>e</v>
      </c>
      <c r="D7" s="14"/>
      <c r="E7" s="13" t="str">
        <f t="shared" si="1"/>
        <v/>
      </c>
      <c r="F7" s="12" t="s">
        <v>300</v>
      </c>
      <c r="G7" s="13" t="str">
        <f t="shared" si="2"/>
        <v>RL</v>
      </c>
      <c r="H7" s="12" t="s">
        <v>320</v>
      </c>
      <c r="I7" s="13" t="str">
        <f t="shared" si="3"/>
        <v>VP</v>
      </c>
      <c r="J7" s="13" t="str">
        <f t="shared" si="4"/>
        <v>1</v>
      </c>
      <c r="K7" s="12" t="s">
        <v>323</v>
      </c>
      <c r="L7" s="13" t="str">
        <f t="shared" si="5"/>
        <v>HR</v>
      </c>
      <c r="M7" s="12">
        <v>3</v>
      </c>
      <c r="N7" s="15"/>
      <c r="O7" s="13" t="str">
        <f t="shared" si="6"/>
        <v>RL-103</v>
      </c>
      <c r="P7" s="12">
        <v>900</v>
      </c>
      <c r="Q7" s="14" t="s">
        <v>117</v>
      </c>
      <c r="R7" s="13" t="str">
        <f t="shared" si="7"/>
        <v>H</v>
      </c>
      <c r="S7" s="16" t="s">
        <v>776</v>
      </c>
      <c r="T7" s="13" t="str">
        <f t="shared" si="8"/>
        <v>RL.VP.HR</v>
      </c>
      <c r="U7" s="17" t="str">
        <f t="shared" si="9"/>
        <v>e_RL-103_RL.VP.HR_H900_H_WallMounted</v>
      </c>
    </row>
    <row r="8" spans="1:21" x14ac:dyDescent="0.25">
      <c r="A8" s="11" t="s">
        <v>709</v>
      </c>
      <c r="B8" s="12" t="s">
        <v>80</v>
      </c>
      <c r="C8" s="13" t="str">
        <f t="shared" si="0"/>
        <v>e</v>
      </c>
      <c r="D8" s="14"/>
      <c r="E8" s="13" t="str">
        <f t="shared" si="1"/>
        <v/>
      </c>
      <c r="F8" s="12" t="s">
        <v>300</v>
      </c>
      <c r="G8" s="13" t="str">
        <f t="shared" si="2"/>
        <v>RL</v>
      </c>
      <c r="H8" s="12" t="s">
        <v>320</v>
      </c>
      <c r="I8" s="13" t="str">
        <f t="shared" si="3"/>
        <v>VP</v>
      </c>
      <c r="J8" s="13" t="str">
        <f t="shared" si="4"/>
        <v>1</v>
      </c>
      <c r="K8" s="12" t="s">
        <v>334</v>
      </c>
      <c r="L8" s="13" t="str">
        <f t="shared" si="5"/>
        <v>PT</v>
      </c>
      <c r="M8" s="12">
        <v>4</v>
      </c>
      <c r="N8" s="15"/>
      <c r="O8" s="13" t="str">
        <f t="shared" si="6"/>
        <v>RL-104</v>
      </c>
      <c r="P8" s="12">
        <v>1000</v>
      </c>
      <c r="Q8" s="14" t="s">
        <v>113</v>
      </c>
      <c r="R8" s="13" t="str">
        <f t="shared" si="7"/>
        <v>N</v>
      </c>
      <c r="S8" s="16"/>
      <c r="T8" s="13" t="str">
        <f t="shared" si="8"/>
        <v>RL.VP.PT</v>
      </c>
      <c r="U8" s="17" t="str">
        <f t="shared" si="9"/>
        <v>e_RL-104_RL.VP.PT_H1000_N</v>
      </c>
    </row>
    <row r="9" spans="1:21" x14ac:dyDescent="0.25">
      <c r="A9" s="11" t="s">
        <v>711</v>
      </c>
      <c r="B9" s="12" t="s">
        <v>80</v>
      </c>
      <c r="C9" s="13" t="str">
        <f t="shared" si="0"/>
        <v>e</v>
      </c>
      <c r="D9" s="14"/>
      <c r="E9" s="13" t="str">
        <f t="shared" si="1"/>
        <v/>
      </c>
      <c r="F9" s="12" t="s">
        <v>300</v>
      </c>
      <c r="G9" s="13" t="str">
        <f t="shared" si="2"/>
        <v>RL</v>
      </c>
      <c r="H9" s="12" t="s">
        <v>326</v>
      </c>
      <c r="I9" s="13" t="str">
        <f t="shared" si="3"/>
        <v>HP</v>
      </c>
      <c r="J9" s="13" t="str">
        <f t="shared" si="4"/>
        <v>2</v>
      </c>
      <c r="K9" s="12" t="s">
        <v>317</v>
      </c>
      <c r="L9" s="13" t="str">
        <f t="shared" si="5"/>
        <v>GR</v>
      </c>
      <c r="M9" s="12">
        <v>1</v>
      </c>
      <c r="N9" s="15"/>
      <c r="O9" s="13" t="str">
        <f t="shared" si="6"/>
        <v>RL-201</v>
      </c>
      <c r="P9" s="12">
        <v>1100</v>
      </c>
      <c r="Q9" s="14" t="s">
        <v>115</v>
      </c>
      <c r="R9" s="13" t="str">
        <f t="shared" si="7"/>
        <v>T</v>
      </c>
      <c r="S9" s="16"/>
      <c r="T9" s="13" t="str">
        <f t="shared" si="8"/>
        <v>RL.HP.GR</v>
      </c>
      <c r="U9" s="17" t="str">
        <f t="shared" si="9"/>
        <v>e_RL-201_RL.HP.GR_H1100_T</v>
      </c>
    </row>
    <row r="10" spans="1:21" x14ac:dyDescent="0.25">
      <c r="A10" s="11" t="s">
        <v>712</v>
      </c>
      <c r="B10" s="12" t="s">
        <v>80</v>
      </c>
      <c r="C10" s="13" t="str">
        <f t="shared" si="0"/>
        <v>e</v>
      </c>
      <c r="D10" s="14"/>
      <c r="E10" s="13" t="str">
        <f t="shared" si="1"/>
        <v/>
      </c>
      <c r="F10" s="12" t="s">
        <v>300</v>
      </c>
      <c r="G10" s="13" t="str">
        <f t="shared" si="2"/>
        <v>RL</v>
      </c>
      <c r="H10" s="12" t="s">
        <v>326</v>
      </c>
      <c r="I10" s="13" t="str">
        <f t="shared" si="3"/>
        <v>HP</v>
      </c>
      <c r="J10" s="13" t="str">
        <f t="shared" si="4"/>
        <v>2</v>
      </c>
      <c r="K10" s="12" t="s">
        <v>329</v>
      </c>
      <c r="L10" s="13" t="str">
        <f t="shared" si="5"/>
        <v>FE</v>
      </c>
      <c r="M10" s="12">
        <v>2</v>
      </c>
      <c r="N10" s="15"/>
      <c r="O10" s="13" t="str">
        <f t="shared" si="6"/>
        <v>RL-202</v>
      </c>
      <c r="P10" s="12">
        <v>1800</v>
      </c>
      <c r="Q10" s="14" t="s">
        <v>113</v>
      </c>
      <c r="R10" s="13" t="str">
        <f t="shared" si="7"/>
        <v>N</v>
      </c>
      <c r="S10" s="16"/>
      <c r="T10" s="13" t="str">
        <f t="shared" si="8"/>
        <v>RL.HP.FE</v>
      </c>
      <c r="U10" s="17" t="str">
        <f t="shared" si="9"/>
        <v>e_RL-202_RL.HP.FE_H1800_N</v>
      </c>
    </row>
    <row r="11" spans="1:21" x14ac:dyDescent="0.25">
      <c r="A11" s="11" t="s">
        <v>713</v>
      </c>
      <c r="B11" s="12" t="s">
        <v>80</v>
      </c>
      <c r="C11" s="13" t="str">
        <f t="shared" si="0"/>
        <v>e</v>
      </c>
      <c r="D11" s="14"/>
      <c r="E11" s="13" t="str">
        <f t="shared" si="1"/>
        <v/>
      </c>
      <c r="F11" s="12" t="s">
        <v>300</v>
      </c>
      <c r="G11" s="13" t="str">
        <f t="shared" si="2"/>
        <v>RL</v>
      </c>
      <c r="H11" s="12" t="s">
        <v>332</v>
      </c>
      <c r="I11" s="13" t="str">
        <f t="shared" si="3"/>
        <v>PP</v>
      </c>
      <c r="J11" s="13" t="str">
        <f t="shared" si="4"/>
        <v>3</v>
      </c>
      <c r="K11" s="12" t="s">
        <v>317</v>
      </c>
      <c r="L11" s="13" t="str">
        <f t="shared" si="5"/>
        <v>GR</v>
      </c>
      <c r="M11" s="12">
        <v>1</v>
      </c>
      <c r="N11" s="15"/>
      <c r="O11" s="13" t="str">
        <f t="shared" si="6"/>
        <v>RL-301</v>
      </c>
      <c r="P11" s="12">
        <v>1100</v>
      </c>
      <c r="Q11" s="14" t="s">
        <v>115</v>
      </c>
      <c r="R11" s="13" t="str">
        <f t="shared" si="7"/>
        <v>T</v>
      </c>
      <c r="S11" s="16"/>
      <c r="T11" s="13" t="str">
        <f t="shared" si="8"/>
        <v>RL.PP.GR</v>
      </c>
      <c r="U11" s="17" t="str">
        <f t="shared" si="9"/>
        <v>e_RL-301_RL.PP.GR_H1100_T</v>
      </c>
    </row>
    <row r="12" spans="1:21" x14ac:dyDescent="0.25">
      <c r="A12" s="11" t="s">
        <v>715</v>
      </c>
      <c r="B12" s="12" t="s">
        <v>80</v>
      </c>
      <c r="C12" s="13" t="str">
        <f t="shared" si="0"/>
        <v>e</v>
      </c>
      <c r="D12" s="14"/>
      <c r="E12" s="13" t="str">
        <f t="shared" si="1"/>
        <v/>
      </c>
      <c r="F12" s="12" t="s">
        <v>300</v>
      </c>
      <c r="G12" s="13" t="str">
        <f t="shared" si="2"/>
        <v>RL</v>
      </c>
      <c r="H12" s="12" t="s">
        <v>337</v>
      </c>
      <c r="I12" s="13" t="str">
        <f t="shared" si="3"/>
        <v>PF</v>
      </c>
      <c r="J12" s="13" t="str">
        <f t="shared" si="4"/>
        <v>4</v>
      </c>
      <c r="K12" s="12" t="s">
        <v>317</v>
      </c>
      <c r="L12" s="13" t="str">
        <f t="shared" si="5"/>
        <v>GR</v>
      </c>
      <c r="M12" s="12">
        <v>1</v>
      </c>
      <c r="N12" s="15"/>
      <c r="O12" s="13" t="str">
        <f t="shared" si="6"/>
        <v>RL-401</v>
      </c>
      <c r="P12" s="12">
        <v>1000</v>
      </c>
      <c r="Q12" s="14" t="s">
        <v>119</v>
      </c>
      <c r="R12" s="13" t="str">
        <f t="shared" si="7"/>
        <v>B</v>
      </c>
      <c r="S12" s="16"/>
      <c r="T12" s="13" t="str">
        <f t="shared" si="8"/>
        <v>RL.PF.GR</v>
      </c>
      <c r="U12" s="17" t="str">
        <f t="shared" si="9"/>
        <v>e_RL-401_RL.PF.GR_H1000_B</v>
      </c>
    </row>
    <row r="13" spans="1:21" x14ac:dyDescent="0.25">
      <c r="A13" s="11" t="s">
        <v>716</v>
      </c>
      <c r="B13" s="12" t="s">
        <v>80</v>
      </c>
      <c r="C13" s="13" t="str">
        <f t="shared" si="0"/>
        <v>e</v>
      </c>
      <c r="D13" s="14"/>
      <c r="E13" s="13" t="str">
        <f t="shared" si="1"/>
        <v/>
      </c>
      <c r="F13" s="12" t="s">
        <v>300</v>
      </c>
      <c r="G13" s="13" t="str">
        <f t="shared" si="2"/>
        <v>RL</v>
      </c>
      <c r="H13" s="12" t="s">
        <v>337</v>
      </c>
      <c r="I13" s="13" t="str">
        <f t="shared" si="3"/>
        <v>PF</v>
      </c>
      <c r="J13" s="13" t="str">
        <f t="shared" si="4"/>
        <v>4</v>
      </c>
      <c r="K13" s="12" t="s">
        <v>317</v>
      </c>
      <c r="L13" s="13" t="str">
        <f t="shared" si="5"/>
        <v>GR</v>
      </c>
      <c r="M13" s="12">
        <v>2</v>
      </c>
      <c r="N13" s="15"/>
      <c r="O13" s="13" t="str">
        <f t="shared" si="6"/>
        <v>RL-402</v>
      </c>
      <c r="P13" s="12">
        <v>1000</v>
      </c>
      <c r="Q13" s="14" t="s">
        <v>113</v>
      </c>
      <c r="R13" s="13" t="str">
        <f t="shared" si="7"/>
        <v>N</v>
      </c>
      <c r="S13" s="16"/>
      <c r="T13" s="13" t="str">
        <f t="shared" si="8"/>
        <v>RL.PF.GR</v>
      </c>
      <c r="U13" s="17" t="str">
        <f t="shared" si="9"/>
        <v>e_RL-402_RL.PF.GR_H1000_N</v>
      </c>
    </row>
    <row r="14" spans="1:21" x14ac:dyDescent="0.25">
      <c r="A14" s="11" t="s">
        <v>717</v>
      </c>
      <c r="B14" s="12" t="s">
        <v>80</v>
      </c>
      <c r="C14" s="13" t="str">
        <f t="shared" si="0"/>
        <v>e</v>
      </c>
      <c r="D14" s="14"/>
      <c r="E14" s="13" t="str">
        <f t="shared" si="1"/>
        <v/>
      </c>
      <c r="F14" s="12" t="s">
        <v>300</v>
      </c>
      <c r="G14" s="13" t="str">
        <f t="shared" si="2"/>
        <v>RL</v>
      </c>
      <c r="H14" s="12" t="s">
        <v>343</v>
      </c>
      <c r="I14" s="13" t="str">
        <f t="shared" si="3"/>
        <v>MS</v>
      </c>
      <c r="J14" s="13" t="str">
        <f t="shared" si="4"/>
        <v>5</v>
      </c>
      <c r="K14" s="12" t="s">
        <v>329</v>
      </c>
      <c r="L14" s="13" t="str">
        <f t="shared" si="5"/>
        <v>FE</v>
      </c>
      <c r="M14" s="12">
        <v>1</v>
      </c>
      <c r="N14" s="15"/>
      <c r="O14" s="13" t="str">
        <f t="shared" si="6"/>
        <v>RL-501</v>
      </c>
      <c r="P14" s="12">
        <v>2000</v>
      </c>
      <c r="Q14" s="14" t="s">
        <v>113</v>
      </c>
      <c r="R14" s="13" t="str">
        <f t="shared" si="7"/>
        <v>N</v>
      </c>
      <c r="S14" s="16" t="s">
        <v>554</v>
      </c>
      <c r="T14" s="13" t="str">
        <f t="shared" si="8"/>
        <v>RL.MS.FE</v>
      </c>
      <c r="U14" s="17" t="str">
        <f t="shared" si="9"/>
        <v>e_RL-501_RL.MS.FE_H2000_N_Perimeter</v>
      </c>
    </row>
    <row r="15" spans="1:21" x14ac:dyDescent="0.25">
      <c r="A15" s="11" t="s">
        <v>719</v>
      </c>
      <c r="B15" s="12" t="s">
        <v>80</v>
      </c>
      <c r="C15" s="13" t="str">
        <f t="shared" si="0"/>
        <v>e</v>
      </c>
      <c r="D15" s="14" t="s">
        <v>84</v>
      </c>
      <c r="E15" s="13" t="str">
        <f t="shared" si="1"/>
        <v>(I)</v>
      </c>
      <c r="F15" s="12" t="s">
        <v>300</v>
      </c>
      <c r="G15" s="13" t="str">
        <f t="shared" si="2"/>
        <v>RL</v>
      </c>
      <c r="H15" s="12" t="s">
        <v>320</v>
      </c>
      <c r="I15" s="13" t="str">
        <f t="shared" si="3"/>
        <v>VP</v>
      </c>
      <c r="J15" s="13" t="str">
        <f t="shared" si="4"/>
        <v>1</v>
      </c>
      <c r="K15" s="12" t="s">
        <v>317</v>
      </c>
      <c r="L15" s="13" t="str">
        <f t="shared" si="5"/>
        <v>GR</v>
      </c>
      <c r="M15" s="12">
        <v>1</v>
      </c>
      <c r="N15" s="15"/>
      <c r="O15" s="13" t="str">
        <f t="shared" si="6"/>
        <v>RL-101</v>
      </c>
      <c r="P15" s="12">
        <v>1100</v>
      </c>
      <c r="Q15" s="14" t="s">
        <v>119</v>
      </c>
      <c r="R15" s="13" t="str">
        <f t="shared" si="7"/>
        <v>B</v>
      </c>
      <c r="S15" s="16"/>
      <c r="T15" s="13" t="str">
        <f t="shared" si="8"/>
        <v>RL.VP.GR</v>
      </c>
      <c r="U15" s="17" t="str">
        <f t="shared" si="9"/>
        <v>e_RL-101_(I)RL.VP.GR_H1100_B</v>
      </c>
    </row>
    <row r="16" spans="1:21" x14ac:dyDescent="0.25">
      <c r="A16" s="19">
        <v>1</v>
      </c>
      <c r="B16" s="20"/>
      <c r="C16" s="21" t="str">
        <f t="shared" si="0"/>
        <v/>
      </c>
      <c r="D16" s="22"/>
      <c r="E16" s="21" t="str">
        <f t="shared" si="1"/>
        <v/>
      </c>
      <c r="F16" s="20"/>
      <c r="G16" s="21" t="str">
        <f t="shared" si="2"/>
        <v/>
      </c>
      <c r="H16" s="20"/>
      <c r="I16" s="21" t="str">
        <f t="shared" si="3"/>
        <v/>
      </c>
      <c r="J16" s="21" t="str">
        <f t="shared" si="4"/>
        <v/>
      </c>
      <c r="K16" s="20"/>
      <c r="L16" s="21" t="str">
        <f t="shared" si="5"/>
        <v/>
      </c>
      <c r="M16" s="20"/>
      <c r="N16" s="23"/>
      <c r="O16" s="21" t="str">
        <f t="shared" si="6"/>
        <v/>
      </c>
      <c r="P16" s="20"/>
      <c r="Q16" s="22"/>
      <c r="R16" s="21" t="str">
        <f t="shared" si="7"/>
        <v/>
      </c>
      <c r="S16" s="24"/>
      <c r="T16" s="21" t="str">
        <f t="shared" si="8"/>
        <v/>
      </c>
      <c r="U16" s="25" t="str">
        <f t="shared" si="9"/>
        <v/>
      </c>
    </row>
    <row r="17" spans="1:21" x14ac:dyDescent="0.25">
      <c r="A17" s="19">
        <v>2</v>
      </c>
      <c r="B17" s="20"/>
      <c r="C17" s="21" t="str">
        <f t="shared" si="0"/>
        <v/>
      </c>
      <c r="D17" s="22"/>
      <c r="E17" s="21" t="str">
        <f t="shared" si="1"/>
        <v/>
      </c>
      <c r="F17" s="20"/>
      <c r="G17" s="21" t="str">
        <f t="shared" si="2"/>
        <v/>
      </c>
      <c r="H17" s="20"/>
      <c r="I17" s="21" t="str">
        <f t="shared" si="3"/>
        <v/>
      </c>
      <c r="J17" s="21" t="str">
        <f t="shared" si="4"/>
        <v/>
      </c>
      <c r="K17" s="20"/>
      <c r="L17" s="21" t="str">
        <f t="shared" si="5"/>
        <v/>
      </c>
      <c r="M17" s="20"/>
      <c r="N17" s="23"/>
      <c r="O17" s="21" t="str">
        <f t="shared" si="6"/>
        <v/>
      </c>
      <c r="P17" s="20"/>
      <c r="Q17" s="22"/>
      <c r="R17" s="21" t="str">
        <f t="shared" si="7"/>
        <v/>
      </c>
      <c r="S17" s="24"/>
      <c r="T17" s="21" t="str">
        <f t="shared" si="8"/>
        <v/>
      </c>
      <c r="U17" s="25" t="str">
        <f t="shared" si="9"/>
        <v/>
      </c>
    </row>
    <row r="18" spans="1:21" x14ac:dyDescent="0.25">
      <c r="A18" s="19">
        <v>3</v>
      </c>
      <c r="B18" s="20"/>
      <c r="C18" s="21" t="str">
        <f t="shared" si="0"/>
        <v/>
      </c>
      <c r="D18" s="22"/>
      <c r="E18" s="21" t="str">
        <f t="shared" si="1"/>
        <v/>
      </c>
      <c r="F18" s="20"/>
      <c r="G18" s="21" t="str">
        <f t="shared" si="2"/>
        <v/>
      </c>
      <c r="H18" s="20"/>
      <c r="I18" s="21" t="str">
        <f t="shared" si="3"/>
        <v/>
      </c>
      <c r="J18" s="21" t="str">
        <f t="shared" si="4"/>
        <v/>
      </c>
      <c r="K18" s="20"/>
      <c r="L18" s="21" t="str">
        <f t="shared" si="5"/>
        <v/>
      </c>
      <c r="M18" s="20"/>
      <c r="N18" s="23"/>
      <c r="O18" s="21" t="str">
        <f t="shared" si="6"/>
        <v/>
      </c>
      <c r="P18" s="20"/>
      <c r="Q18" s="22"/>
      <c r="R18" s="21" t="str">
        <f t="shared" si="7"/>
        <v/>
      </c>
      <c r="S18" s="24"/>
      <c r="T18" s="21" t="str">
        <f t="shared" si="8"/>
        <v/>
      </c>
      <c r="U18" s="25" t="str">
        <f t="shared" si="9"/>
        <v/>
      </c>
    </row>
    <row r="19" spans="1:21" x14ac:dyDescent="0.25">
      <c r="A19" s="19">
        <v>4</v>
      </c>
      <c r="B19" s="20"/>
      <c r="C19" s="21" t="str">
        <f t="shared" si="0"/>
        <v/>
      </c>
      <c r="D19" s="22"/>
      <c r="E19" s="21" t="str">
        <f t="shared" si="1"/>
        <v/>
      </c>
      <c r="F19" s="20"/>
      <c r="G19" s="21" t="str">
        <f t="shared" si="2"/>
        <v/>
      </c>
      <c r="H19" s="20"/>
      <c r="I19" s="21" t="str">
        <f t="shared" si="3"/>
        <v/>
      </c>
      <c r="J19" s="21" t="str">
        <f t="shared" si="4"/>
        <v/>
      </c>
      <c r="K19" s="20"/>
      <c r="L19" s="21" t="str">
        <f t="shared" si="5"/>
        <v/>
      </c>
      <c r="M19" s="20"/>
      <c r="N19" s="23"/>
      <c r="O19" s="21" t="str">
        <f t="shared" si="6"/>
        <v/>
      </c>
      <c r="P19" s="20"/>
      <c r="Q19" s="22"/>
      <c r="R19" s="21" t="str">
        <f t="shared" si="7"/>
        <v/>
      </c>
      <c r="S19" s="24"/>
      <c r="T19" s="21" t="str">
        <f t="shared" si="8"/>
        <v/>
      </c>
      <c r="U19" s="25" t="str">
        <f t="shared" si="9"/>
        <v/>
      </c>
    </row>
    <row r="20" spans="1:21" x14ac:dyDescent="0.25">
      <c r="A20" s="19">
        <v>5</v>
      </c>
      <c r="B20" s="20"/>
      <c r="C20" s="21" t="str">
        <f t="shared" si="0"/>
        <v/>
      </c>
      <c r="D20" s="22"/>
      <c r="E20" s="21" t="str">
        <f t="shared" si="1"/>
        <v/>
      </c>
      <c r="F20" s="20"/>
      <c r="G20" s="21" t="str">
        <f t="shared" si="2"/>
        <v/>
      </c>
      <c r="H20" s="20"/>
      <c r="I20" s="21" t="str">
        <f t="shared" si="3"/>
        <v/>
      </c>
      <c r="J20" s="21" t="str">
        <f t="shared" si="4"/>
        <v/>
      </c>
      <c r="K20" s="20"/>
      <c r="L20" s="21" t="str">
        <f t="shared" si="5"/>
        <v/>
      </c>
      <c r="M20" s="20"/>
      <c r="N20" s="23"/>
      <c r="O20" s="21" t="str">
        <f t="shared" si="6"/>
        <v/>
      </c>
      <c r="P20" s="20"/>
      <c r="Q20" s="22"/>
      <c r="R20" s="21" t="str">
        <f t="shared" si="7"/>
        <v/>
      </c>
      <c r="S20" s="24"/>
      <c r="T20" s="21" t="str">
        <f t="shared" si="8"/>
        <v/>
      </c>
      <c r="U20" s="25" t="str">
        <f t="shared" si="9"/>
        <v/>
      </c>
    </row>
    <row r="21" spans="1:21" x14ac:dyDescent="0.25">
      <c r="A21" s="19">
        <v>6</v>
      </c>
      <c r="B21" s="20"/>
      <c r="C21" s="21" t="str">
        <f t="shared" si="0"/>
        <v/>
      </c>
      <c r="D21" s="22"/>
      <c r="E21" s="21" t="str">
        <f t="shared" si="1"/>
        <v/>
      </c>
      <c r="F21" s="20"/>
      <c r="G21" s="21" t="str">
        <f t="shared" si="2"/>
        <v/>
      </c>
      <c r="H21" s="20"/>
      <c r="I21" s="21" t="str">
        <f t="shared" si="3"/>
        <v/>
      </c>
      <c r="J21" s="21" t="str">
        <f t="shared" si="4"/>
        <v/>
      </c>
      <c r="K21" s="20"/>
      <c r="L21" s="21" t="str">
        <f t="shared" si="5"/>
        <v/>
      </c>
      <c r="M21" s="20"/>
      <c r="N21" s="23"/>
      <c r="O21" s="21" t="str">
        <f t="shared" si="6"/>
        <v/>
      </c>
      <c r="P21" s="20"/>
      <c r="Q21" s="22"/>
      <c r="R21" s="21" t="str">
        <f t="shared" si="7"/>
        <v/>
      </c>
      <c r="S21" s="24"/>
      <c r="T21" s="21" t="str">
        <f t="shared" si="8"/>
        <v/>
      </c>
      <c r="U21" s="25" t="str">
        <f t="shared" si="9"/>
        <v/>
      </c>
    </row>
    <row r="22" spans="1:21" x14ac:dyDescent="0.25">
      <c r="A22" s="19">
        <v>7</v>
      </c>
      <c r="B22" s="20"/>
      <c r="C22" s="21" t="str">
        <f t="shared" si="0"/>
        <v/>
      </c>
      <c r="D22" s="22"/>
      <c r="E22" s="21" t="str">
        <f t="shared" si="1"/>
        <v/>
      </c>
      <c r="F22" s="20"/>
      <c r="G22" s="21" t="str">
        <f t="shared" si="2"/>
        <v/>
      </c>
      <c r="H22" s="20"/>
      <c r="I22" s="21" t="str">
        <f t="shared" si="3"/>
        <v/>
      </c>
      <c r="J22" s="21" t="str">
        <f t="shared" si="4"/>
        <v/>
      </c>
      <c r="K22" s="20"/>
      <c r="L22" s="21" t="str">
        <f t="shared" si="5"/>
        <v/>
      </c>
      <c r="M22" s="20"/>
      <c r="N22" s="23"/>
      <c r="O22" s="21" t="str">
        <f t="shared" si="6"/>
        <v/>
      </c>
      <c r="P22" s="20"/>
      <c r="Q22" s="22"/>
      <c r="R22" s="21" t="str">
        <f t="shared" si="7"/>
        <v/>
      </c>
      <c r="S22" s="24"/>
      <c r="T22" s="21" t="str">
        <f t="shared" si="8"/>
        <v/>
      </c>
      <c r="U22" s="25" t="str">
        <f t="shared" si="9"/>
        <v/>
      </c>
    </row>
    <row r="23" spans="1:21" x14ac:dyDescent="0.25">
      <c r="A23" s="19">
        <v>8</v>
      </c>
      <c r="B23" s="20"/>
      <c r="C23" s="21" t="str">
        <f t="shared" si="0"/>
        <v/>
      </c>
      <c r="D23" s="22"/>
      <c r="E23" s="21" t="str">
        <f t="shared" si="1"/>
        <v/>
      </c>
      <c r="F23" s="20"/>
      <c r="G23" s="21" t="str">
        <f t="shared" si="2"/>
        <v/>
      </c>
      <c r="H23" s="20"/>
      <c r="I23" s="21" t="str">
        <f t="shared" si="3"/>
        <v/>
      </c>
      <c r="J23" s="21" t="str">
        <f t="shared" si="4"/>
        <v/>
      </c>
      <c r="K23" s="20"/>
      <c r="L23" s="21" t="str">
        <f t="shared" si="5"/>
        <v/>
      </c>
      <c r="M23" s="20"/>
      <c r="N23" s="23"/>
      <c r="O23" s="21" t="str">
        <f t="shared" si="6"/>
        <v/>
      </c>
      <c r="P23" s="20"/>
      <c r="Q23" s="22"/>
      <c r="R23" s="21" t="str">
        <f t="shared" si="7"/>
        <v/>
      </c>
      <c r="S23" s="24"/>
      <c r="T23" s="21" t="str">
        <f t="shared" si="8"/>
        <v/>
      </c>
      <c r="U23" s="25" t="str">
        <f t="shared" si="9"/>
        <v/>
      </c>
    </row>
    <row r="24" spans="1:21" x14ac:dyDescent="0.25">
      <c r="A24" s="19">
        <v>9</v>
      </c>
      <c r="B24" s="20"/>
      <c r="C24" s="21" t="str">
        <f t="shared" si="0"/>
        <v/>
      </c>
      <c r="D24" s="22"/>
      <c r="E24" s="21" t="str">
        <f t="shared" si="1"/>
        <v/>
      </c>
      <c r="F24" s="20"/>
      <c r="G24" s="21" t="str">
        <f t="shared" si="2"/>
        <v/>
      </c>
      <c r="H24" s="20"/>
      <c r="I24" s="21" t="str">
        <f t="shared" si="3"/>
        <v/>
      </c>
      <c r="J24" s="21" t="str">
        <f t="shared" si="4"/>
        <v/>
      </c>
      <c r="K24" s="20"/>
      <c r="L24" s="21" t="str">
        <f t="shared" si="5"/>
        <v/>
      </c>
      <c r="M24" s="20"/>
      <c r="N24" s="23"/>
      <c r="O24" s="21" t="str">
        <f t="shared" si="6"/>
        <v/>
      </c>
      <c r="P24" s="20"/>
      <c r="Q24" s="22"/>
      <c r="R24" s="21" t="str">
        <f t="shared" si="7"/>
        <v/>
      </c>
      <c r="S24" s="24"/>
      <c r="T24" s="21" t="str">
        <f t="shared" si="8"/>
        <v/>
      </c>
      <c r="U24" s="25" t="str">
        <f t="shared" si="9"/>
        <v/>
      </c>
    </row>
    <row r="25" spans="1:21" x14ac:dyDescent="0.25">
      <c r="A25" s="19">
        <v>10</v>
      </c>
      <c r="B25" s="20"/>
      <c r="C25" s="21" t="str">
        <f t="shared" si="0"/>
        <v/>
      </c>
      <c r="D25" s="22"/>
      <c r="E25" s="21" t="str">
        <f t="shared" si="1"/>
        <v/>
      </c>
      <c r="F25" s="20"/>
      <c r="G25" s="21" t="str">
        <f t="shared" si="2"/>
        <v/>
      </c>
      <c r="H25" s="20"/>
      <c r="I25" s="21" t="str">
        <f t="shared" si="3"/>
        <v/>
      </c>
      <c r="J25" s="21" t="str">
        <f t="shared" si="4"/>
        <v/>
      </c>
      <c r="K25" s="20"/>
      <c r="L25" s="21" t="str">
        <f t="shared" si="5"/>
        <v/>
      </c>
      <c r="M25" s="20"/>
      <c r="N25" s="23"/>
      <c r="O25" s="21" t="str">
        <f t="shared" si="6"/>
        <v/>
      </c>
      <c r="P25" s="20"/>
      <c r="Q25" s="22"/>
      <c r="R25" s="21" t="str">
        <f t="shared" si="7"/>
        <v/>
      </c>
      <c r="S25" s="24"/>
      <c r="T25" s="21" t="str">
        <f t="shared" si="8"/>
        <v/>
      </c>
      <c r="U25" s="25" t="str">
        <f t="shared" si="9"/>
        <v/>
      </c>
    </row>
    <row r="26" spans="1:21" x14ac:dyDescent="0.25">
      <c r="A26" s="19">
        <v>11</v>
      </c>
      <c r="B26" s="20"/>
      <c r="C26" s="21" t="str">
        <f t="shared" si="0"/>
        <v/>
      </c>
      <c r="D26" s="22"/>
      <c r="E26" s="21" t="str">
        <f t="shared" si="1"/>
        <v/>
      </c>
      <c r="F26" s="20"/>
      <c r="G26" s="21" t="str">
        <f t="shared" si="2"/>
        <v/>
      </c>
      <c r="H26" s="20"/>
      <c r="I26" s="21" t="str">
        <f t="shared" si="3"/>
        <v/>
      </c>
      <c r="J26" s="21" t="str">
        <f t="shared" si="4"/>
        <v/>
      </c>
      <c r="K26" s="20"/>
      <c r="L26" s="21" t="str">
        <f t="shared" si="5"/>
        <v/>
      </c>
      <c r="M26" s="20"/>
      <c r="N26" s="23"/>
      <c r="O26" s="21" t="str">
        <f t="shared" si="6"/>
        <v/>
      </c>
      <c r="P26" s="20"/>
      <c r="Q26" s="22"/>
      <c r="R26" s="21" t="str">
        <f t="shared" si="7"/>
        <v/>
      </c>
      <c r="S26" s="24"/>
      <c r="T26" s="21" t="str">
        <f t="shared" si="8"/>
        <v/>
      </c>
      <c r="U26" s="25" t="str">
        <f t="shared" si="9"/>
        <v/>
      </c>
    </row>
    <row r="27" spans="1:21" x14ac:dyDescent="0.25">
      <c r="A27" s="19">
        <v>12</v>
      </c>
      <c r="B27" s="20"/>
      <c r="C27" s="21" t="str">
        <f t="shared" si="0"/>
        <v/>
      </c>
      <c r="D27" s="22"/>
      <c r="E27" s="21" t="str">
        <f t="shared" si="1"/>
        <v/>
      </c>
      <c r="F27" s="20"/>
      <c r="G27" s="21" t="str">
        <f t="shared" si="2"/>
        <v/>
      </c>
      <c r="H27" s="20"/>
      <c r="I27" s="21" t="str">
        <f t="shared" si="3"/>
        <v/>
      </c>
      <c r="J27" s="21" t="str">
        <f t="shared" si="4"/>
        <v/>
      </c>
      <c r="K27" s="20"/>
      <c r="L27" s="21" t="str">
        <f t="shared" si="5"/>
        <v/>
      </c>
      <c r="M27" s="20"/>
      <c r="N27" s="23"/>
      <c r="O27" s="21" t="str">
        <f t="shared" si="6"/>
        <v/>
      </c>
      <c r="P27" s="20"/>
      <c r="Q27" s="22"/>
      <c r="R27" s="21" t="str">
        <f t="shared" si="7"/>
        <v/>
      </c>
      <c r="S27" s="24"/>
      <c r="T27" s="21" t="str">
        <f t="shared" si="8"/>
        <v/>
      </c>
      <c r="U27" s="25" t="str">
        <f t="shared" si="9"/>
        <v/>
      </c>
    </row>
    <row r="28" spans="1:21" x14ac:dyDescent="0.25">
      <c r="A28" s="19">
        <v>13</v>
      </c>
      <c r="B28" s="20"/>
      <c r="C28" s="21" t="str">
        <f t="shared" si="0"/>
        <v/>
      </c>
      <c r="D28" s="22"/>
      <c r="E28" s="21" t="str">
        <f t="shared" si="1"/>
        <v/>
      </c>
      <c r="F28" s="20"/>
      <c r="G28" s="21" t="str">
        <f t="shared" si="2"/>
        <v/>
      </c>
      <c r="H28" s="20"/>
      <c r="I28" s="21" t="str">
        <f t="shared" si="3"/>
        <v/>
      </c>
      <c r="J28" s="21" t="str">
        <f t="shared" si="4"/>
        <v/>
      </c>
      <c r="K28" s="20"/>
      <c r="L28" s="21" t="str">
        <f t="shared" si="5"/>
        <v/>
      </c>
      <c r="M28" s="20"/>
      <c r="N28" s="23"/>
      <c r="O28" s="21" t="str">
        <f t="shared" si="6"/>
        <v/>
      </c>
      <c r="P28" s="20"/>
      <c r="Q28" s="22"/>
      <c r="R28" s="21" t="str">
        <f t="shared" si="7"/>
        <v/>
      </c>
      <c r="S28" s="24"/>
      <c r="T28" s="21" t="str">
        <f t="shared" si="8"/>
        <v/>
      </c>
      <c r="U28" s="25" t="str">
        <f t="shared" si="9"/>
        <v/>
      </c>
    </row>
    <row r="29" spans="1:21" x14ac:dyDescent="0.25">
      <c r="A29" s="19">
        <v>14</v>
      </c>
      <c r="B29" s="20"/>
      <c r="C29" s="21" t="str">
        <f t="shared" si="0"/>
        <v/>
      </c>
      <c r="D29" s="22"/>
      <c r="E29" s="21" t="str">
        <f t="shared" si="1"/>
        <v/>
      </c>
      <c r="F29" s="20"/>
      <c r="G29" s="21" t="str">
        <f t="shared" si="2"/>
        <v/>
      </c>
      <c r="H29" s="20"/>
      <c r="I29" s="21" t="str">
        <f t="shared" si="3"/>
        <v/>
      </c>
      <c r="J29" s="21" t="str">
        <f t="shared" si="4"/>
        <v/>
      </c>
      <c r="K29" s="20"/>
      <c r="L29" s="21" t="str">
        <f t="shared" si="5"/>
        <v/>
      </c>
      <c r="M29" s="20"/>
      <c r="N29" s="23"/>
      <c r="O29" s="21" t="str">
        <f t="shared" si="6"/>
        <v/>
      </c>
      <c r="P29" s="20"/>
      <c r="Q29" s="22"/>
      <c r="R29" s="21" t="str">
        <f t="shared" si="7"/>
        <v/>
      </c>
      <c r="S29" s="24"/>
      <c r="T29" s="21" t="str">
        <f t="shared" si="8"/>
        <v/>
      </c>
      <c r="U29" s="25" t="str">
        <f t="shared" si="9"/>
        <v/>
      </c>
    </row>
    <row r="30" spans="1:21" x14ac:dyDescent="0.25">
      <c r="A30" s="19">
        <v>15</v>
      </c>
      <c r="B30" s="20"/>
      <c r="C30" s="21" t="str">
        <f t="shared" si="0"/>
        <v/>
      </c>
      <c r="D30" s="22"/>
      <c r="E30" s="21" t="str">
        <f t="shared" si="1"/>
        <v/>
      </c>
      <c r="F30" s="20"/>
      <c r="G30" s="21" t="str">
        <f t="shared" si="2"/>
        <v/>
      </c>
      <c r="H30" s="20"/>
      <c r="I30" s="21" t="str">
        <f t="shared" si="3"/>
        <v/>
      </c>
      <c r="J30" s="21" t="str">
        <f t="shared" si="4"/>
        <v/>
      </c>
      <c r="K30" s="20"/>
      <c r="L30" s="21" t="str">
        <f t="shared" si="5"/>
        <v/>
      </c>
      <c r="M30" s="20"/>
      <c r="N30" s="23"/>
      <c r="O30" s="21" t="str">
        <f t="shared" si="6"/>
        <v/>
      </c>
      <c r="P30" s="20"/>
      <c r="Q30" s="22"/>
      <c r="R30" s="21" t="str">
        <f t="shared" si="7"/>
        <v/>
      </c>
      <c r="S30" s="24"/>
      <c r="T30" s="21" t="str">
        <f t="shared" si="8"/>
        <v/>
      </c>
      <c r="U30" s="25" t="str">
        <f t="shared" si="9"/>
        <v/>
      </c>
    </row>
    <row r="33" spans="1:21" ht="21.95" customHeight="1" x14ac:dyDescent="0.25">
      <c r="A33" s="38" t="s">
        <v>777</v>
      </c>
      <c r="B33" s="39"/>
      <c r="C33" s="39"/>
      <c r="D33" s="39"/>
      <c r="E33" s="39"/>
      <c r="F33" s="39"/>
      <c r="G33" s="39"/>
      <c r="H33" s="39"/>
      <c r="I33" s="39"/>
      <c r="J33" s="39"/>
      <c r="K33" s="39"/>
      <c r="L33" s="39"/>
      <c r="M33" s="39"/>
      <c r="N33" s="39"/>
      <c r="O33" s="39"/>
      <c r="P33" s="39"/>
      <c r="Q33" s="39"/>
      <c r="R33" s="39"/>
      <c r="S33" s="39"/>
      <c r="T33" s="39"/>
      <c r="U33" s="39"/>
    </row>
    <row r="34" spans="1:21" ht="15.95" customHeight="1" x14ac:dyDescent="0.25">
      <c r="A34" s="40" t="s">
        <v>778</v>
      </c>
      <c r="B34" s="31"/>
      <c r="C34" s="31"/>
      <c r="D34" s="31"/>
      <c r="E34" s="31"/>
      <c r="F34" s="31"/>
      <c r="G34" s="31"/>
      <c r="H34" s="31"/>
      <c r="I34" s="31"/>
      <c r="J34" s="31"/>
      <c r="K34" s="31"/>
      <c r="L34" s="31"/>
      <c r="M34" s="31"/>
      <c r="N34" s="31"/>
      <c r="O34" s="31"/>
      <c r="P34" s="31"/>
      <c r="Q34" s="31"/>
      <c r="R34" s="31"/>
      <c r="S34" s="31"/>
      <c r="T34" s="31"/>
      <c r="U34" s="31"/>
    </row>
    <row r="36" spans="1:21" ht="18" customHeight="1" x14ac:dyDescent="0.25">
      <c r="A36" s="36" t="s">
        <v>50</v>
      </c>
      <c r="B36" s="31"/>
      <c r="C36" s="31"/>
      <c r="D36" s="31"/>
      <c r="E36" s="31"/>
      <c r="F36" s="31"/>
      <c r="G36" s="31"/>
      <c r="H36" s="31"/>
      <c r="I36" s="31"/>
      <c r="J36" s="31"/>
      <c r="K36" s="31"/>
      <c r="L36" s="31"/>
      <c r="M36" s="31"/>
      <c r="N36" s="31"/>
      <c r="O36" s="31"/>
      <c r="P36" s="31"/>
      <c r="Q36" s="31"/>
      <c r="R36" s="31"/>
      <c r="S36" s="31"/>
      <c r="T36" s="31"/>
      <c r="U36" s="31"/>
    </row>
    <row r="37" spans="1:21" ht="21" customHeight="1" x14ac:dyDescent="0.25">
      <c r="A37" s="37" t="s">
        <v>779</v>
      </c>
      <c r="B37" s="31"/>
      <c r="C37" s="31"/>
      <c r="D37" s="31"/>
      <c r="E37" s="31"/>
      <c r="F37" s="31"/>
      <c r="G37" s="31"/>
      <c r="H37" s="31"/>
      <c r="I37" s="31"/>
      <c r="J37" s="31"/>
      <c r="K37" s="31"/>
      <c r="L37" s="31"/>
      <c r="M37" s="31"/>
      <c r="N37" s="31"/>
      <c r="O37" s="31"/>
      <c r="P37" s="31"/>
      <c r="Q37" s="31"/>
      <c r="R37" s="31"/>
      <c r="S37" s="31"/>
      <c r="T37" s="31"/>
      <c r="U37" s="31"/>
    </row>
    <row r="38" spans="1:21" ht="6" customHeight="1" x14ac:dyDescent="0.25"/>
    <row r="39" spans="1:21" ht="18" customHeight="1" x14ac:dyDescent="0.25">
      <c r="A39" s="36" t="s">
        <v>780</v>
      </c>
      <c r="B39" s="31"/>
      <c r="C39" s="31"/>
      <c r="D39" s="31"/>
      <c r="E39" s="31"/>
      <c r="F39" s="31"/>
      <c r="G39" s="31"/>
      <c r="H39" s="31"/>
      <c r="I39" s="31"/>
      <c r="J39" s="31"/>
      <c r="K39" s="31"/>
      <c r="L39" s="31"/>
      <c r="M39" s="31"/>
      <c r="N39" s="31"/>
      <c r="O39" s="31"/>
      <c r="P39" s="31"/>
      <c r="Q39" s="31"/>
      <c r="R39" s="31"/>
      <c r="S39" s="31"/>
      <c r="T39" s="31"/>
      <c r="U39" s="31"/>
    </row>
    <row r="40" spans="1:21" ht="21" customHeight="1" x14ac:dyDescent="0.25">
      <c r="A40" s="37" t="s">
        <v>781</v>
      </c>
      <c r="B40" s="31"/>
      <c r="C40" s="31"/>
      <c r="D40" s="31"/>
      <c r="E40" s="31"/>
      <c r="F40" s="31"/>
      <c r="G40" s="31"/>
      <c r="H40" s="31"/>
      <c r="I40" s="31"/>
      <c r="J40" s="31"/>
      <c r="K40" s="31"/>
      <c r="L40" s="31"/>
      <c r="M40" s="31"/>
      <c r="N40" s="31"/>
      <c r="O40" s="31"/>
      <c r="P40" s="31"/>
      <c r="Q40" s="31"/>
      <c r="R40" s="31"/>
      <c r="S40" s="31"/>
      <c r="T40" s="31"/>
      <c r="U40" s="31"/>
    </row>
    <row r="41" spans="1:21" ht="6" customHeight="1" x14ac:dyDescent="0.25"/>
    <row r="42" spans="1:21" ht="18" customHeight="1" x14ac:dyDescent="0.25">
      <c r="A42" s="36" t="s">
        <v>782</v>
      </c>
      <c r="B42" s="31"/>
      <c r="C42" s="31"/>
      <c r="D42" s="31"/>
      <c r="E42" s="31"/>
      <c r="F42" s="31"/>
      <c r="G42" s="31"/>
      <c r="H42" s="31"/>
      <c r="I42" s="31"/>
      <c r="J42" s="31"/>
      <c r="K42" s="31"/>
      <c r="L42" s="31"/>
      <c r="M42" s="31"/>
      <c r="N42" s="31"/>
      <c r="O42" s="31"/>
      <c r="P42" s="31"/>
      <c r="Q42" s="31"/>
      <c r="R42" s="31"/>
      <c r="S42" s="31"/>
      <c r="T42" s="31"/>
      <c r="U42" s="31"/>
    </row>
    <row r="43" spans="1:21" ht="21" customHeight="1" x14ac:dyDescent="0.25">
      <c r="A43" s="37" t="s">
        <v>783</v>
      </c>
      <c r="B43" s="31"/>
      <c r="C43" s="31"/>
      <c r="D43" s="31"/>
      <c r="E43" s="31"/>
      <c r="F43" s="31"/>
      <c r="G43" s="31"/>
      <c r="H43" s="31"/>
      <c r="I43" s="31"/>
      <c r="J43" s="31"/>
      <c r="K43" s="31"/>
      <c r="L43" s="31"/>
      <c r="M43" s="31"/>
      <c r="N43" s="31"/>
      <c r="O43" s="31"/>
      <c r="P43" s="31"/>
      <c r="Q43" s="31"/>
      <c r="R43" s="31"/>
      <c r="S43" s="31"/>
      <c r="T43" s="31"/>
      <c r="U43" s="31"/>
    </row>
    <row r="44" spans="1:21" ht="6" customHeight="1" x14ac:dyDescent="0.25"/>
    <row r="45" spans="1:21" ht="18" customHeight="1" x14ac:dyDescent="0.25">
      <c r="A45" s="36" t="s">
        <v>728</v>
      </c>
      <c r="B45" s="31"/>
      <c r="C45" s="31"/>
      <c r="D45" s="31"/>
      <c r="E45" s="31"/>
      <c r="F45" s="31"/>
      <c r="G45" s="31"/>
      <c r="H45" s="31"/>
      <c r="I45" s="31"/>
      <c r="J45" s="31"/>
      <c r="K45" s="31"/>
      <c r="L45" s="31"/>
      <c r="M45" s="31"/>
      <c r="N45" s="31"/>
      <c r="O45" s="31"/>
      <c r="P45" s="31"/>
      <c r="Q45" s="31"/>
      <c r="R45" s="31"/>
      <c r="S45" s="31"/>
      <c r="T45" s="31"/>
      <c r="U45" s="31"/>
    </row>
    <row r="46" spans="1:21" ht="51" customHeight="1" x14ac:dyDescent="0.25">
      <c r="A46" s="37" t="s">
        <v>729</v>
      </c>
      <c r="B46" s="31"/>
      <c r="C46" s="31"/>
      <c r="D46" s="31"/>
      <c r="E46" s="31"/>
      <c r="F46" s="31"/>
      <c r="G46" s="31"/>
      <c r="H46" s="31"/>
      <c r="I46" s="31"/>
      <c r="J46" s="31"/>
      <c r="K46" s="31"/>
      <c r="L46" s="31"/>
      <c r="M46" s="31"/>
      <c r="N46" s="31"/>
      <c r="O46" s="31"/>
      <c r="P46" s="31"/>
      <c r="Q46" s="31"/>
      <c r="R46" s="31"/>
      <c r="S46" s="31"/>
      <c r="T46" s="31"/>
      <c r="U46" s="31"/>
    </row>
    <row r="47" spans="1:21" ht="6" customHeight="1" x14ac:dyDescent="0.25"/>
    <row r="50" spans="1:21" ht="21.95" customHeight="1" x14ac:dyDescent="0.25">
      <c r="A50" s="38" t="s">
        <v>730</v>
      </c>
      <c r="B50" s="39"/>
      <c r="C50" s="39"/>
      <c r="D50" s="39"/>
      <c r="E50" s="39"/>
      <c r="F50" s="39"/>
      <c r="G50" s="39"/>
      <c r="H50" s="39"/>
      <c r="I50" s="39"/>
      <c r="J50" s="39"/>
      <c r="K50" s="39"/>
      <c r="L50" s="39"/>
      <c r="M50" s="39"/>
      <c r="N50" s="39"/>
      <c r="O50" s="39"/>
      <c r="P50" s="39"/>
      <c r="Q50" s="39"/>
      <c r="R50" s="39"/>
      <c r="S50" s="39"/>
      <c r="T50" s="39"/>
      <c r="U50" s="39"/>
    </row>
    <row r="52" spans="1:21" ht="18" customHeight="1" x14ac:dyDescent="0.25">
      <c r="A52" s="36" t="s">
        <v>70</v>
      </c>
      <c r="B52" s="31"/>
      <c r="C52" s="31"/>
      <c r="D52" s="31"/>
      <c r="E52" s="31"/>
      <c r="F52" s="31"/>
      <c r="G52" s="31"/>
      <c r="H52" s="31"/>
      <c r="I52" s="31"/>
      <c r="J52" s="31"/>
      <c r="K52" s="31"/>
      <c r="L52" s="31"/>
      <c r="M52" s="31"/>
      <c r="N52" s="31"/>
      <c r="O52" s="31"/>
      <c r="P52" s="31"/>
      <c r="Q52" s="31"/>
      <c r="R52" s="31"/>
      <c r="S52" s="31"/>
      <c r="T52" s="31"/>
      <c r="U52" s="31"/>
    </row>
    <row r="53" spans="1:21" ht="21" customHeight="1" x14ac:dyDescent="0.25">
      <c r="A53" s="37" t="s">
        <v>731</v>
      </c>
      <c r="B53" s="31"/>
      <c r="C53" s="31"/>
      <c r="D53" s="31"/>
      <c r="E53" s="31"/>
      <c r="F53" s="31"/>
      <c r="G53" s="31"/>
      <c r="H53" s="31"/>
      <c r="I53" s="31"/>
      <c r="J53" s="31"/>
      <c r="K53" s="31"/>
      <c r="L53" s="31"/>
      <c r="M53" s="31"/>
      <c r="N53" s="31"/>
      <c r="O53" s="31"/>
      <c r="P53" s="31"/>
      <c r="Q53" s="31"/>
      <c r="R53" s="31"/>
      <c r="S53" s="31"/>
      <c r="T53" s="31"/>
      <c r="U53" s="31"/>
    </row>
    <row r="54" spans="1:21" ht="6" customHeight="1" x14ac:dyDescent="0.25"/>
    <row r="55" spans="1:21" ht="18" customHeight="1" x14ac:dyDescent="0.25">
      <c r="A55" s="36" t="s">
        <v>84</v>
      </c>
      <c r="B55" s="31"/>
      <c r="C55" s="31"/>
      <c r="D55" s="31"/>
      <c r="E55" s="31"/>
      <c r="F55" s="31"/>
      <c r="G55" s="31"/>
      <c r="H55" s="31"/>
      <c r="I55" s="31"/>
      <c r="J55" s="31"/>
      <c r="K55" s="31"/>
      <c r="L55" s="31"/>
      <c r="M55" s="31"/>
      <c r="N55" s="31"/>
      <c r="O55" s="31"/>
      <c r="P55" s="31"/>
      <c r="Q55" s="31"/>
      <c r="R55" s="31"/>
      <c r="S55" s="31"/>
      <c r="T55" s="31"/>
      <c r="U55" s="31"/>
    </row>
    <row r="56" spans="1:21" ht="36" customHeight="1" x14ac:dyDescent="0.25">
      <c r="A56" s="37" t="s">
        <v>732</v>
      </c>
      <c r="B56" s="31"/>
      <c r="C56" s="31"/>
      <c r="D56" s="31"/>
      <c r="E56" s="31"/>
      <c r="F56" s="31"/>
      <c r="G56" s="31"/>
      <c r="H56" s="31"/>
      <c r="I56" s="31"/>
      <c r="J56" s="31"/>
      <c r="K56" s="31"/>
      <c r="L56" s="31"/>
      <c r="M56" s="31"/>
      <c r="N56" s="31"/>
      <c r="O56" s="31"/>
      <c r="P56" s="31"/>
      <c r="Q56" s="31"/>
      <c r="R56" s="31"/>
      <c r="S56" s="31"/>
      <c r="T56" s="31"/>
      <c r="U56" s="31"/>
    </row>
    <row r="57" spans="1:21" ht="6" customHeight="1" x14ac:dyDescent="0.25"/>
    <row r="58" spans="1:21" ht="18" customHeight="1" x14ac:dyDescent="0.25">
      <c r="A58" s="36" t="s">
        <v>684</v>
      </c>
      <c r="B58" s="31"/>
      <c r="C58" s="31"/>
      <c r="D58" s="31"/>
      <c r="E58" s="31"/>
      <c r="F58" s="31"/>
      <c r="G58" s="31"/>
      <c r="H58" s="31"/>
      <c r="I58" s="31"/>
      <c r="J58" s="31"/>
      <c r="K58" s="31"/>
      <c r="L58" s="31"/>
      <c r="M58" s="31"/>
      <c r="N58" s="31"/>
      <c r="O58" s="31"/>
      <c r="P58" s="31"/>
      <c r="Q58" s="31"/>
      <c r="R58" s="31"/>
      <c r="S58" s="31"/>
      <c r="T58" s="31"/>
      <c r="U58" s="31"/>
    </row>
    <row r="59" spans="1:21" ht="21" customHeight="1" x14ac:dyDescent="0.25">
      <c r="A59" s="37" t="s">
        <v>733</v>
      </c>
      <c r="B59" s="31"/>
      <c r="C59" s="31"/>
      <c r="D59" s="31"/>
      <c r="E59" s="31"/>
      <c r="F59" s="31"/>
      <c r="G59" s="31"/>
      <c r="H59" s="31"/>
      <c r="I59" s="31"/>
      <c r="J59" s="31"/>
      <c r="K59" s="31"/>
      <c r="L59" s="31"/>
      <c r="M59" s="31"/>
      <c r="N59" s="31"/>
      <c r="O59" s="31"/>
      <c r="P59" s="31"/>
      <c r="Q59" s="31"/>
      <c r="R59" s="31"/>
      <c r="S59" s="31"/>
      <c r="T59" s="31"/>
      <c r="U59" s="31"/>
    </row>
    <row r="60" spans="1:21" ht="6" customHeight="1" x14ac:dyDescent="0.25"/>
    <row r="61" spans="1:21" ht="18" customHeight="1" x14ac:dyDescent="0.25">
      <c r="A61" s="36" t="s">
        <v>686</v>
      </c>
      <c r="B61" s="31"/>
      <c r="C61" s="31"/>
      <c r="D61" s="31"/>
      <c r="E61" s="31"/>
      <c r="F61" s="31"/>
      <c r="G61" s="31"/>
      <c r="H61" s="31"/>
      <c r="I61" s="31"/>
      <c r="J61" s="31"/>
      <c r="K61" s="31"/>
      <c r="L61" s="31"/>
      <c r="M61" s="31"/>
      <c r="N61" s="31"/>
      <c r="O61" s="31"/>
      <c r="P61" s="31"/>
      <c r="Q61" s="31"/>
      <c r="R61" s="31"/>
      <c r="S61" s="31"/>
      <c r="T61" s="31"/>
      <c r="U61" s="31"/>
    </row>
    <row r="62" spans="1:21" ht="21" customHeight="1" x14ac:dyDescent="0.25">
      <c r="A62" s="37" t="s">
        <v>784</v>
      </c>
      <c r="B62" s="31"/>
      <c r="C62" s="31"/>
      <c r="D62" s="31"/>
      <c r="E62" s="31"/>
      <c r="F62" s="31"/>
      <c r="G62" s="31"/>
      <c r="H62" s="31"/>
      <c r="I62" s="31"/>
      <c r="J62" s="31"/>
      <c r="K62" s="31"/>
      <c r="L62" s="31"/>
      <c r="M62" s="31"/>
      <c r="N62" s="31"/>
      <c r="O62" s="31"/>
      <c r="P62" s="31"/>
      <c r="Q62" s="31"/>
      <c r="R62" s="31"/>
      <c r="S62" s="31"/>
      <c r="T62" s="31"/>
      <c r="U62" s="31"/>
    </row>
    <row r="63" spans="1:21" ht="6" customHeight="1" x14ac:dyDescent="0.25"/>
    <row r="64" spans="1:21" ht="18" customHeight="1" x14ac:dyDescent="0.25">
      <c r="A64" s="36" t="s">
        <v>689</v>
      </c>
      <c r="B64" s="31"/>
      <c r="C64" s="31"/>
      <c r="D64" s="31"/>
      <c r="E64" s="31"/>
      <c r="F64" s="31"/>
      <c r="G64" s="31"/>
      <c r="H64" s="31"/>
      <c r="I64" s="31"/>
      <c r="J64" s="31"/>
      <c r="K64" s="31"/>
      <c r="L64" s="31"/>
      <c r="M64" s="31"/>
      <c r="N64" s="31"/>
      <c r="O64" s="31"/>
      <c r="P64" s="31"/>
      <c r="Q64" s="31"/>
      <c r="R64" s="31"/>
      <c r="S64" s="31"/>
      <c r="T64" s="31"/>
      <c r="U64" s="31"/>
    </row>
    <row r="65" spans="1:21" ht="21" customHeight="1" x14ac:dyDescent="0.25">
      <c r="A65" s="37" t="s">
        <v>785</v>
      </c>
      <c r="B65" s="31"/>
      <c r="C65" s="31"/>
      <c r="D65" s="31"/>
      <c r="E65" s="31"/>
      <c r="F65" s="31"/>
      <c r="G65" s="31"/>
      <c r="H65" s="31"/>
      <c r="I65" s="31"/>
      <c r="J65" s="31"/>
      <c r="K65" s="31"/>
      <c r="L65" s="31"/>
      <c r="M65" s="31"/>
      <c r="N65" s="31"/>
      <c r="O65" s="31"/>
      <c r="P65" s="31"/>
      <c r="Q65" s="31"/>
      <c r="R65" s="31"/>
      <c r="S65" s="31"/>
      <c r="T65" s="31"/>
      <c r="U65" s="31"/>
    </row>
    <row r="66" spans="1:21" ht="6" customHeight="1" x14ac:dyDescent="0.25"/>
    <row r="67" spans="1:21" ht="18" customHeight="1" x14ac:dyDescent="0.25">
      <c r="A67" s="36" t="s">
        <v>692</v>
      </c>
      <c r="B67" s="31"/>
      <c r="C67" s="31"/>
      <c r="D67" s="31"/>
      <c r="E67" s="31"/>
      <c r="F67" s="31"/>
      <c r="G67" s="31"/>
      <c r="H67" s="31"/>
      <c r="I67" s="31"/>
      <c r="J67" s="31"/>
      <c r="K67" s="31"/>
      <c r="L67" s="31"/>
      <c r="M67" s="31"/>
      <c r="N67" s="31"/>
      <c r="O67" s="31"/>
      <c r="P67" s="31"/>
      <c r="Q67" s="31"/>
      <c r="R67" s="31"/>
      <c r="S67" s="31"/>
      <c r="T67" s="31"/>
      <c r="U67" s="31"/>
    </row>
    <row r="68" spans="1:21" ht="21" customHeight="1" x14ac:dyDescent="0.25">
      <c r="A68" s="37" t="s">
        <v>737</v>
      </c>
      <c r="B68" s="31"/>
      <c r="C68" s="31"/>
      <c r="D68" s="31"/>
      <c r="E68" s="31"/>
      <c r="F68" s="31"/>
      <c r="G68" s="31"/>
      <c r="H68" s="31"/>
      <c r="I68" s="31"/>
      <c r="J68" s="31"/>
      <c r="K68" s="31"/>
      <c r="L68" s="31"/>
      <c r="M68" s="31"/>
      <c r="N68" s="31"/>
      <c r="O68" s="31"/>
      <c r="P68" s="31"/>
      <c r="Q68" s="31"/>
      <c r="R68" s="31"/>
      <c r="S68" s="31"/>
      <c r="T68" s="31"/>
      <c r="U68" s="31"/>
    </row>
    <row r="69" spans="1:21" ht="6" customHeight="1" x14ac:dyDescent="0.25"/>
    <row r="70" spans="1:21" ht="18" customHeight="1" x14ac:dyDescent="0.25">
      <c r="A70" s="36" t="s">
        <v>693</v>
      </c>
      <c r="B70" s="31"/>
      <c r="C70" s="31"/>
      <c r="D70" s="31"/>
      <c r="E70" s="31"/>
      <c r="F70" s="31"/>
      <c r="G70" s="31"/>
      <c r="H70" s="31"/>
      <c r="I70" s="31"/>
      <c r="J70" s="31"/>
      <c r="K70" s="31"/>
      <c r="L70" s="31"/>
      <c r="M70" s="31"/>
      <c r="N70" s="31"/>
      <c r="O70" s="31"/>
      <c r="P70" s="31"/>
      <c r="Q70" s="31"/>
      <c r="R70" s="31"/>
      <c r="S70" s="31"/>
      <c r="T70" s="31"/>
      <c r="U70" s="31"/>
    </row>
    <row r="71" spans="1:21" ht="21" customHeight="1" x14ac:dyDescent="0.25">
      <c r="A71" s="37" t="s">
        <v>738</v>
      </c>
      <c r="B71" s="31"/>
      <c r="C71" s="31"/>
      <c r="D71" s="31"/>
      <c r="E71" s="31"/>
      <c r="F71" s="31"/>
      <c r="G71" s="31"/>
      <c r="H71" s="31"/>
      <c r="I71" s="31"/>
      <c r="J71" s="31"/>
      <c r="K71" s="31"/>
      <c r="L71" s="31"/>
      <c r="M71" s="31"/>
      <c r="N71" s="31"/>
      <c r="O71" s="31"/>
      <c r="P71" s="31"/>
      <c r="Q71" s="31"/>
      <c r="R71" s="31"/>
      <c r="S71" s="31"/>
      <c r="T71" s="31"/>
      <c r="U71" s="31"/>
    </row>
    <row r="72" spans="1:21" ht="6" customHeight="1" x14ac:dyDescent="0.25"/>
    <row r="73" spans="1:21" ht="18" customHeight="1" x14ac:dyDescent="0.25">
      <c r="A73" s="36" t="s">
        <v>773</v>
      </c>
      <c r="B73" s="31"/>
      <c r="C73" s="31"/>
      <c r="D73" s="31"/>
      <c r="E73" s="31"/>
      <c r="F73" s="31"/>
      <c r="G73" s="31"/>
      <c r="H73" s="31"/>
      <c r="I73" s="31"/>
      <c r="J73" s="31"/>
      <c r="K73" s="31"/>
      <c r="L73" s="31"/>
      <c r="M73" s="31"/>
      <c r="N73" s="31"/>
      <c r="O73" s="31"/>
      <c r="P73" s="31"/>
      <c r="Q73" s="31"/>
      <c r="R73" s="31"/>
      <c r="S73" s="31"/>
      <c r="T73" s="31"/>
      <c r="U73" s="31"/>
    </row>
    <row r="74" spans="1:21" ht="21" customHeight="1" x14ac:dyDescent="0.25">
      <c r="A74" s="37" t="s">
        <v>786</v>
      </c>
      <c r="B74" s="31"/>
      <c r="C74" s="31"/>
      <c r="D74" s="31"/>
      <c r="E74" s="31"/>
      <c r="F74" s="31"/>
      <c r="G74" s="31"/>
      <c r="H74" s="31"/>
      <c r="I74" s="31"/>
      <c r="J74" s="31"/>
      <c r="K74" s="31"/>
      <c r="L74" s="31"/>
      <c r="M74" s="31"/>
      <c r="N74" s="31"/>
      <c r="O74" s="31"/>
      <c r="P74" s="31"/>
      <c r="Q74" s="31"/>
      <c r="R74" s="31"/>
      <c r="S74" s="31"/>
      <c r="T74" s="31"/>
      <c r="U74" s="31"/>
    </row>
    <row r="75" spans="1:21" ht="6" customHeight="1" x14ac:dyDescent="0.25"/>
    <row r="76" spans="1:21" ht="18" customHeight="1" x14ac:dyDescent="0.25">
      <c r="A76" s="36" t="s">
        <v>774</v>
      </c>
      <c r="B76" s="31"/>
      <c r="C76" s="31"/>
      <c r="D76" s="31"/>
      <c r="E76" s="31"/>
      <c r="F76" s="31"/>
      <c r="G76" s="31"/>
      <c r="H76" s="31"/>
      <c r="I76" s="31"/>
      <c r="J76" s="31"/>
      <c r="K76" s="31"/>
      <c r="L76" s="31"/>
      <c r="M76" s="31"/>
      <c r="N76" s="31"/>
      <c r="O76" s="31"/>
      <c r="P76" s="31"/>
      <c r="Q76" s="31"/>
      <c r="R76" s="31"/>
      <c r="S76" s="31"/>
      <c r="T76" s="31"/>
      <c r="U76" s="31"/>
    </row>
    <row r="77" spans="1:21" ht="21" customHeight="1" x14ac:dyDescent="0.25">
      <c r="A77" s="37" t="s">
        <v>787</v>
      </c>
      <c r="B77" s="31"/>
      <c r="C77" s="31"/>
      <c r="D77" s="31"/>
      <c r="E77" s="31"/>
      <c r="F77" s="31"/>
      <c r="G77" s="31"/>
      <c r="H77" s="31"/>
      <c r="I77" s="31"/>
      <c r="J77" s="31"/>
      <c r="K77" s="31"/>
      <c r="L77" s="31"/>
      <c r="M77" s="31"/>
      <c r="N77" s="31"/>
      <c r="O77" s="31"/>
      <c r="P77" s="31"/>
      <c r="Q77" s="31"/>
      <c r="R77" s="31"/>
      <c r="S77" s="31"/>
      <c r="T77" s="31"/>
      <c r="U77" s="31"/>
    </row>
    <row r="78" spans="1:21" ht="6" customHeight="1" x14ac:dyDescent="0.25"/>
    <row r="79" spans="1:21" ht="18" customHeight="1" x14ac:dyDescent="0.25">
      <c r="A79" s="36" t="s">
        <v>699</v>
      </c>
      <c r="B79" s="31"/>
      <c r="C79" s="31"/>
      <c r="D79" s="31"/>
      <c r="E79" s="31"/>
      <c r="F79" s="31"/>
      <c r="G79" s="31"/>
      <c r="H79" s="31"/>
      <c r="I79" s="31"/>
      <c r="J79" s="31"/>
      <c r="K79" s="31"/>
      <c r="L79" s="31"/>
      <c r="M79" s="31"/>
      <c r="N79" s="31"/>
      <c r="O79" s="31"/>
      <c r="P79" s="31"/>
      <c r="Q79" s="31"/>
      <c r="R79" s="31"/>
      <c r="S79" s="31"/>
      <c r="T79" s="31"/>
      <c r="U79" s="31"/>
    </row>
    <row r="80" spans="1:21" ht="21" customHeight="1" x14ac:dyDescent="0.25">
      <c r="A80" s="37" t="s">
        <v>743</v>
      </c>
      <c r="B80" s="31"/>
      <c r="C80" s="31"/>
      <c r="D80" s="31"/>
      <c r="E80" s="31"/>
      <c r="F80" s="31"/>
      <c r="G80" s="31"/>
      <c r="H80" s="31"/>
      <c r="I80" s="31"/>
      <c r="J80" s="31"/>
      <c r="K80" s="31"/>
      <c r="L80" s="31"/>
      <c r="M80" s="31"/>
      <c r="N80" s="31"/>
      <c r="O80" s="31"/>
      <c r="P80" s="31"/>
      <c r="Q80" s="31"/>
      <c r="R80" s="31"/>
      <c r="S80" s="31"/>
      <c r="T80" s="31"/>
      <c r="U80" s="31"/>
    </row>
    <row r="81" spans="1:21" ht="6" customHeight="1" x14ac:dyDescent="0.25"/>
    <row r="84" spans="1:21" x14ac:dyDescent="0.25">
      <c r="A84" s="40" t="s">
        <v>744</v>
      </c>
      <c r="B84" s="31"/>
      <c r="C84" s="31"/>
      <c r="D84" s="31"/>
      <c r="E84" s="31"/>
      <c r="F84" s="31"/>
      <c r="G84" s="31"/>
      <c r="H84" s="31"/>
      <c r="I84" s="31"/>
      <c r="J84" s="31"/>
      <c r="K84" s="31"/>
      <c r="L84" s="31"/>
      <c r="M84" s="31"/>
      <c r="N84" s="31"/>
      <c r="O84" s="31"/>
      <c r="P84" s="31"/>
      <c r="Q84" s="31"/>
      <c r="R84" s="31"/>
      <c r="S84" s="31"/>
      <c r="T84" s="31"/>
      <c r="U84" s="31"/>
    </row>
  </sheetData>
  <mergeCells count="32">
    <mergeCell ref="A36:U36"/>
    <mergeCell ref="A70:U70"/>
    <mergeCell ref="A79:U79"/>
    <mergeCell ref="A61:U61"/>
    <mergeCell ref="A33:U33"/>
    <mergeCell ref="A71:U71"/>
    <mergeCell ref="A42:U42"/>
    <mergeCell ref="A53:U53"/>
    <mergeCell ref="A62:U62"/>
    <mergeCell ref="A52:U52"/>
    <mergeCell ref="A43:U43"/>
    <mergeCell ref="A68:U68"/>
    <mergeCell ref="A58:U58"/>
    <mergeCell ref="A40:U40"/>
    <mergeCell ref="A67:U67"/>
    <mergeCell ref="A39:U39"/>
    <mergeCell ref="A34:U34"/>
    <mergeCell ref="A64:U64"/>
    <mergeCell ref="A59:U59"/>
    <mergeCell ref="A45:U45"/>
    <mergeCell ref="A65:U65"/>
    <mergeCell ref="A37:U37"/>
    <mergeCell ref="A84:U84"/>
    <mergeCell ref="A46:U46"/>
    <mergeCell ref="A74:U74"/>
    <mergeCell ref="A80:U80"/>
    <mergeCell ref="A56:U56"/>
    <mergeCell ref="A55:U55"/>
    <mergeCell ref="A50:U50"/>
    <mergeCell ref="A76:U76"/>
    <mergeCell ref="A77:U77"/>
    <mergeCell ref="A73:U73"/>
  </mergeCells>
  <dataValidations count="10">
    <dataValidation type="list" allowBlank="1" errorTitle="Valore non valido" error="Seleziona dalla lista." promptTitle="Author" prompt="Autore della codifica." sqref="B5:B30" xr:uid="{00000000-0002-0000-0500-000000000000}">
      <formula1>Author_Name</formula1>
    </dataValidation>
    <dataValidation type="list" allowBlank="1" errorTitle="Valore non valido" error="Seleziona dalla lista, oppure lascia vuoto." promptTitle="In Place" sqref="D5:D30" xr:uid="{00000000-0002-0000-0500-000001000000}">
      <formula1>InPl_Name</formula1>
    </dataValidation>
    <dataValidation type="list" allowBlank="1" errorTitle="Valore non valido" error="Seleziona dalla lista." promptTitle="Famiglia di sistema" prompt="Famiglia di sistema Revit." sqref="F5:F30" xr:uid="{00000000-0002-0000-0500-000002000000}">
      <formula1>RL_Cat_Name</formula1>
    </dataValidation>
    <dataValidation type="list" allowBlank="1" errorTitle="Valore non valido" error="Seleziona dalla lista." promptTitle="Group1" prompt="Struttura portante del parapetto." sqref="H5:H30" xr:uid="{00000000-0002-0000-0500-000003000000}">
      <formula1>RL_G1_Name</formula1>
    </dataValidation>
    <dataValidation type="list" allowBlank="1" errorTitle="Valore non valido" error="Seleziona dalla lista." promptTitle="Group2" prompt="Funzione del parapetto." sqref="K5:K30" xr:uid="{00000000-0002-0000-0500-000004000000}">
      <formula1>RL_G2_Name</formula1>
    </dataValidation>
    <dataValidation type="custom" allowBlank="1" errorTitle="Non valido" error="Inserisci un intero tra 0 e 99, oppure XX se i tipi non sono ancora definiti. Se Group1 è Other compila il Type Mark manuale." promptTitle="TM sequenza" prompt="Due cifre da 0 a 99. Distingue le varianti di stesso Group1 e stesso Group2. Tipo non ancora definito → XX. Non si compila con Group1 = OT." sqref="M5:M30" xr:uid="{00000000-0002-0000-0500-000005000000}">
      <formula1>AND($I5&lt;&gt;"OT",OR(UPPER($M5)="XX",AND(ISNUMBER($M5),$M5&gt;=0,$M5&lt;=99,$M5=INT($M5))))</formula1>
    </dataValidation>
    <dataValidation type="custom" allowBlank="1" errorTitle="Non ammesso qui" error="Si usa solo quando Group1 è Other." promptTitle="Type Mark manuale" prompt="Solo con Group1 = OT. Sostituisce tutto il Type Mark, prefisso di categoria compreso. Finiture → prefisso materiale + tre cifre: PT-001, WD-001, MT-001." sqref="N5:N30" xr:uid="{00000000-0002-0000-0500-000006000000}">
      <formula1>$I5="OT"</formula1>
    </dataValidation>
    <dataValidation type="decimal" operator="greaterThan" allowBlank="1" errorTitle="Non valido" error="Inserisci un valore maggiore di 0." promptTitle="Height mm" prompt="Altezza in mm dal piano di calpestio." sqref="P5:P30" xr:uid="{00000000-0002-0000-0500-000007000000}">
      <formula1>0</formula1>
    </dataValidation>
    <dataValidation type="list" allowBlank="1" errorTitle="Valore non valido" error="Seleziona dalla lista." promptTitle="Top rail / handrail" prompt="Presenza di top rail e corrimano: N nessuno, T solo top rail, H solo corrimano, B entrambi. Sono parametri di tipo del railing. I due tipi annidati si nominano nelle schede 11_TR e 12_HR." sqref="Q5:Q30" xr:uid="{00000000-0002-0000-0500-000008000000}">
      <formula1>Rail_Name</formula1>
    </dataValidation>
    <dataValidation type="textLength" operator="lessThanOrEqual" allowBlank="1" errorTitle="Troppo lunga" error="Massimo 40 caratteri." promptTitle="Description" prompt="Facoltativa. Solo se aggiunge un’informazione non già nei codici: destinazione, posizione, o ciò che distingue due tipi altrimenti identici. Senza spazi, iniziali maiuscole, massimo 40 caratteri, senza accenti." sqref="S5:S30" xr:uid="{00000000-0002-0000-0500-000009000000}">
      <formula1>40</formula1>
    </dataValidation>
  </dataValidation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V81"/>
  <sheetViews>
    <sheetView showGridLines="0" workbookViewId="0">
      <pane ySplit="4" topLeftCell="A5" activePane="bottomLeft" state="frozen"/>
      <selection pane="bottomLeft"/>
    </sheetView>
  </sheetViews>
  <sheetFormatPr defaultRowHeight="15" x14ac:dyDescent="0.25"/>
  <cols>
    <col min="1" max="1" width="3" customWidth="1"/>
    <col min="2" max="2" width="15" customWidth="1"/>
    <col min="3" max="3" width="5" customWidth="1"/>
    <col min="4" max="4" width="10" customWidth="1"/>
    <col min="5" max="5" width="4" customWidth="1"/>
    <col min="6" max="6" width="17" customWidth="1"/>
    <col min="7" max="7" width="4" customWidth="1"/>
    <col min="8" max="8" width="15" customWidth="1"/>
    <col min="9" max="9" width="4" customWidth="1"/>
    <col min="10" max="10" width="6" customWidth="1"/>
    <col min="11" max="11" width="15" customWidth="1"/>
    <col min="12" max="12" width="4" customWidth="1"/>
    <col min="13" max="13" width="12" customWidth="1"/>
    <col min="14" max="14" width="19" customWidth="1"/>
    <col min="15" max="15" width="12" customWidth="1"/>
    <col min="16" max="16" width="10" customWidth="1"/>
    <col min="17" max="17" width="15" customWidth="1"/>
    <col min="18" max="18" width="5" customWidth="1"/>
    <col min="19" max="19" width="22" customWidth="1"/>
    <col min="20" max="20" width="12" customWidth="1"/>
    <col min="21" max="21" width="40" customWidth="1"/>
    <col min="22" max="22" width="26" hidden="1" customWidth="1"/>
  </cols>
  <sheetData>
    <row r="1" spans="1:22" ht="19.5" x14ac:dyDescent="0.3">
      <c r="A1" s="6" t="s">
        <v>788</v>
      </c>
    </row>
    <row r="2" spans="1:22" x14ac:dyDescent="0.25">
      <c r="A2" s="7" t="s">
        <v>680</v>
      </c>
    </row>
    <row r="3" spans="1:22" x14ac:dyDescent="0.25">
      <c r="A3" s="8" t="s">
        <v>789</v>
      </c>
    </row>
    <row r="4" spans="1:22" ht="30" customHeight="1" x14ac:dyDescent="0.25">
      <c r="A4" s="9" t="s">
        <v>682</v>
      </c>
      <c r="B4" s="9" t="s">
        <v>70</v>
      </c>
      <c r="C4" s="9" t="s">
        <v>683</v>
      </c>
      <c r="D4" s="10" t="s">
        <v>84</v>
      </c>
      <c r="E4" s="9" t="s">
        <v>83</v>
      </c>
      <c r="F4" s="9" t="s">
        <v>684</v>
      </c>
      <c r="G4" s="9" t="s">
        <v>685</v>
      </c>
      <c r="H4" s="9" t="s">
        <v>686</v>
      </c>
      <c r="I4" s="9" t="s">
        <v>687</v>
      </c>
      <c r="J4" s="9" t="s">
        <v>688</v>
      </c>
      <c r="K4" s="9" t="s">
        <v>689</v>
      </c>
      <c r="L4" s="9" t="s">
        <v>690</v>
      </c>
      <c r="M4" s="9" t="s">
        <v>692</v>
      </c>
      <c r="N4" s="9" t="s">
        <v>693</v>
      </c>
      <c r="O4" s="9" t="s">
        <v>694</v>
      </c>
      <c r="P4" s="9" t="s">
        <v>695</v>
      </c>
      <c r="Q4" s="10" t="s">
        <v>790</v>
      </c>
      <c r="R4" s="9" t="s">
        <v>791</v>
      </c>
      <c r="S4" s="10" t="s">
        <v>699</v>
      </c>
      <c r="T4" s="9" t="s">
        <v>700</v>
      </c>
      <c r="U4" s="9" t="s">
        <v>701</v>
      </c>
      <c r="V4" s="9" t="s">
        <v>792</v>
      </c>
    </row>
    <row r="5" spans="1:22" x14ac:dyDescent="0.25">
      <c r="A5" s="11" t="s">
        <v>704</v>
      </c>
      <c r="B5" s="12" t="s">
        <v>80</v>
      </c>
      <c r="C5" s="13" t="str">
        <f t="shared" ref="C5:C30" si="0">IFERROR(INDEX(Author_Code,MATCH($B5,Author_Name,0)),"")</f>
        <v>e</v>
      </c>
      <c r="D5" s="14"/>
      <c r="E5" s="13" t="str">
        <f t="shared" ref="E5:E30" si="1">IFERROR(INDEX(InPl_Code,MATCH($D5,InPl_Name,0)),"")</f>
        <v/>
      </c>
      <c r="F5" s="12" t="s">
        <v>357</v>
      </c>
      <c r="G5" s="13" t="str">
        <f t="shared" ref="G5:G30" si="2">IFERROR(INDEX(RN_Cat_Code,MATCH($F5,RN_Cat_Name,0)),"")</f>
        <v>MR</v>
      </c>
      <c r="H5" s="12" t="s">
        <v>172</v>
      </c>
      <c r="I5" s="13" t="str">
        <f t="shared" ref="I5:I30" si="3">IFERROR(INDEX(RN_G1_Code,MATCH($H5,RN_G1_Name,0)),"")</f>
        <v>MN</v>
      </c>
      <c r="J5" s="13" t="str">
        <f t="shared" ref="J5:J30" si="4">IFERROR(LEFT(INDEX(RN_G1_TM,MATCH($H5,RN_G1_Name,0)),1),"")</f>
        <v>1</v>
      </c>
      <c r="K5" s="12" t="s">
        <v>358</v>
      </c>
      <c r="L5" s="13" t="str">
        <f t="shared" ref="L5:L30" si="5">IFERROR(INDEX(RN_G2_Code,MATCH($K5,RN_G2_Name,0)),"")</f>
        <v>CR</v>
      </c>
      <c r="M5" s="12">
        <v>1</v>
      </c>
      <c r="N5" s="15"/>
      <c r="O5" s="13" t="str">
        <f t="shared" ref="O5:O30" si="6">IF($I5="OT",$N5,IF(OR($G5="",$J5="",$M5=""),"",$G5&amp;"-"&amp;$J5&amp;IF(UPPER($M5)="XX","XX",TEXT($M5,"00"))))</f>
        <v>MR-101</v>
      </c>
      <c r="P5" s="12">
        <v>200</v>
      </c>
      <c r="Q5" s="14" t="s">
        <v>124</v>
      </c>
      <c r="R5" s="13" t="str">
        <f t="shared" ref="R5:R30" si="7">IFERROR(INDEX(Und_Code,MATCH($Q5,Und_Name,0)),"")</f>
        <v>SM</v>
      </c>
      <c r="S5" s="16"/>
      <c r="T5" s="13" t="str">
        <f t="shared" ref="T5:T30" si="8">$G5&amp;IF($I5&lt;&gt;"","."&amp;$I5,"")&amp;IF($L5&lt;&gt;"","."&amp;$L5,"")</f>
        <v>MR.MN.CR</v>
      </c>
      <c r="U5" s="17" t="str">
        <f t="shared" ref="U5:U30" si="9">IF(AND($F5&lt;&gt;"",$H5&lt;&gt;"",$O5&lt;&gt;"",$P5&lt;&gt;""),$C5&amp;"_"&amp;$O5&amp;"_"&amp;$E5&amp;$T5&amp;"_"&amp;"T"&amp;TEXT($P5,"0")&amp;IF($R5&lt;&gt;"","_"&amp;$R5,"")&amp;IF($S5&lt;&gt;"","_"&amp;$S5,""),"")</f>
        <v>e_MR-101_MR.MN.CR_T200_SM</v>
      </c>
      <c r="V5" s="18" t="str">
        <f>IF(OR($G5="MR"),ADDRESS(ROW(INDEX(Tbl_Und[Und_Name],1)),COLUMN(Tbl_Und[Und_Name]),1,1,"DV")&amp;":"&amp;ADDRESS(ROW(INDEX(Tbl_Und[Und_Name],1))+ROWS(Tbl_Und[Und_Name])-1,COLUMN(Tbl_Und[Und_Name]),1,1),"_src!$A$1")</f>
        <v>DV!$N$22:$N$23</v>
      </c>
    </row>
    <row r="6" spans="1:22" x14ac:dyDescent="0.25">
      <c r="A6" s="11" t="s">
        <v>705</v>
      </c>
      <c r="B6" s="12" t="s">
        <v>80</v>
      </c>
      <c r="C6" s="13" t="str">
        <f t="shared" si="0"/>
        <v>e</v>
      </c>
      <c r="D6" s="14"/>
      <c r="E6" s="13" t="str">
        <f t="shared" si="1"/>
        <v/>
      </c>
      <c r="F6" s="12" t="s">
        <v>357</v>
      </c>
      <c r="G6" s="13" t="str">
        <f t="shared" si="2"/>
        <v>MR</v>
      </c>
      <c r="H6" s="12" t="s">
        <v>172</v>
      </c>
      <c r="I6" s="13" t="str">
        <f t="shared" si="3"/>
        <v>MN</v>
      </c>
      <c r="J6" s="13" t="str">
        <f t="shared" si="4"/>
        <v>1</v>
      </c>
      <c r="K6" s="12" t="s">
        <v>358</v>
      </c>
      <c r="L6" s="13" t="str">
        <f t="shared" si="5"/>
        <v>CR</v>
      </c>
      <c r="M6" s="12">
        <v>2</v>
      </c>
      <c r="N6" s="15"/>
      <c r="O6" s="13" t="str">
        <f t="shared" si="6"/>
        <v>MR-102</v>
      </c>
      <c r="P6" s="12">
        <v>200</v>
      </c>
      <c r="Q6" s="14" t="s">
        <v>125</v>
      </c>
      <c r="R6" s="13" t="str">
        <f t="shared" si="7"/>
        <v>ST</v>
      </c>
      <c r="S6" s="16"/>
      <c r="T6" s="13" t="str">
        <f t="shared" si="8"/>
        <v>MR.MN.CR</v>
      </c>
      <c r="U6" s="17" t="str">
        <f t="shared" si="9"/>
        <v>e_MR-102_MR.MN.CR_T200_ST</v>
      </c>
      <c r="V6" s="18" t="str">
        <f>IF(OR($G6="MR"),ADDRESS(ROW(INDEX(Tbl_Und[Und_Name],1)),COLUMN(Tbl_Und[Und_Name]),1,1,"DV")&amp;":"&amp;ADDRESS(ROW(INDEX(Tbl_Und[Und_Name],1))+ROWS(Tbl_Und[Und_Name])-1,COLUMN(Tbl_Und[Und_Name]),1,1),"_src!$A$1")</f>
        <v>DV!$N$22:$N$23</v>
      </c>
    </row>
    <row r="7" spans="1:22" x14ac:dyDescent="0.25">
      <c r="A7" s="11" t="s">
        <v>707</v>
      </c>
      <c r="B7" s="12" t="s">
        <v>80</v>
      </c>
      <c r="C7" s="13" t="str">
        <f t="shared" si="0"/>
        <v>e</v>
      </c>
      <c r="D7" s="14"/>
      <c r="E7" s="13" t="str">
        <f t="shared" si="1"/>
        <v/>
      </c>
      <c r="F7" s="12" t="s">
        <v>357</v>
      </c>
      <c r="G7" s="13" t="str">
        <f t="shared" si="2"/>
        <v>MR</v>
      </c>
      <c r="H7" s="12" t="s">
        <v>172</v>
      </c>
      <c r="I7" s="13" t="str">
        <f t="shared" si="3"/>
        <v>MN</v>
      </c>
      <c r="J7" s="13" t="str">
        <f t="shared" si="4"/>
        <v>1</v>
      </c>
      <c r="K7" s="12" t="s">
        <v>369</v>
      </c>
      <c r="L7" s="13" t="str">
        <f t="shared" si="5"/>
        <v>SD</v>
      </c>
      <c r="M7" s="12">
        <v>3</v>
      </c>
      <c r="N7" s="15"/>
      <c r="O7" s="13" t="str">
        <f t="shared" si="6"/>
        <v>MR-103</v>
      </c>
      <c r="P7" s="12">
        <v>220</v>
      </c>
      <c r="Q7" s="14" t="s">
        <v>125</v>
      </c>
      <c r="R7" s="13" t="str">
        <f t="shared" si="7"/>
        <v>ST</v>
      </c>
      <c r="S7" s="16" t="s">
        <v>223</v>
      </c>
      <c r="T7" s="13" t="str">
        <f t="shared" si="8"/>
        <v>MR.MN.SD</v>
      </c>
      <c r="U7" s="17" t="str">
        <f t="shared" si="9"/>
        <v>e_MR-103_MR.MN.SD_T220_ST_Precast</v>
      </c>
      <c r="V7" s="18" t="str">
        <f>IF(OR($G7="MR"),ADDRESS(ROW(INDEX(Tbl_Und[Und_Name],1)),COLUMN(Tbl_Und[Und_Name]),1,1,"DV")&amp;":"&amp;ADDRESS(ROW(INDEX(Tbl_Und[Und_Name],1))+ROWS(Tbl_Und[Und_Name])-1,COLUMN(Tbl_Und[Und_Name]),1,1),"_src!$A$1")</f>
        <v>DV!$N$22:$N$23</v>
      </c>
    </row>
    <row r="8" spans="1:22" x14ac:dyDescent="0.25">
      <c r="A8" s="11" t="s">
        <v>709</v>
      </c>
      <c r="B8" s="12" t="s">
        <v>80</v>
      </c>
      <c r="C8" s="13" t="str">
        <f t="shared" si="0"/>
        <v>e</v>
      </c>
      <c r="D8" s="14"/>
      <c r="E8" s="13" t="str">
        <f t="shared" si="1"/>
        <v/>
      </c>
      <c r="F8" s="12" t="s">
        <v>357</v>
      </c>
      <c r="G8" s="13" t="str">
        <f t="shared" si="2"/>
        <v>MR</v>
      </c>
      <c r="H8" s="12" t="s">
        <v>172</v>
      </c>
      <c r="I8" s="13" t="str">
        <f t="shared" si="3"/>
        <v>MN</v>
      </c>
      <c r="J8" s="13" t="str">
        <f t="shared" si="4"/>
        <v>1</v>
      </c>
      <c r="K8" s="12" t="s">
        <v>358</v>
      </c>
      <c r="L8" s="13" t="str">
        <f t="shared" si="5"/>
        <v>CR</v>
      </c>
      <c r="M8" s="12">
        <v>4</v>
      </c>
      <c r="N8" s="15"/>
      <c r="O8" s="13" t="str">
        <f t="shared" si="6"/>
        <v>MR-104</v>
      </c>
      <c r="P8" s="12">
        <v>240</v>
      </c>
      <c r="Q8" s="14" t="s">
        <v>124</v>
      </c>
      <c r="R8" s="13" t="str">
        <f t="shared" si="7"/>
        <v>SM</v>
      </c>
      <c r="S8" s="16" t="s">
        <v>418</v>
      </c>
      <c r="T8" s="13" t="str">
        <f t="shared" si="8"/>
        <v>MR.MN.CR</v>
      </c>
      <c r="U8" s="17" t="str">
        <f t="shared" si="9"/>
        <v>e_MR-104_MR.MN.CR_T240_SM_Escape</v>
      </c>
      <c r="V8" s="18" t="str">
        <f>IF(OR($G8="MR"),ADDRESS(ROW(INDEX(Tbl_Und[Und_Name],1)),COLUMN(Tbl_Und[Und_Name]),1,1,"DV")&amp;":"&amp;ADDRESS(ROW(INDEX(Tbl_Und[Und_Name],1))+ROWS(Tbl_Und[Und_Name])-1,COLUMN(Tbl_Und[Und_Name]),1,1),"_src!$A$1")</f>
        <v>DV!$N$22:$N$23</v>
      </c>
    </row>
    <row r="9" spans="1:22" x14ac:dyDescent="0.25">
      <c r="A9" s="11" t="s">
        <v>711</v>
      </c>
      <c r="B9" s="12" t="s">
        <v>80</v>
      </c>
      <c r="C9" s="13" t="str">
        <f t="shared" si="0"/>
        <v>e</v>
      </c>
      <c r="D9" s="14"/>
      <c r="E9" s="13" t="str">
        <f t="shared" si="1"/>
        <v/>
      </c>
      <c r="F9" s="12" t="s">
        <v>361</v>
      </c>
      <c r="G9" s="13" t="str">
        <f t="shared" si="2"/>
        <v>NR</v>
      </c>
      <c r="H9" s="12" t="s">
        <v>367</v>
      </c>
      <c r="I9" s="13" t="str">
        <f t="shared" si="3"/>
        <v>SS</v>
      </c>
      <c r="J9" s="13" t="str">
        <f t="shared" si="4"/>
        <v>2</v>
      </c>
      <c r="K9" s="12" t="s">
        <v>358</v>
      </c>
      <c r="L9" s="13" t="str">
        <f t="shared" si="5"/>
        <v>CR</v>
      </c>
      <c r="M9" s="12">
        <v>1</v>
      </c>
      <c r="N9" s="15"/>
      <c r="O9" s="13" t="str">
        <f t="shared" si="6"/>
        <v>NR-201</v>
      </c>
      <c r="P9" s="12">
        <v>60</v>
      </c>
      <c r="Q9" s="14"/>
      <c r="R9" s="13" t="str">
        <f t="shared" si="7"/>
        <v/>
      </c>
      <c r="S9" s="16"/>
      <c r="T9" s="13" t="str">
        <f t="shared" si="8"/>
        <v>NR.SS.CR</v>
      </c>
      <c r="U9" s="17" t="str">
        <f t="shared" si="9"/>
        <v>e_NR-201_NR.SS.CR_T60</v>
      </c>
      <c r="V9" s="18" t="str">
        <f>IF(OR($G9="MR"),ADDRESS(ROW(INDEX(Tbl_Und[Und_Name],1)),COLUMN(Tbl_Und[Und_Name]),1,1,"DV")&amp;":"&amp;ADDRESS(ROW(INDEX(Tbl_Und[Und_Name],1))+ROWS(Tbl_Und[Und_Name])-1,COLUMN(Tbl_Und[Und_Name]),1,1),"_src!$A$1")</f>
        <v>_src!$A$1</v>
      </c>
    </row>
    <row r="10" spans="1:22" x14ac:dyDescent="0.25">
      <c r="A10" s="11" t="s">
        <v>712</v>
      </c>
      <c r="B10" s="12" t="s">
        <v>80</v>
      </c>
      <c r="C10" s="13" t="str">
        <f t="shared" si="0"/>
        <v>e</v>
      </c>
      <c r="D10" s="14"/>
      <c r="E10" s="13" t="str">
        <f t="shared" si="1"/>
        <v/>
      </c>
      <c r="F10" s="12" t="s">
        <v>361</v>
      </c>
      <c r="G10" s="13" t="str">
        <f t="shared" si="2"/>
        <v>NR</v>
      </c>
      <c r="H10" s="12" t="s">
        <v>367</v>
      </c>
      <c r="I10" s="13" t="str">
        <f t="shared" si="3"/>
        <v>SS</v>
      </c>
      <c r="J10" s="13" t="str">
        <f t="shared" si="4"/>
        <v>2</v>
      </c>
      <c r="K10" s="12" t="s">
        <v>364</v>
      </c>
      <c r="L10" s="13" t="str">
        <f t="shared" si="5"/>
        <v>OR</v>
      </c>
      <c r="M10" s="12">
        <v>2</v>
      </c>
      <c r="N10" s="15"/>
      <c r="O10" s="13" t="str">
        <f t="shared" si="6"/>
        <v>NR-202</v>
      </c>
      <c r="P10" s="12">
        <v>50</v>
      </c>
      <c r="Q10" s="14"/>
      <c r="R10" s="13" t="str">
        <f t="shared" si="7"/>
        <v/>
      </c>
      <c r="S10" s="16"/>
      <c r="T10" s="13" t="str">
        <f t="shared" si="8"/>
        <v>NR.SS.OR</v>
      </c>
      <c r="U10" s="17" t="str">
        <f t="shared" si="9"/>
        <v>e_NR-202_NR.SS.OR_T50</v>
      </c>
      <c r="V10" s="18" t="str">
        <f>IF(OR($G10="MR"),ADDRESS(ROW(INDEX(Tbl_Und[Und_Name],1)),COLUMN(Tbl_Und[Und_Name]),1,1,"DV")&amp;":"&amp;ADDRESS(ROW(INDEX(Tbl_Und[Und_Name],1))+ROWS(Tbl_Und[Und_Name])-1,COLUMN(Tbl_Und[Und_Name]),1,1),"_src!$A$1")</f>
        <v>_src!$A$1</v>
      </c>
    </row>
    <row r="11" spans="1:22" x14ac:dyDescent="0.25">
      <c r="A11" s="11" t="s">
        <v>713</v>
      </c>
      <c r="B11" s="12" t="s">
        <v>80</v>
      </c>
      <c r="C11" s="13" t="str">
        <f t="shared" si="0"/>
        <v>e</v>
      </c>
      <c r="D11" s="14"/>
      <c r="E11" s="13" t="str">
        <f t="shared" si="1"/>
        <v/>
      </c>
      <c r="F11" s="12" t="s">
        <v>361</v>
      </c>
      <c r="G11" s="13" t="str">
        <f t="shared" si="2"/>
        <v>NR</v>
      </c>
      <c r="H11" s="12" t="s">
        <v>372</v>
      </c>
      <c r="I11" s="13" t="str">
        <f t="shared" si="3"/>
        <v>SP</v>
      </c>
      <c r="J11" s="13" t="str">
        <f t="shared" si="4"/>
        <v>3</v>
      </c>
      <c r="K11" s="12" t="s">
        <v>364</v>
      </c>
      <c r="L11" s="13" t="str">
        <f t="shared" si="5"/>
        <v>OR</v>
      </c>
      <c r="M11" s="12">
        <v>1</v>
      </c>
      <c r="N11" s="15"/>
      <c r="O11" s="13" t="str">
        <f t="shared" si="6"/>
        <v>NR-301</v>
      </c>
      <c r="P11" s="12">
        <v>40</v>
      </c>
      <c r="Q11" s="14"/>
      <c r="R11" s="13" t="str">
        <f t="shared" si="7"/>
        <v/>
      </c>
      <c r="S11" s="16"/>
      <c r="T11" s="13" t="str">
        <f t="shared" si="8"/>
        <v>NR.SP.OR</v>
      </c>
      <c r="U11" s="17" t="str">
        <f t="shared" si="9"/>
        <v>e_NR-301_NR.SP.OR_T40</v>
      </c>
      <c r="V11" s="18" t="str">
        <f>IF(OR($G11="MR"),ADDRESS(ROW(INDEX(Tbl_Und[Und_Name],1)),COLUMN(Tbl_Und[Und_Name]),1,1,"DV")&amp;":"&amp;ADDRESS(ROW(INDEX(Tbl_Und[Und_Name],1))+ROWS(Tbl_Und[Und_Name])-1,COLUMN(Tbl_Und[Und_Name]),1,1),"_src!$A$1")</f>
        <v>_src!$A$1</v>
      </c>
    </row>
    <row r="12" spans="1:22" x14ac:dyDescent="0.25">
      <c r="A12" s="11" t="s">
        <v>715</v>
      </c>
      <c r="B12" s="12" t="s">
        <v>80</v>
      </c>
      <c r="C12" s="13" t="str">
        <f t="shared" si="0"/>
        <v>e</v>
      </c>
      <c r="D12" s="14"/>
      <c r="E12" s="13" t="str">
        <f t="shared" si="1"/>
        <v/>
      </c>
      <c r="F12" s="12" t="s">
        <v>361</v>
      </c>
      <c r="G12" s="13" t="str">
        <f t="shared" si="2"/>
        <v>NR</v>
      </c>
      <c r="H12" s="12" t="s">
        <v>378</v>
      </c>
      <c r="I12" s="13" t="str">
        <f t="shared" si="3"/>
        <v>CT</v>
      </c>
      <c r="J12" s="13" t="str">
        <f t="shared" si="4"/>
        <v>4</v>
      </c>
      <c r="K12" s="12" t="s">
        <v>369</v>
      </c>
      <c r="L12" s="13" t="str">
        <f t="shared" si="5"/>
        <v>SD</v>
      </c>
      <c r="M12" s="12">
        <v>1</v>
      </c>
      <c r="N12" s="15"/>
      <c r="O12" s="13" t="str">
        <f t="shared" si="6"/>
        <v>NR-401</v>
      </c>
      <c r="P12" s="12">
        <v>180</v>
      </c>
      <c r="Q12" s="14"/>
      <c r="R12" s="13" t="str">
        <f t="shared" si="7"/>
        <v/>
      </c>
      <c r="S12" s="16"/>
      <c r="T12" s="13" t="str">
        <f t="shared" si="8"/>
        <v>NR.CT.SD</v>
      </c>
      <c r="U12" s="17" t="str">
        <f t="shared" si="9"/>
        <v>e_NR-401_NR.CT.SD_T180</v>
      </c>
      <c r="V12" s="18" t="str">
        <f>IF(OR($G12="MR"),ADDRESS(ROW(INDEX(Tbl_Und[Und_Name],1)),COLUMN(Tbl_Und[Und_Name]),1,1,"DV")&amp;":"&amp;ADDRESS(ROW(INDEX(Tbl_Und[Und_Name],1))+ROWS(Tbl_Und[Und_Name])-1,COLUMN(Tbl_Und[Und_Name]),1,1),"_src!$A$1")</f>
        <v>_src!$A$1</v>
      </c>
    </row>
    <row r="13" spans="1:22" x14ac:dyDescent="0.25">
      <c r="A13" s="11" t="s">
        <v>716</v>
      </c>
      <c r="B13" s="12" t="s">
        <v>80</v>
      </c>
      <c r="C13" s="13" t="str">
        <f t="shared" si="0"/>
        <v>e</v>
      </c>
      <c r="D13" s="14"/>
      <c r="E13" s="13" t="str">
        <f t="shared" si="1"/>
        <v/>
      </c>
      <c r="F13" s="12" t="s">
        <v>361</v>
      </c>
      <c r="G13" s="13" t="str">
        <f t="shared" si="2"/>
        <v>NR</v>
      </c>
      <c r="H13" s="12" t="s">
        <v>158</v>
      </c>
      <c r="I13" s="13" t="str">
        <f t="shared" si="3"/>
        <v>FR</v>
      </c>
      <c r="J13" s="13" t="str">
        <f t="shared" si="4"/>
        <v>5</v>
      </c>
      <c r="K13" s="12" t="s">
        <v>375</v>
      </c>
      <c r="L13" s="13" t="str">
        <f t="shared" si="5"/>
        <v>GT</v>
      </c>
      <c r="M13" s="12">
        <v>1</v>
      </c>
      <c r="N13" s="15"/>
      <c r="O13" s="13" t="str">
        <f t="shared" si="6"/>
        <v>NR-501</v>
      </c>
      <c r="P13" s="12">
        <v>40</v>
      </c>
      <c r="Q13" s="14"/>
      <c r="R13" s="13" t="str">
        <f t="shared" si="7"/>
        <v/>
      </c>
      <c r="S13" s="16" t="s">
        <v>793</v>
      </c>
      <c r="T13" s="13" t="str">
        <f t="shared" si="8"/>
        <v>NR.FR.GT</v>
      </c>
      <c r="U13" s="17" t="str">
        <f t="shared" si="9"/>
        <v>e_NR-501_NR.FR.GT_T40_TechnicalAccess</v>
      </c>
      <c r="V13" s="18" t="str">
        <f>IF(OR($G13="MR"),ADDRESS(ROW(INDEX(Tbl_Und[Und_Name],1)),COLUMN(Tbl_Und[Und_Name]),1,1,"DV")&amp;":"&amp;ADDRESS(ROW(INDEX(Tbl_Und[Und_Name],1))+ROWS(Tbl_Und[Und_Name])-1,COLUMN(Tbl_Und[Und_Name]),1,1),"_src!$A$1")</f>
        <v>_src!$A$1</v>
      </c>
    </row>
    <row r="14" spans="1:22" x14ac:dyDescent="0.25">
      <c r="A14" s="11" t="s">
        <v>717</v>
      </c>
      <c r="B14" s="12" t="s">
        <v>80</v>
      </c>
      <c r="C14" s="13" t="str">
        <f t="shared" si="0"/>
        <v>e</v>
      </c>
      <c r="D14" s="14"/>
      <c r="E14" s="13" t="str">
        <f t="shared" si="1"/>
        <v/>
      </c>
      <c r="F14" s="12" t="s">
        <v>361</v>
      </c>
      <c r="G14" s="13" t="str">
        <f t="shared" si="2"/>
        <v>NR</v>
      </c>
      <c r="H14" s="12" t="s">
        <v>158</v>
      </c>
      <c r="I14" s="13" t="str">
        <f t="shared" si="3"/>
        <v>FR</v>
      </c>
      <c r="J14" s="13" t="str">
        <f t="shared" si="4"/>
        <v>5</v>
      </c>
      <c r="K14" s="12" t="s">
        <v>364</v>
      </c>
      <c r="L14" s="13" t="str">
        <f t="shared" si="5"/>
        <v>OR</v>
      </c>
      <c r="M14" s="12">
        <v>2</v>
      </c>
      <c r="N14" s="15"/>
      <c r="O14" s="13" t="str">
        <f t="shared" si="6"/>
        <v>NR-502</v>
      </c>
      <c r="P14" s="12">
        <v>50</v>
      </c>
      <c r="Q14" s="14"/>
      <c r="R14" s="13" t="str">
        <f t="shared" si="7"/>
        <v/>
      </c>
      <c r="S14" s="16"/>
      <c r="T14" s="13" t="str">
        <f t="shared" si="8"/>
        <v>NR.FR.OR</v>
      </c>
      <c r="U14" s="17" t="str">
        <f t="shared" si="9"/>
        <v>e_NR-502_NR.FR.OR_T50</v>
      </c>
      <c r="V14" s="18" t="str">
        <f>IF(OR($G14="MR"),ADDRESS(ROW(INDEX(Tbl_Und[Und_Name],1)),COLUMN(Tbl_Und[Und_Name]),1,1,"DV")&amp;":"&amp;ADDRESS(ROW(INDEX(Tbl_Und[Und_Name],1))+ROWS(Tbl_Und[Und_Name])-1,COLUMN(Tbl_Und[Und_Name]),1,1),"_src!$A$1")</f>
        <v>_src!$A$1</v>
      </c>
    </row>
    <row r="15" spans="1:22" x14ac:dyDescent="0.25">
      <c r="A15" s="11" t="s">
        <v>719</v>
      </c>
      <c r="B15" s="12" t="s">
        <v>80</v>
      </c>
      <c r="C15" s="13" t="str">
        <f t="shared" si="0"/>
        <v>e</v>
      </c>
      <c r="D15" s="14" t="s">
        <v>84</v>
      </c>
      <c r="E15" s="13" t="str">
        <f t="shared" si="1"/>
        <v>(I)</v>
      </c>
      <c r="F15" s="12" t="s">
        <v>357</v>
      </c>
      <c r="G15" s="13" t="str">
        <f t="shared" si="2"/>
        <v>MR</v>
      </c>
      <c r="H15" s="12" t="s">
        <v>172</v>
      </c>
      <c r="I15" s="13" t="str">
        <f t="shared" si="3"/>
        <v>MN</v>
      </c>
      <c r="J15" s="13" t="str">
        <f t="shared" si="4"/>
        <v>1</v>
      </c>
      <c r="K15" s="12" t="s">
        <v>358</v>
      </c>
      <c r="L15" s="13" t="str">
        <f t="shared" si="5"/>
        <v>CR</v>
      </c>
      <c r="M15" s="12">
        <v>1</v>
      </c>
      <c r="N15" s="15"/>
      <c r="O15" s="13" t="str">
        <f t="shared" si="6"/>
        <v>MR-101</v>
      </c>
      <c r="P15" s="12">
        <v>200</v>
      </c>
      <c r="Q15" s="14" t="s">
        <v>124</v>
      </c>
      <c r="R15" s="13" t="str">
        <f t="shared" si="7"/>
        <v>SM</v>
      </c>
      <c r="S15" s="16"/>
      <c r="T15" s="13" t="str">
        <f t="shared" si="8"/>
        <v>MR.MN.CR</v>
      </c>
      <c r="U15" s="17" t="str">
        <f t="shared" si="9"/>
        <v>e_MR-101_(I)MR.MN.CR_T200_SM</v>
      </c>
      <c r="V15" s="18" t="str">
        <f>IF(OR($G15="MR"),ADDRESS(ROW(INDEX(Tbl_Und[Und_Name],1)),COLUMN(Tbl_Und[Und_Name]),1,1,"DV")&amp;":"&amp;ADDRESS(ROW(INDEX(Tbl_Und[Und_Name],1))+ROWS(Tbl_Und[Und_Name])-1,COLUMN(Tbl_Und[Und_Name]),1,1),"_src!$A$1")</f>
        <v>DV!$N$22:$N$23</v>
      </c>
    </row>
    <row r="16" spans="1:22" x14ac:dyDescent="0.25">
      <c r="A16" s="19">
        <v>1</v>
      </c>
      <c r="B16" s="20"/>
      <c r="C16" s="21" t="str">
        <f t="shared" si="0"/>
        <v/>
      </c>
      <c r="D16" s="22"/>
      <c r="E16" s="21" t="str">
        <f t="shared" si="1"/>
        <v/>
      </c>
      <c r="F16" s="20"/>
      <c r="G16" s="21" t="str">
        <f t="shared" si="2"/>
        <v/>
      </c>
      <c r="H16" s="20"/>
      <c r="I16" s="21" t="str">
        <f t="shared" si="3"/>
        <v/>
      </c>
      <c r="J16" s="21" t="str">
        <f t="shared" si="4"/>
        <v/>
      </c>
      <c r="K16" s="20"/>
      <c r="L16" s="21" t="str">
        <f t="shared" si="5"/>
        <v/>
      </c>
      <c r="M16" s="20"/>
      <c r="N16" s="23"/>
      <c r="O16" s="21" t="str">
        <f t="shared" si="6"/>
        <v/>
      </c>
      <c r="P16" s="20"/>
      <c r="Q16" s="22"/>
      <c r="R16" s="21" t="str">
        <f t="shared" si="7"/>
        <v/>
      </c>
      <c r="S16" s="24"/>
      <c r="T16" s="21" t="str">
        <f t="shared" si="8"/>
        <v/>
      </c>
      <c r="U16" s="25" t="str">
        <f t="shared" si="9"/>
        <v/>
      </c>
      <c r="V16" s="18" t="str">
        <f>IF(OR($G16="MR"),ADDRESS(ROW(INDEX(Tbl_Und[Und_Name],1)),COLUMN(Tbl_Und[Und_Name]),1,1,"DV")&amp;":"&amp;ADDRESS(ROW(INDEX(Tbl_Und[Und_Name],1))+ROWS(Tbl_Und[Und_Name])-1,COLUMN(Tbl_Und[Und_Name]),1,1),"_src!$A$1")</f>
        <v>_src!$A$1</v>
      </c>
    </row>
    <row r="17" spans="1:22" x14ac:dyDescent="0.25">
      <c r="A17" s="19">
        <v>2</v>
      </c>
      <c r="B17" s="20"/>
      <c r="C17" s="21" t="str">
        <f t="shared" si="0"/>
        <v/>
      </c>
      <c r="D17" s="22"/>
      <c r="E17" s="21" t="str">
        <f t="shared" si="1"/>
        <v/>
      </c>
      <c r="F17" s="20"/>
      <c r="G17" s="21" t="str">
        <f t="shared" si="2"/>
        <v/>
      </c>
      <c r="H17" s="20"/>
      <c r="I17" s="21" t="str">
        <f t="shared" si="3"/>
        <v/>
      </c>
      <c r="J17" s="21" t="str">
        <f t="shared" si="4"/>
        <v/>
      </c>
      <c r="K17" s="20"/>
      <c r="L17" s="21" t="str">
        <f t="shared" si="5"/>
        <v/>
      </c>
      <c r="M17" s="20"/>
      <c r="N17" s="23"/>
      <c r="O17" s="21" t="str">
        <f t="shared" si="6"/>
        <v/>
      </c>
      <c r="P17" s="20"/>
      <c r="Q17" s="22"/>
      <c r="R17" s="21" t="str">
        <f t="shared" si="7"/>
        <v/>
      </c>
      <c r="S17" s="24"/>
      <c r="T17" s="21" t="str">
        <f t="shared" si="8"/>
        <v/>
      </c>
      <c r="U17" s="25" t="str">
        <f t="shared" si="9"/>
        <v/>
      </c>
      <c r="V17" s="18" t="str">
        <f>IF(OR($G17="MR"),ADDRESS(ROW(INDEX(Tbl_Und[Und_Name],1)),COLUMN(Tbl_Und[Und_Name]),1,1,"DV")&amp;":"&amp;ADDRESS(ROW(INDEX(Tbl_Und[Und_Name],1))+ROWS(Tbl_Und[Und_Name])-1,COLUMN(Tbl_Und[Und_Name]),1,1),"_src!$A$1")</f>
        <v>_src!$A$1</v>
      </c>
    </row>
    <row r="18" spans="1:22" x14ac:dyDescent="0.25">
      <c r="A18" s="19">
        <v>3</v>
      </c>
      <c r="B18" s="20"/>
      <c r="C18" s="21" t="str">
        <f t="shared" si="0"/>
        <v/>
      </c>
      <c r="D18" s="22"/>
      <c r="E18" s="21" t="str">
        <f t="shared" si="1"/>
        <v/>
      </c>
      <c r="F18" s="20"/>
      <c r="G18" s="21" t="str">
        <f t="shared" si="2"/>
        <v/>
      </c>
      <c r="H18" s="20"/>
      <c r="I18" s="21" t="str">
        <f t="shared" si="3"/>
        <v/>
      </c>
      <c r="J18" s="21" t="str">
        <f t="shared" si="4"/>
        <v/>
      </c>
      <c r="K18" s="20"/>
      <c r="L18" s="21" t="str">
        <f t="shared" si="5"/>
        <v/>
      </c>
      <c r="M18" s="20"/>
      <c r="N18" s="23"/>
      <c r="O18" s="21" t="str">
        <f t="shared" si="6"/>
        <v/>
      </c>
      <c r="P18" s="20"/>
      <c r="Q18" s="22"/>
      <c r="R18" s="21" t="str">
        <f t="shared" si="7"/>
        <v/>
      </c>
      <c r="S18" s="24"/>
      <c r="T18" s="21" t="str">
        <f t="shared" si="8"/>
        <v/>
      </c>
      <c r="U18" s="25" t="str">
        <f t="shared" si="9"/>
        <v/>
      </c>
      <c r="V18" s="18" t="str">
        <f>IF(OR($G18="MR"),ADDRESS(ROW(INDEX(Tbl_Und[Und_Name],1)),COLUMN(Tbl_Und[Und_Name]),1,1,"DV")&amp;":"&amp;ADDRESS(ROW(INDEX(Tbl_Und[Und_Name],1))+ROWS(Tbl_Und[Und_Name])-1,COLUMN(Tbl_Und[Und_Name]),1,1),"_src!$A$1")</f>
        <v>_src!$A$1</v>
      </c>
    </row>
    <row r="19" spans="1:22" x14ac:dyDescent="0.25">
      <c r="A19" s="19">
        <v>4</v>
      </c>
      <c r="B19" s="20"/>
      <c r="C19" s="21" t="str">
        <f t="shared" si="0"/>
        <v/>
      </c>
      <c r="D19" s="22"/>
      <c r="E19" s="21" t="str">
        <f t="shared" si="1"/>
        <v/>
      </c>
      <c r="F19" s="20"/>
      <c r="G19" s="21" t="str">
        <f t="shared" si="2"/>
        <v/>
      </c>
      <c r="H19" s="20"/>
      <c r="I19" s="21" t="str">
        <f t="shared" si="3"/>
        <v/>
      </c>
      <c r="J19" s="21" t="str">
        <f t="shared" si="4"/>
        <v/>
      </c>
      <c r="K19" s="20"/>
      <c r="L19" s="21" t="str">
        <f t="shared" si="5"/>
        <v/>
      </c>
      <c r="M19" s="20"/>
      <c r="N19" s="23"/>
      <c r="O19" s="21" t="str">
        <f t="shared" si="6"/>
        <v/>
      </c>
      <c r="P19" s="20"/>
      <c r="Q19" s="22"/>
      <c r="R19" s="21" t="str">
        <f t="shared" si="7"/>
        <v/>
      </c>
      <c r="S19" s="24"/>
      <c r="T19" s="21" t="str">
        <f t="shared" si="8"/>
        <v/>
      </c>
      <c r="U19" s="25" t="str">
        <f t="shared" si="9"/>
        <v/>
      </c>
      <c r="V19" s="18" t="str">
        <f>IF(OR($G19="MR"),ADDRESS(ROW(INDEX(Tbl_Und[Und_Name],1)),COLUMN(Tbl_Und[Und_Name]),1,1,"DV")&amp;":"&amp;ADDRESS(ROW(INDEX(Tbl_Und[Und_Name],1))+ROWS(Tbl_Und[Und_Name])-1,COLUMN(Tbl_Und[Und_Name]),1,1),"_src!$A$1")</f>
        <v>_src!$A$1</v>
      </c>
    </row>
    <row r="20" spans="1:22" x14ac:dyDescent="0.25">
      <c r="A20" s="19">
        <v>5</v>
      </c>
      <c r="B20" s="20"/>
      <c r="C20" s="21" t="str">
        <f t="shared" si="0"/>
        <v/>
      </c>
      <c r="D20" s="22"/>
      <c r="E20" s="21" t="str">
        <f t="shared" si="1"/>
        <v/>
      </c>
      <c r="F20" s="20"/>
      <c r="G20" s="21" t="str">
        <f t="shared" si="2"/>
        <v/>
      </c>
      <c r="H20" s="20"/>
      <c r="I20" s="21" t="str">
        <f t="shared" si="3"/>
        <v/>
      </c>
      <c r="J20" s="21" t="str">
        <f t="shared" si="4"/>
        <v/>
      </c>
      <c r="K20" s="20"/>
      <c r="L20" s="21" t="str">
        <f t="shared" si="5"/>
        <v/>
      </c>
      <c r="M20" s="20"/>
      <c r="N20" s="23"/>
      <c r="O20" s="21" t="str">
        <f t="shared" si="6"/>
        <v/>
      </c>
      <c r="P20" s="20"/>
      <c r="Q20" s="22"/>
      <c r="R20" s="21" t="str">
        <f t="shared" si="7"/>
        <v/>
      </c>
      <c r="S20" s="24"/>
      <c r="T20" s="21" t="str">
        <f t="shared" si="8"/>
        <v/>
      </c>
      <c r="U20" s="25" t="str">
        <f t="shared" si="9"/>
        <v/>
      </c>
      <c r="V20" s="18" t="str">
        <f>IF(OR($G20="MR"),ADDRESS(ROW(INDEX(Tbl_Und[Und_Name],1)),COLUMN(Tbl_Und[Und_Name]),1,1,"DV")&amp;":"&amp;ADDRESS(ROW(INDEX(Tbl_Und[Und_Name],1))+ROWS(Tbl_Und[Und_Name])-1,COLUMN(Tbl_Und[Und_Name]),1,1),"_src!$A$1")</f>
        <v>_src!$A$1</v>
      </c>
    </row>
    <row r="21" spans="1:22" x14ac:dyDescent="0.25">
      <c r="A21" s="19">
        <v>6</v>
      </c>
      <c r="B21" s="20"/>
      <c r="C21" s="21" t="str">
        <f t="shared" si="0"/>
        <v/>
      </c>
      <c r="D21" s="22"/>
      <c r="E21" s="21" t="str">
        <f t="shared" si="1"/>
        <v/>
      </c>
      <c r="F21" s="20"/>
      <c r="G21" s="21" t="str">
        <f t="shared" si="2"/>
        <v/>
      </c>
      <c r="H21" s="20"/>
      <c r="I21" s="21" t="str">
        <f t="shared" si="3"/>
        <v/>
      </c>
      <c r="J21" s="21" t="str">
        <f t="shared" si="4"/>
        <v/>
      </c>
      <c r="K21" s="20"/>
      <c r="L21" s="21" t="str">
        <f t="shared" si="5"/>
        <v/>
      </c>
      <c r="M21" s="20"/>
      <c r="N21" s="23"/>
      <c r="O21" s="21" t="str">
        <f t="shared" si="6"/>
        <v/>
      </c>
      <c r="P21" s="20"/>
      <c r="Q21" s="22"/>
      <c r="R21" s="21" t="str">
        <f t="shared" si="7"/>
        <v/>
      </c>
      <c r="S21" s="24"/>
      <c r="T21" s="21" t="str">
        <f t="shared" si="8"/>
        <v/>
      </c>
      <c r="U21" s="25" t="str">
        <f t="shared" si="9"/>
        <v/>
      </c>
      <c r="V21" s="18" t="str">
        <f>IF(OR($G21="MR"),ADDRESS(ROW(INDEX(Tbl_Und[Und_Name],1)),COLUMN(Tbl_Und[Und_Name]),1,1,"DV")&amp;":"&amp;ADDRESS(ROW(INDEX(Tbl_Und[Und_Name],1))+ROWS(Tbl_Und[Und_Name])-1,COLUMN(Tbl_Und[Und_Name]),1,1),"_src!$A$1")</f>
        <v>_src!$A$1</v>
      </c>
    </row>
    <row r="22" spans="1:22" x14ac:dyDescent="0.25">
      <c r="A22" s="19">
        <v>7</v>
      </c>
      <c r="B22" s="20"/>
      <c r="C22" s="21" t="str">
        <f t="shared" si="0"/>
        <v/>
      </c>
      <c r="D22" s="22"/>
      <c r="E22" s="21" t="str">
        <f t="shared" si="1"/>
        <v/>
      </c>
      <c r="F22" s="20"/>
      <c r="G22" s="21" t="str">
        <f t="shared" si="2"/>
        <v/>
      </c>
      <c r="H22" s="20"/>
      <c r="I22" s="21" t="str">
        <f t="shared" si="3"/>
        <v/>
      </c>
      <c r="J22" s="21" t="str">
        <f t="shared" si="4"/>
        <v/>
      </c>
      <c r="K22" s="20"/>
      <c r="L22" s="21" t="str">
        <f t="shared" si="5"/>
        <v/>
      </c>
      <c r="M22" s="20"/>
      <c r="N22" s="23"/>
      <c r="O22" s="21" t="str">
        <f t="shared" si="6"/>
        <v/>
      </c>
      <c r="P22" s="20"/>
      <c r="Q22" s="22"/>
      <c r="R22" s="21" t="str">
        <f t="shared" si="7"/>
        <v/>
      </c>
      <c r="S22" s="24"/>
      <c r="T22" s="21" t="str">
        <f t="shared" si="8"/>
        <v/>
      </c>
      <c r="U22" s="25" t="str">
        <f t="shared" si="9"/>
        <v/>
      </c>
      <c r="V22" s="18" t="str">
        <f>IF(OR($G22="MR"),ADDRESS(ROW(INDEX(Tbl_Und[Und_Name],1)),COLUMN(Tbl_Und[Und_Name]),1,1,"DV")&amp;":"&amp;ADDRESS(ROW(INDEX(Tbl_Und[Und_Name],1))+ROWS(Tbl_Und[Und_Name])-1,COLUMN(Tbl_Und[Und_Name]),1,1),"_src!$A$1")</f>
        <v>_src!$A$1</v>
      </c>
    </row>
    <row r="23" spans="1:22" x14ac:dyDescent="0.25">
      <c r="A23" s="19">
        <v>8</v>
      </c>
      <c r="B23" s="20"/>
      <c r="C23" s="21" t="str">
        <f t="shared" si="0"/>
        <v/>
      </c>
      <c r="D23" s="22"/>
      <c r="E23" s="21" t="str">
        <f t="shared" si="1"/>
        <v/>
      </c>
      <c r="F23" s="20"/>
      <c r="G23" s="21" t="str">
        <f t="shared" si="2"/>
        <v/>
      </c>
      <c r="H23" s="20"/>
      <c r="I23" s="21" t="str">
        <f t="shared" si="3"/>
        <v/>
      </c>
      <c r="J23" s="21" t="str">
        <f t="shared" si="4"/>
        <v/>
      </c>
      <c r="K23" s="20"/>
      <c r="L23" s="21" t="str">
        <f t="shared" si="5"/>
        <v/>
      </c>
      <c r="M23" s="20"/>
      <c r="N23" s="23"/>
      <c r="O23" s="21" t="str">
        <f t="shared" si="6"/>
        <v/>
      </c>
      <c r="P23" s="20"/>
      <c r="Q23" s="22"/>
      <c r="R23" s="21" t="str">
        <f t="shared" si="7"/>
        <v/>
      </c>
      <c r="S23" s="24"/>
      <c r="T23" s="21" t="str">
        <f t="shared" si="8"/>
        <v/>
      </c>
      <c r="U23" s="25" t="str">
        <f t="shared" si="9"/>
        <v/>
      </c>
      <c r="V23" s="18" t="str">
        <f>IF(OR($G23="MR"),ADDRESS(ROW(INDEX(Tbl_Und[Und_Name],1)),COLUMN(Tbl_Und[Und_Name]),1,1,"DV")&amp;":"&amp;ADDRESS(ROW(INDEX(Tbl_Und[Und_Name],1))+ROWS(Tbl_Und[Und_Name])-1,COLUMN(Tbl_Und[Und_Name]),1,1),"_src!$A$1")</f>
        <v>_src!$A$1</v>
      </c>
    </row>
    <row r="24" spans="1:22" x14ac:dyDescent="0.25">
      <c r="A24" s="19">
        <v>9</v>
      </c>
      <c r="B24" s="20"/>
      <c r="C24" s="21" t="str">
        <f t="shared" si="0"/>
        <v/>
      </c>
      <c r="D24" s="22"/>
      <c r="E24" s="21" t="str">
        <f t="shared" si="1"/>
        <v/>
      </c>
      <c r="F24" s="20"/>
      <c r="G24" s="21" t="str">
        <f t="shared" si="2"/>
        <v/>
      </c>
      <c r="H24" s="20"/>
      <c r="I24" s="21" t="str">
        <f t="shared" si="3"/>
        <v/>
      </c>
      <c r="J24" s="21" t="str">
        <f t="shared" si="4"/>
        <v/>
      </c>
      <c r="K24" s="20"/>
      <c r="L24" s="21" t="str">
        <f t="shared" si="5"/>
        <v/>
      </c>
      <c r="M24" s="20"/>
      <c r="N24" s="23"/>
      <c r="O24" s="21" t="str">
        <f t="shared" si="6"/>
        <v/>
      </c>
      <c r="P24" s="20"/>
      <c r="Q24" s="22"/>
      <c r="R24" s="21" t="str">
        <f t="shared" si="7"/>
        <v/>
      </c>
      <c r="S24" s="24"/>
      <c r="T24" s="21" t="str">
        <f t="shared" si="8"/>
        <v/>
      </c>
      <c r="U24" s="25" t="str">
        <f t="shared" si="9"/>
        <v/>
      </c>
      <c r="V24" s="18" t="str">
        <f>IF(OR($G24="MR"),ADDRESS(ROW(INDEX(Tbl_Und[Und_Name],1)),COLUMN(Tbl_Und[Und_Name]),1,1,"DV")&amp;":"&amp;ADDRESS(ROW(INDEX(Tbl_Und[Und_Name],1))+ROWS(Tbl_Und[Und_Name])-1,COLUMN(Tbl_Und[Und_Name]),1,1),"_src!$A$1")</f>
        <v>_src!$A$1</v>
      </c>
    </row>
    <row r="25" spans="1:22" x14ac:dyDescent="0.25">
      <c r="A25" s="19">
        <v>10</v>
      </c>
      <c r="B25" s="20"/>
      <c r="C25" s="21" t="str">
        <f t="shared" si="0"/>
        <v/>
      </c>
      <c r="D25" s="22"/>
      <c r="E25" s="21" t="str">
        <f t="shared" si="1"/>
        <v/>
      </c>
      <c r="F25" s="20"/>
      <c r="G25" s="21" t="str">
        <f t="shared" si="2"/>
        <v/>
      </c>
      <c r="H25" s="20"/>
      <c r="I25" s="21" t="str">
        <f t="shared" si="3"/>
        <v/>
      </c>
      <c r="J25" s="21" t="str">
        <f t="shared" si="4"/>
        <v/>
      </c>
      <c r="K25" s="20"/>
      <c r="L25" s="21" t="str">
        <f t="shared" si="5"/>
        <v/>
      </c>
      <c r="M25" s="20"/>
      <c r="N25" s="23"/>
      <c r="O25" s="21" t="str">
        <f t="shared" si="6"/>
        <v/>
      </c>
      <c r="P25" s="20"/>
      <c r="Q25" s="22"/>
      <c r="R25" s="21" t="str">
        <f t="shared" si="7"/>
        <v/>
      </c>
      <c r="S25" s="24"/>
      <c r="T25" s="21" t="str">
        <f t="shared" si="8"/>
        <v/>
      </c>
      <c r="U25" s="25" t="str">
        <f t="shared" si="9"/>
        <v/>
      </c>
      <c r="V25" s="18" t="str">
        <f>IF(OR($G25="MR"),ADDRESS(ROW(INDEX(Tbl_Und[Und_Name],1)),COLUMN(Tbl_Und[Und_Name]),1,1,"DV")&amp;":"&amp;ADDRESS(ROW(INDEX(Tbl_Und[Und_Name],1))+ROWS(Tbl_Und[Und_Name])-1,COLUMN(Tbl_Und[Und_Name]),1,1),"_src!$A$1")</f>
        <v>_src!$A$1</v>
      </c>
    </row>
    <row r="26" spans="1:22" x14ac:dyDescent="0.25">
      <c r="A26" s="19">
        <v>11</v>
      </c>
      <c r="B26" s="20"/>
      <c r="C26" s="21" t="str">
        <f t="shared" si="0"/>
        <v/>
      </c>
      <c r="D26" s="22"/>
      <c r="E26" s="21" t="str">
        <f t="shared" si="1"/>
        <v/>
      </c>
      <c r="F26" s="20"/>
      <c r="G26" s="21" t="str">
        <f t="shared" si="2"/>
        <v/>
      </c>
      <c r="H26" s="20"/>
      <c r="I26" s="21" t="str">
        <f t="shared" si="3"/>
        <v/>
      </c>
      <c r="J26" s="21" t="str">
        <f t="shared" si="4"/>
        <v/>
      </c>
      <c r="K26" s="20"/>
      <c r="L26" s="21" t="str">
        <f t="shared" si="5"/>
        <v/>
      </c>
      <c r="M26" s="20"/>
      <c r="N26" s="23"/>
      <c r="O26" s="21" t="str">
        <f t="shared" si="6"/>
        <v/>
      </c>
      <c r="P26" s="20"/>
      <c r="Q26" s="22"/>
      <c r="R26" s="21" t="str">
        <f t="shared" si="7"/>
        <v/>
      </c>
      <c r="S26" s="24"/>
      <c r="T26" s="21" t="str">
        <f t="shared" si="8"/>
        <v/>
      </c>
      <c r="U26" s="25" t="str">
        <f t="shared" si="9"/>
        <v/>
      </c>
      <c r="V26" s="18" t="str">
        <f>IF(OR($G26="MR"),ADDRESS(ROW(INDEX(Tbl_Und[Und_Name],1)),COLUMN(Tbl_Und[Und_Name]),1,1,"DV")&amp;":"&amp;ADDRESS(ROW(INDEX(Tbl_Und[Und_Name],1))+ROWS(Tbl_Und[Und_Name])-1,COLUMN(Tbl_Und[Und_Name]),1,1),"_src!$A$1")</f>
        <v>_src!$A$1</v>
      </c>
    </row>
    <row r="27" spans="1:22" x14ac:dyDescent="0.25">
      <c r="A27" s="19">
        <v>12</v>
      </c>
      <c r="B27" s="20"/>
      <c r="C27" s="21" t="str">
        <f t="shared" si="0"/>
        <v/>
      </c>
      <c r="D27" s="22"/>
      <c r="E27" s="21" t="str">
        <f t="shared" si="1"/>
        <v/>
      </c>
      <c r="F27" s="20"/>
      <c r="G27" s="21" t="str">
        <f t="shared" si="2"/>
        <v/>
      </c>
      <c r="H27" s="20"/>
      <c r="I27" s="21" t="str">
        <f t="shared" si="3"/>
        <v/>
      </c>
      <c r="J27" s="21" t="str">
        <f t="shared" si="4"/>
        <v/>
      </c>
      <c r="K27" s="20"/>
      <c r="L27" s="21" t="str">
        <f t="shared" si="5"/>
        <v/>
      </c>
      <c r="M27" s="20"/>
      <c r="N27" s="23"/>
      <c r="O27" s="21" t="str">
        <f t="shared" si="6"/>
        <v/>
      </c>
      <c r="P27" s="20"/>
      <c r="Q27" s="22"/>
      <c r="R27" s="21" t="str">
        <f t="shared" si="7"/>
        <v/>
      </c>
      <c r="S27" s="24"/>
      <c r="T27" s="21" t="str">
        <f t="shared" si="8"/>
        <v/>
      </c>
      <c r="U27" s="25" t="str">
        <f t="shared" si="9"/>
        <v/>
      </c>
      <c r="V27" s="18" t="str">
        <f>IF(OR($G27="MR"),ADDRESS(ROW(INDEX(Tbl_Und[Und_Name],1)),COLUMN(Tbl_Und[Und_Name]),1,1,"DV")&amp;":"&amp;ADDRESS(ROW(INDEX(Tbl_Und[Und_Name],1))+ROWS(Tbl_Und[Und_Name])-1,COLUMN(Tbl_Und[Und_Name]),1,1),"_src!$A$1")</f>
        <v>_src!$A$1</v>
      </c>
    </row>
    <row r="28" spans="1:22" x14ac:dyDescent="0.25">
      <c r="A28" s="19">
        <v>13</v>
      </c>
      <c r="B28" s="20"/>
      <c r="C28" s="21" t="str">
        <f t="shared" si="0"/>
        <v/>
      </c>
      <c r="D28" s="22"/>
      <c r="E28" s="21" t="str">
        <f t="shared" si="1"/>
        <v/>
      </c>
      <c r="F28" s="20"/>
      <c r="G28" s="21" t="str">
        <f t="shared" si="2"/>
        <v/>
      </c>
      <c r="H28" s="20"/>
      <c r="I28" s="21" t="str">
        <f t="shared" si="3"/>
        <v/>
      </c>
      <c r="J28" s="21" t="str">
        <f t="shared" si="4"/>
        <v/>
      </c>
      <c r="K28" s="20"/>
      <c r="L28" s="21" t="str">
        <f t="shared" si="5"/>
        <v/>
      </c>
      <c r="M28" s="20"/>
      <c r="N28" s="23"/>
      <c r="O28" s="21" t="str">
        <f t="shared" si="6"/>
        <v/>
      </c>
      <c r="P28" s="20"/>
      <c r="Q28" s="22"/>
      <c r="R28" s="21" t="str">
        <f t="shared" si="7"/>
        <v/>
      </c>
      <c r="S28" s="24"/>
      <c r="T28" s="21" t="str">
        <f t="shared" si="8"/>
        <v/>
      </c>
      <c r="U28" s="25" t="str">
        <f t="shared" si="9"/>
        <v/>
      </c>
      <c r="V28" s="18" t="str">
        <f>IF(OR($G28="MR"),ADDRESS(ROW(INDEX(Tbl_Und[Und_Name],1)),COLUMN(Tbl_Und[Und_Name]),1,1,"DV")&amp;":"&amp;ADDRESS(ROW(INDEX(Tbl_Und[Und_Name],1))+ROWS(Tbl_Und[Und_Name])-1,COLUMN(Tbl_Und[Und_Name]),1,1),"_src!$A$1")</f>
        <v>_src!$A$1</v>
      </c>
    </row>
    <row r="29" spans="1:22" x14ac:dyDescent="0.25">
      <c r="A29" s="19">
        <v>14</v>
      </c>
      <c r="B29" s="20"/>
      <c r="C29" s="21" t="str">
        <f t="shared" si="0"/>
        <v/>
      </c>
      <c r="D29" s="22"/>
      <c r="E29" s="21" t="str">
        <f t="shared" si="1"/>
        <v/>
      </c>
      <c r="F29" s="20"/>
      <c r="G29" s="21" t="str">
        <f t="shared" si="2"/>
        <v/>
      </c>
      <c r="H29" s="20"/>
      <c r="I29" s="21" t="str">
        <f t="shared" si="3"/>
        <v/>
      </c>
      <c r="J29" s="21" t="str">
        <f t="shared" si="4"/>
        <v/>
      </c>
      <c r="K29" s="20"/>
      <c r="L29" s="21" t="str">
        <f t="shared" si="5"/>
        <v/>
      </c>
      <c r="M29" s="20"/>
      <c r="N29" s="23"/>
      <c r="O29" s="21" t="str">
        <f t="shared" si="6"/>
        <v/>
      </c>
      <c r="P29" s="20"/>
      <c r="Q29" s="22"/>
      <c r="R29" s="21" t="str">
        <f t="shared" si="7"/>
        <v/>
      </c>
      <c r="S29" s="24"/>
      <c r="T29" s="21" t="str">
        <f t="shared" si="8"/>
        <v/>
      </c>
      <c r="U29" s="25" t="str">
        <f t="shared" si="9"/>
        <v/>
      </c>
      <c r="V29" s="18" t="str">
        <f>IF(OR($G29="MR"),ADDRESS(ROW(INDEX(Tbl_Und[Und_Name],1)),COLUMN(Tbl_Und[Und_Name]),1,1,"DV")&amp;":"&amp;ADDRESS(ROW(INDEX(Tbl_Und[Und_Name],1))+ROWS(Tbl_Und[Und_Name])-1,COLUMN(Tbl_Und[Und_Name]),1,1),"_src!$A$1")</f>
        <v>_src!$A$1</v>
      </c>
    </row>
    <row r="30" spans="1:22" x14ac:dyDescent="0.25">
      <c r="A30" s="19">
        <v>15</v>
      </c>
      <c r="B30" s="20"/>
      <c r="C30" s="21" t="str">
        <f t="shared" si="0"/>
        <v/>
      </c>
      <c r="D30" s="22"/>
      <c r="E30" s="21" t="str">
        <f t="shared" si="1"/>
        <v/>
      </c>
      <c r="F30" s="20"/>
      <c r="G30" s="21" t="str">
        <f t="shared" si="2"/>
        <v/>
      </c>
      <c r="H30" s="20"/>
      <c r="I30" s="21" t="str">
        <f t="shared" si="3"/>
        <v/>
      </c>
      <c r="J30" s="21" t="str">
        <f t="shared" si="4"/>
        <v/>
      </c>
      <c r="K30" s="20"/>
      <c r="L30" s="21" t="str">
        <f t="shared" si="5"/>
        <v/>
      </c>
      <c r="M30" s="20"/>
      <c r="N30" s="23"/>
      <c r="O30" s="21" t="str">
        <f t="shared" si="6"/>
        <v/>
      </c>
      <c r="P30" s="20"/>
      <c r="Q30" s="22"/>
      <c r="R30" s="21" t="str">
        <f t="shared" si="7"/>
        <v/>
      </c>
      <c r="S30" s="24"/>
      <c r="T30" s="21" t="str">
        <f t="shared" si="8"/>
        <v/>
      </c>
      <c r="U30" s="25" t="str">
        <f t="shared" si="9"/>
        <v/>
      </c>
      <c r="V30" s="18" t="str">
        <f>IF(OR($G30="MR"),ADDRESS(ROW(INDEX(Tbl_Und[Und_Name],1)),COLUMN(Tbl_Und[Und_Name]),1,1,"DV")&amp;":"&amp;ADDRESS(ROW(INDEX(Tbl_Und[Und_Name],1))+ROWS(Tbl_Und[Und_Name])-1,COLUMN(Tbl_Und[Und_Name]),1,1),"_src!$A$1")</f>
        <v>_src!$A$1</v>
      </c>
    </row>
    <row r="33" spans="1:21" ht="21.95" customHeight="1" x14ac:dyDescent="0.25">
      <c r="A33" s="38" t="s">
        <v>794</v>
      </c>
      <c r="B33" s="39"/>
      <c r="C33" s="39"/>
      <c r="D33" s="39"/>
      <c r="E33" s="39"/>
      <c r="F33" s="39"/>
      <c r="G33" s="39"/>
      <c r="H33" s="39"/>
      <c r="I33" s="39"/>
      <c r="J33" s="39"/>
      <c r="K33" s="39"/>
      <c r="L33" s="39"/>
      <c r="M33" s="39"/>
      <c r="N33" s="39"/>
      <c r="O33" s="39"/>
      <c r="P33" s="39"/>
      <c r="Q33" s="39"/>
      <c r="R33" s="39"/>
      <c r="S33" s="39"/>
      <c r="T33" s="39"/>
      <c r="U33" s="39"/>
    </row>
    <row r="34" spans="1:21" ht="15.95" customHeight="1" x14ac:dyDescent="0.25">
      <c r="A34" s="40" t="s">
        <v>778</v>
      </c>
      <c r="B34" s="31"/>
      <c r="C34" s="31"/>
      <c r="D34" s="31"/>
      <c r="E34" s="31"/>
      <c r="F34" s="31"/>
      <c r="G34" s="31"/>
      <c r="H34" s="31"/>
      <c r="I34" s="31"/>
      <c r="J34" s="31"/>
      <c r="K34" s="31"/>
      <c r="L34" s="31"/>
      <c r="M34" s="31"/>
      <c r="N34" s="31"/>
      <c r="O34" s="31"/>
      <c r="P34" s="31"/>
      <c r="Q34" s="31"/>
      <c r="R34" s="31"/>
      <c r="S34" s="31"/>
      <c r="T34" s="31"/>
      <c r="U34" s="31"/>
    </row>
    <row r="36" spans="1:21" ht="18" customHeight="1" x14ac:dyDescent="0.25">
      <c r="A36" s="36" t="s">
        <v>795</v>
      </c>
      <c r="B36" s="31"/>
      <c r="C36" s="31"/>
      <c r="D36" s="31"/>
      <c r="E36" s="31"/>
      <c r="F36" s="31"/>
      <c r="G36" s="31"/>
      <c r="H36" s="31"/>
      <c r="I36" s="31"/>
      <c r="J36" s="31"/>
      <c r="K36" s="31"/>
      <c r="L36" s="31"/>
      <c r="M36" s="31"/>
      <c r="N36" s="31"/>
      <c r="O36" s="31"/>
      <c r="P36" s="31"/>
      <c r="Q36" s="31"/>
      <c r="R36" s="31"/>
      <c r="S36" s="31"/>
      <c r="T36" s="31"/>
      <c r="U36" s="31"/>
    </row>
    <row r="37" spans="1:21" ht="21" customHeight="1" x14ac:dyDescent="0.25">
      <c r="A37" s="37" t="s">
        <v>796</v>
      </c>
      <c r="B37" s="31"/>
      <c r="C37" s="31"/>
      <c r="D37" s="31"/>
      <c r="E37" s="31"/>
      <c r="F37" s="31"/>
      <c r="G37" s="31"/>
      <c r="H37" s="31"/>
      <c r="I37" s="31"/>
      <c r="J37" s="31"/>
      <c r="K37" s="31"/>
      <c r="L37" s="31"/>
      <c r="M37" s="31"/>
      <c r="N37" s="31"/>
      <c r="O37" s="31"/>
      <c r="P37" s="31"/>
      <c r="Q37" s="31"/>
      <c r="R37" s="31"/>
      <c r="S37" s="31"/>
      <c r="T37" s="31"/>
      <c r="U37" s="31"/>
    </row>
    <row r="38" spans="1:21" ht="6" customHeight="1" x14ac:dyDescent="0.25"/>
    <row r="39" spans="1:21" ht="18" customHeight="1" x14ac:dyDescent="0.25">
      <c r="A39" s="36" t="s">
        <v>797</v>
      </c>
      <c r="B39" s="31"/>
      <c r="C39" s="31"/>
      <c r="D39" s="31"/>
      <c r="E39" s="31"/>
      <c r="F39" s="31"/>
      <c r="G39" s="31"/>
      <c r="H39" s="31"/>
      <c r="I39" s="31"/>
      <c r="J39" s="31"/>
      <c r="K39" s="31"/>
      <c r="L39" s="31"/>
      <c r="M39" s="31"/>
      <c r="N39" s="31"/>
      <c r="O39" s="31"/>
      <c r="P39" s="31"/>
      <c r="Q39" s="31"/>
      <c r="R39" s="31"/>
      <c r="S39" s="31"/>
      <c r="T39" s="31"/>
      <c r="U39" s="31"/>
    </row>
    <row r="40" spans="1:21" ht="21" customHeight="1" x14ac:dyDescent="0.25">
      <c r="A40" s="37" t="s">
        <v>798</v>
      </c>
      <c r="B40" s="31"/>
      <c r="C40" s="31"/>
      <c r="D40" s="31"/>
      <c r="E40" s="31"/>
      <c r="F40" s="31"/>
      <c r="G40" s="31"/>
      <c r="H40" s="31"/>
      <c r="I40" s="31"/>
      <c r="J40" s="31"/>
      <c r="K40" s="31"/>
      <c r="L40" s="31"/>
      <c r="M40" s="31"/>
      <c r="N40" s="31"/>
      <c r="O40" s="31"/>
      <c r="P40" s="31"/>
      <c r="Q40" s="31"/>
      <c r="R40" s="31"/>
      <c r="S40" s="31"/>
      <c r="T40" s="31"/>
      <c r="U40" s="31"/>
    </row>
    <row r="41" spans="1:21" ht="6" customHeight="1" x14ac:dyDescent="0.25"/>
    <row r="42" spans="1:21" ht="18" customHeight="1" x14ac:dyDescent="0.25">
      <c r="A42" s="36" t="s">
        <v>728</v>
      </c>
      <c r="B42" s="31"/>
      <c r="C42" s="31"/>
      <c r="D42" s="31"/>
      <c r="E42" s="31"/>
      <c r="F42" s="31"/>
      <c r="G42" s="31"/>
      <c r="H42" s="31"/>
      <c r="I42" s="31"/>
      <c r="J42" s="31"/>
      <c r="K42" s="31"/>
      <c r="L42" s="31"/>
      <c r="M42" s="31"/>
      <c r="N42" s="31"/>
      <c r="O42" s="31"/>
      <c r="P42" s="31"/>
      <c r="Q42" s="31"/>
      <c r="R42" s="31"/>
      <c r="S42" s="31"/>
      <c r="T42" s="31"/>
      <c r="U42" s="31"/>
    </row>
    <row r="43" spans="1:21" ht="51" customHeight="1" x14ac:dyDescent="0.25">
      <c r="A43" s="37" t="s">
        <v>729</v>
      </c>
      <c r="B43" s="31"/>
      <c r="C43" s="31"/>
      <c r="D43" s="31"/>
      <c r="E43" s="31"/>
      <c r="F43" s="31"/>
      <c r="G43" s="31"/>
      <c r="H43" s="31"/>
      <c r="I43" s="31"/>
      <c r="J43" s="31"/>
      <c r="K43" s="31"/>
      <c r="L43" s="31"/>
      <c r="M43" s="31"/>
      <c r="N43" s="31"/>
      <c r="O43" s="31"/>
      <c r="P43" s="31"/>
      <c r="Q43" s="31"/>
      <c r="R43" s="31"/>
      <c r="S43" s="31"/>
      <c r="T43" s="31"/>
      <c r="U43" s="31"/>
    </row>
    <row r="44" spans="1:21" ht="6" customHeight="1" x14ac:dyDescent="0.25"/>
    <row r="47" spans="1:21" ht="21.95" customHeight="1" x14ac:dyDescent="0.25">
      <c r="A47" s="38" t="s">
        <v>730</v>
      </c>
      <c r="B47" s="39"/>
      <c r="C47" s="39"/>
      <c r="D47" s="39"/>
      <c r="E47" s="39"/>
      <c r="F47" s="39"/>
      <c r="G47" s="39"/>
      <c r="H47" s="39"/>
      <c r="I47" s="39"/>
      <c r="J47" s="39"/>
      <c r="K47" s="39"/>
      <c r="L47" s="39"/>
      <c r="M47" s="39"/>
      <c r="N47" s="39"/>
      <c r="O47" s="39"/>
      <c r="P47" s="39"/>
      <c r="Q47" s="39"/>
      <c r="R47" s="39"/>
      <c r="S47" s="39"/>
      <c r="T47" s="39"/>
      <c r="U47" s="39"/>
    </row>
    <row r="49" spans="1:21" ht="18" customHeight="1" x14ac:dyDescent="0.25">
      <c r="A49" s="36" t="s">
        <v>70</v>
      </c>
      <c r="B49" s="31"/>
      <c r="C49" s="31"/>
      <c r="D49" s="31"/>
      <c r="E49" s="31"/>
      <c r="F49" s="31"/>
      <c r="G49" s="31"/>
      <c r="H49" s="31"/>
      <c r="I49" s="31"/>
      <c r="J49" s="31"/>
      <c r="K49" s="31"/>
      <c r="L49" s="31"/>
      <c r="M49" s="31"/>
      <c r="N49" s="31"/>
      <c r="O49" s="31"/>
      <c r="P49" s="31"/>
      <c r="Q49" s="31"/>
      <c r="R49" s="31"/>
      <c r="S49" s="31"/>
      <c r="T49" s="31"/>
      <c r="U49" s="31"/>
    </row>
    <row r="50" spans="1:21" ht="21" customHeight="1" x14ac:dyDescent="0.25">
      <c r="A50" s="37" t="s">
        <v>731</v>
      </c>
      <c r="B50" s="31"/>
      <c r="C50" s="31"/>
      <c r="D50" s="31"/>
      <c r="E50" s="31"/>
      <c r="F50" s="31"/>
      <c r="G50" s="31"/>
      <c r="H50" s="31"/>
      <c r="I50" s="31"/>
      <c r="J50" s="31"/>
      <c r="K50" s="31"/>
      <c r="L50" s="31"/>
      <c r="M50" s="31"/>
      <c r="N50" s="31"/>
      <c r="O50" s="31"/>
      <c r="P50" s="31"/>
      <c r="Q50" s="31"/>
      <c r="R50" s="31"/>
      <c r="S50" s="31"/>
      <c r="T50" s="31"/>
      <c r="U50" s="31"/>
    </row>
    <row r="51" spans="1:21" ht="6" customHeight="1" x14ac:dyDescent="0.25"/>
    <row r="52" spans="1:21" ht="18" customHeight="1" x14ac:dyDescent="0.25">
      <c r="A52" s="36" t="s">
        <v>84</v>
      </c>
      <c r="B52" s="31"/>
      <c r="C52" s="31"/>
      <c r="D52" s="31"/>
      <c r="E52" s="31"/>
      <c r="F52" s="31"/>
      <c r="G52" s="31"/>
      <c r="H52" s="31"/>
      <c r="I52" s="31"/>
      <c r="J52" s="31"/>
      <c r="K52" s="31"/>
      <c r="L52" s="31"/>
      <c r="M52" s="31"/>
      <c r="N52" s="31"/>
      <c r="O52" s="31"/>
      <c r="P52" s="31"/>
      <c r="Q52" s="31"/>
      <c r="R52" s="31"/>
      <c r="S52" s="31"/>
      <c r="T52" s="31"/>
      <c r="U52" s="31"/>
    </row>
    <row r="53" spans="1:21" ht="36" customHeight="1" x14ac:dyDescent="0.25">
      <c r="A53" s="37" t="s">
        <v>732</v>
      </c>
      <c r="B53" s="31"/>
      <c r="C53" s="31"/>
      <c r="D53" s="31"/>
      <c r="E53" s="31"/>
      <c r="F53" s="31"/>
      <c r="G53" s="31"/>
      <c r="H53" s="31"/>
      <c r="I53" s="31"/>
      <c r="J53" s="31"/>
      <c r="K53" s="31"/>
      <c r="L53" s="31"/>
      <c r="M53" s="31"/>
      <c r="N53" s="31"/>
      <c r="O53" s="31"/>
      <c r="P53" s="31"/>
      <c r="Q53" s="31"/>
      <c r="R53" s="31"/>
      <c r="S53" s="31"/>
      <c r="T53" s="31"/>
      <c r="U53" s="31"/>
    </row>
    <row r="54" spans="1:21" ht="6" customHeight="1" x14ac:dyDescent="0.25"/>
    <row r="55" spans="1:21" ht="18" customHeight="1" x14ac:dyDescent="0.25">
      <c r="A55" s="36" t="s">
        <v>684</v>
      </c>
      <c r="B55" s="31"/>
      <c r="C55" s="31"/>
      <c r="D55" s="31"/>
      <c r="E55" s="31"/>
      <c r="F55" s="31"/>
      <c r="G55" s="31"/>
      <c r="H55" s="31"/>
      <c r="I55" s="31"/>
      <c r="J55" s="31"/>
      <c r="K55" s="31"/>
      <c r="L55" s="31"/>
      <c r="M55" s="31"/>
      <c r="N55" s="31"/>
      <c r="O55" s="31"/>
      <c r="P55" s="31"/>
      <c r="Q55" s="31"/>
      <c r="R55" s="31"/>
      <c r="S55" s="31"/>
      <c r="T55" s="31"/>
      <c r="U55" s="31"/>
    </row>
    <row r="56" spans="1:21" ht="21" customHeight="1" x14ac:dyDescent="0.25">
      <c r="A56" s="37" t="s">
        <v>733</v>
      </c>
      <c r="B56" s="31"/>
      <c r="C56" s="31"/>
      <c r="D56" s="31"/>
      <c r="E56" s="31"/>
      <c r="F56" s="31"/>
      <c r="G56" s="31"/>
      <c r="H56" s="31"/>
      <c r="I56" s="31"/>
      <c r="J56" s="31"/>
      <c r="K56" s="31"/>
      <c r="L56" s="31"/>
      <c r="M56" s="31"/>
      <c r="N56" s="31"/>
      <c r="O56" s="31"/>
      <c r="P56" s="31"/>
      <c r="Q56" s="31"/>
      <c r="R56" s="31"/>
      <c r="S56" s="31"/>
      <c r="T56" s="31"/>
      <c r="U56" s="31"/>
    </row>
    <row r="57" spans="1:21" ht="6" customHeight="1" x14ac:dyDescent="0.25"/>
    <row r="58" spans="1:21" ht="18" customHeight="1" x14ac:dyDescent="0.25">
      <c r="A58" s="36" t="s">
        <v>686</v>
      </c>
      <c r="B58" s="31"/>
      <c r="C58" s="31"/>
      <c r="D58" s="31"/>
      <c r="E58" s="31"/>
      <c r="F58" s="31"/>
      <c r="G58" s="31"/>
      <c r="H58" s="31"/>
      <c r="I58" s="31"/>
      <c r="J58" s="31"/>
      <c r="K58" s="31"/>
      <c r="L58" s="31"/>
      <c r="M58" s="31"/>
      <c r="N58" s="31"/>
      <c r="O58" s="31"/>
      <c r="P58" s="31"/>
      <c r="Q58" s="31"/>
      <c r="R58" s="31"/>
      <c r="S58" s="31"/>
      <c r="T58" s="31"/>
      <c r="U58" s="31"/>
    </row>
    <row r="59" spans="1:21" ht="21" customHeight="1" x14ac:dyDescent="0.25">
      <c r="A59" s="37" t="s">
        <v>799</v>
      </c>
      <c r="B59" s="31"/>
      <c r="C59" s="31"/>
      <c r="D59" s="31"/>
      <c r="E59" s="31"/>
      <c r="F59" s="31"/>
      <c r="G59" s="31"/>
      <c r="H59" s="31"/>
      <c r="I59" s="31"/>
      <c r="J59" s="31"/>
      <c r="K59" s="31"/>
      <c r="L59" s="31"/>
      <c r="M59" s="31"/>
      <c r="N59" s="31"/>
      <c r="O59" s="31"/>
      <c r="P59" s="31"/>
      <c r="Q59" s="31"/>
      <c r="R59" s="31"/>
      <c r="S59" s="31"/>
      <c r="T59" s="31"/>
      <c r="U59" s="31"/>
    </row>
    <row r="60" spans="1:21" ht="6" customHeight="1" x14ac:dyDescent="0.25"/>
    <row r="61" spans="1:21" ht="18" customHeight="1" x14ac:dyDescent="0.25">
      <c r="A61" s="36" t="s">
        <v>689</v>
      </c>
      <c r="B61" s="31"/>
      <c r="C61" s="31"/>
      <c r="D61" s="31"/>
      <c r="E61" s="31"/>
      <c r="F61" s="31"/>
      <c r="G61" s="31"/>
      <c r="H61" s="31"/>
      <c r="I61" s="31"/>
      <c r="J61" s="31"/>
      <c r="K61" s="31"/>
      <c r="L61" s="31"/>
      <c r="M61" s="31"/>
      <c r="N61" s="31"/>
      <c r="O61" s="31"/>
      <c r="P61" s="31"/>
      <c r="Q61" s="31"/>
      <c r="R61" s="31"/>
      <c r="S61" s="31"/>
      <c r="T61" s="31"/>
      <c r="U61" s="31"/>
    </row>
    <row r="62" spans="1:21" ht="21" customHeight="1" x14ac:dyDescent="0.25">
      <c r="A62" s="37" t="s">
        <v>800</v>
      </c>
      <c r="B62" s="31"/>
      <c r="C62" s="31"/>
      <c r="D62" s="31"/>
      <c r="E62" s="31"/>
      <c r="F62" s="31"/>
      <c r="G62" s="31"/>
      <c r="H62" s="31"/>
      <c r="I62" s="31"/>
      <c r="J62" s="31"/>
      <c r="K62" s="31"/>
      <c r="L62" s="31"/>
      <c r="M62" s="31"/>
      <c r="N62" s="31"/>
      <c r="O62" s="31"/>
      <c r="P62" s="31"/>
      <c r="Q62" s="31"/>
      <c r="R62" s="31"/>
      <c r="S62" s="31"/>
      <c r="T62" s="31"/>
      <c r="U62" s="31"/>
    </row>
    <row r="63" spans="1:21" ht="6" customHeight="1" x14ac:dyDescent="0.25"/>
    <row r="64" spans="1:21" ht="18" customHeight="1" x14ac:dyDescent="0.25">
      <c r="A64" s="36" t="s">
        <v>692</v>
      </c>
      <c r="B64" s="31"/>
      <c r="C64" s="31"/>
      <c r="D64" s="31"/>
      <c r="E64" s="31"/>
      <c r="F64" s="31"/>
      <c r="G64" s="31"/>
      <c r="H64" s="31"/>
      <c r="I64" s="31"/>
      <c r="J64" s="31"/>
      <c r="K64" s="31"/>
      <c r="L64" s="31"/>
      <c r="M64" s="31"/>
      <c r="N64" s="31"/>
      <c r="O64" s="31"/>
      <c r="P64" s="31"/>
      <c r="Q64" s="31"/>
      <c r="R64" s="31"/>
      <c r="S64" s="31"/>
      <c r="T64" s="31"/>
      <c r="U64" s="31"/>
    </row>
    <row r="65" spans="1:21" ht="21" customHeight="1" x14ac:dyDescent="0.25">
      <c r="A65" s="37" t="s">
        <v>737</v>
      </c>
      <c r="B65" s="31"/>
      <c r="C65" s="31"/>
      <c r="D65" s="31"/>
      <c r="E65" s="31"/>
      <c r="F65" s="31"/>
      <c r="G65" s="31"/>
      <c r="H65" s="31"/>
      <c r="I65" s="31"/>
      <c r="J65" s="31"/>
      <c r="K65" s="31"/>
      <c r="L65" s="31"/>
      <c r="M65" s="31"/>
      <c r="N65" s="31"/>
      <c r="O65" s="31"/>
      <c r="P65" s="31"/>
      <c r="Q65" s="31"/>
      <c r="R65" s="31"/>
      <c r="S65" s="31"/>
      <c r="T65" s="31"/>
      <c r="U65" s="31"/>
    </row>
    <row r="66" spans="1:21" ht="6" customHeight="1" x14ac:dyDescent="0.25"/>
    <row r="67" spans="1:21" ht="18" customHeight="1" x14ac:dyDescent="0.25">
      <c r="A67" s="36" t="s">
        <v>693</v>
      </c>
      <c r="B67" s="31"/>
      <c r="C67" s="31"/>
      <c r="D67" s="31"/>
      <c r="E67" s="31"/>
      <c r="F67" s="31"/>
      <c r="G67" s="31"/>
      <c r="H67" s="31"/>
      <c r="I67" s="31"/>
      <c r="J67" s="31"/>
      <c r="K67" s="31"/>
      <c r="L67" s="31"/>
      <c r="M67" s="31"/>
      <c r="N67" s="31"/>
      <c r="O67" s="31"/>
      <c r="P67" s="31"/>
      <c r="Q67" s="31"/>
      <c r="R67" s="31"/>
      <c r="S67" s="31"/>
      <c r="T67" s="31"/>
      <c r="U67" s="31"/>
    </row>
    <row r="68" spans="1:21" ht="21" customHeight="1" x14ac:dyDescent="0.25">
      <c r="A68" s="37" t="s">
        <v>738</v>
      </c>
      <c r="B68" s="31"/>
      <c r="C68" s="31"/>
      <c r="D68" s="31"/>
      <c r="E68" s="31"/>
      <c r="F68" s="31"/>
      <c r="G68" s="31"/>
      <c r="H68" s="31"/>
      <c r="I68" s="31"/>
      <c r="J68" s="31"/>
      <c r="K68" s="31"/>
      <c r="L68" s="31"/>
      <c r="M68" s="31"/>
      <c r="N68" s="31"/>
      <c r="O68" s="31"/>
      <c r="P68" s="31"/>
      <c r="Q68" s="31"/>
      <c r="R68" s="31"/>
      <c r="S68" s="31"/>
      <c r="T68" s="31"/>
      <c r="U68" s="31"/>
    </row>
    <row r="69" spans="1:21" ht="6" customHeight="1" x14ac:dyDescent="0.25"/>
    <row r="70" spans="1:21" ht="18" customHeight="1" x14ac:dyDescent="0.25">
      <c r="A70" s="36" t="s">
        <v>695</v>
      </c>
      <c r="B70" s="31"/>
      <c r="C70" s="31"/>
      <c r="D70" s="31"/>
      <c r="E70" s="31"/>
      <c r="F70" s="31"/>
      <c r="G70" s="31"/>
      <c r="H70" s="31"/>
      <c r="I70" s="31"/>
      <c r="J70" s="31"/>
      <c r="K70" s="31"/>
      <c r="L70" s="31"/>
      <c r="M70" s="31"/>
      <c r="N70" s="31"/>
      <c r="O70" s="31"/>
      <c r="P70" s="31"/>
      <c r="Q70" s="31"/>
      <c r="R70" s="31"/>
      <c r="S70" s="31"/>
      <c r="T70" s="31"/>
      <c r="U70" s="31"/>
    </row>
    <row r="71" spans="1:21" ht="21" customHeight="1" x14ac:dyDescent="0.25">
      <c r="A71" s="37" t="s">
        <v>739</v>
      </c>
      <c r="B71" s="31"/>
      <c r="C71" s="31"/>
      <c r="D71" s="31"/>
      <c r="E71" s="31"/>
      <c r="F71" s="31"/>
      <c r="G71" s="31"/>
      <c r="H71" s="31"/>
      <c r="I71" s="31"/>
      <c r="J71" s="31"/>
      <c r="K71" s="31"/>
      <c r="L71" s="31"/>
      <c r="M71" s="31"/>
      <c r="N71" s="31"/>
      <c r="O71" s="31"/>
      <c r="P71" s="31"/>
      <c r="Q71" s="31"/>
      <c r="R71" s="31"/>
      <c r="S71" s="31"/>
      <c r="T71" s="31"/>
      <c r="U71" s="31"/>
    </row>
    <row r="72" spans="1:21" ht="6" customHeight="1" x14ac:dyDescent="0.25"/>
    <row r="73" spans="1:21" ht="18" customHeight="1" x14ac:dyDescent="0.25">
      <c r="A73" s="36" t="s">
        <v>790</v>
      </c>
      <c r="B73" s="31"/>
      <c r="C73" s="31"/>
      <c r="D73" s="31"/>
      <c r="E73" s="31"/>
      <c r="F73" s="31"/>
      <c r="G73" s="31"/>
      <c r="H73" s="31"/>
      <c r="I73" s="31"/>
      <c r="J73" s="31"/>
      <c r="K73" s="31"/>
      <c r="L73" s="31"/>
      <c r="M73" s="31"/>
      <c r="N73" s="31"/>
      <c r="O73" s="31"/>
      <c r="P73" s="31"/>
      <c r="Q73" s="31"/>
      <c r="R73" s="31"/>
      <c r="S73" s="31"/>
      <c r="T73" s="31"/>
      <c r="U73" s="31"/>
    </row>
    <row r="74" spans="1:21" ht="21" customHeight="1" x14ac:dyDescent="0.25">
      <c r="A74" s="37" t="s">
        <v>801</v>
      </c>
      <c r="B74" s="31"/>
      <c r="C74" s="31"/>
      <c r="D74" s="31"/>
      <c r="E74" s="31"/>
      <c r="F74" s="31"/>
      <c r="G74" s="31"/>
      <c r="H74" s="31"/>
      <c r="I74" s="31"/>
      <c r="J74" s="31"/>
      <c r="K74" s="31"/>
      <c r="L74" s="31"/>
      <c r="M74" s="31"/>
      <c r="N74" s="31"/>
      <c r="O74" s="31"/>
      <c r="P74" s="31"/>
      <c r="Q74" s="31"/>
      <c r="R74" s="31"/>
      <c r="S74" s="31"/>
      <c r="T74" s="31"/>
      <c r="U74" s="31"/>
    </row>
    <row r="75" spans="1:21" ht="6" customHeight="1" x14ac:dyDescent="0.25"/>
    <row r="76" spans="1:21" ht="18" customHeight="1" x14ac:dyDescent="0.25">
      <c r="A76" s="36" t="s">
        <v>699</v>
      </c>
      <c r="B76" s="31"/>
      <c r="C76" s="31"/>
      <c r="D76" s="31"/>
      <c r="E76" s="31"/>
      <c r="F76" s="31"/>
      <c r="G76" s="31"/>
      <c r="H76" s="31"/>
      <c r="I76" s="31"/>
      <c r="J76" s="31"/>
      <c r="K76" s="31"/>
      <c r="L76" s="31"/>
      <c r="M76" s="31"/>
      <c r="N76" s="31"/>
      <c r="O76" s="31"/>
      <c r="P76" s="31"/>
      <c r="Q76" s="31"/>
      <c r="R76" s="31"/>
      <c r="S76" s="31"/>
      <c r="T76" s="31"/>
      <c r="U76" s="31"/>
    </row>
    <row r="77" spans="1:21" ht="21" customHeight="1" x14ac:dyDescent="0.25">
      <c r="A77" s="37" t="s">
        <v>743</v>
      </c>
      <c r="B77" s="31"/>
      <c r="C77" s="31"/>
      <c r="D77" s="31"/>
      <c r="E77" s="31"/>
      <c r="F77" s="31"/>
      <c r="G77" s="31"/>
      <c r="H77" s="31"/>
      <c r="I77" s="31"/>
      <c r="J77" s="31"/>
      <c r="K77" s="31"/>
      <c r="L77" s="31"/>
      <c r="M77" s="31"/>
      <c r="N77" s="31"/>
      <c r="O77" s="31"/>
      <c r="P77" s="31"/>
      <c r="Q77" s="31"/>
      <c r="R77" s="31"/>
      <c r="S77" s="31"/>
      <c r="T77" s="31"/>
      <c r="U77" s="31"/>
    </row>
    <row r="78" spans="1:21" ht="6" customHeight="1" x14ac:dyDescent="0.25"/>
    <row r="81" spans="1:21" x14ac:dyDescent="0.25">
      <c r="A81" s="40" t="s">
        <v>744</v>
      </c>
      <c r="B81" s="31"/>
      <c r="C81" s="31"/>
      <c r="D81" s="31"/>
      <c r="E81" s="31"/>
      <c r="F81" s="31"/>
      <c r="G81" s="31"/>
      <c r="H81" s="31"/>
      <c r="I81" s="31"/>
      <c r="J81" s="31"/>
      <c r="K81" s="31"/>
      <c r="L81" s="31"/>
      <c r="M81" s="31"/>
      <c r="N81" s="31"/>
      <c r="O81" s="31"/>
      <c r="P81" s="31"/>
      <c r="Q81" s="31"/>
      <c r="R81" s="31"/>
      <c r="S81" s="31"/>
      <c r="T81" s="31"/>
      <c r="U81" s="31"/>
    </row>
  </sheetData>
  <mergeCells count="30">
    <mergeCell ref="A81:U81"/>
    <mergeCell ref="A68:U68"/>
    <mergeCell ref="A58:U58"/>
    <mergeCell ref="A40:U40"/>
    <mergeCell ref="A67:U67"/>
    <mergeCell ref="A77:U77"/>
    <mergeCell ref="A64:U64"/>
    <mergeCell ref="A59:U59"/>
    <mergeCell ref="A73:U73"/>
    <mergeCell ref="A49:U49"/>
    <mergeCell ref="A70:U70"/>
    <mergeCell ref="A61:U61"/>
    <mergeCell ref="A76:U76"/>
    <mergeCell ref="A33:U33"/>
    <mergeCell ref="A71:U71"/>
    <mergeCell ref="A47:U47"/>
    <mergeCell ref="A42:U42"/>
    <mergeCell ref="A53:U53"/>
    <mergeCell ref="A62:U62"/>
    <mergeCell ref="A52:U52"/>
    <mergeCell ref="A43:U43"/>
    <mergeCell ref="A39:U39"/>
    <mergeCell ref="A34:U34"/>
    <mergeCell ref="A36:U36"/>
    <mergeCell ref="A65:U65"/>
    <mergeCell ref="A37:U37"/>
    <mergeCell ref="A74:U74"/>
    <mergeCell ref="A56:U56"/>
    <mergeCell ref="A55:U55"/>
    <mergeCell ref="A50:U50"/>
  </mergeCells>
  <dataValidations count="10">
    <dataValidation type="list" allowBlank="1" errorTitle="Valore non valido" error="Seleziona dalla lista." promptTitle="Author" prompt="Autore della codifica." sqref="B5:B30" xr:uid="{00000000-0002-0000-0600-000000000000}">
      <formula1>Author_Name</formula1>
    </dataValidation>
    <dataValidation type="list" allowBlank="1" errorTitle="Valore non valido" error="Seleziona dalla lista, oppure lascia vuoto." promptTitle="In Place" sqref="D5:D30" xr:uid="{00000000-0002-0000-0600-000001000000}">
      <formula1>InPl_Name</formula1>
    </dataValidation>
    <dataValidation type="list" allowBlank="1" errorTitle="Valore non valido" error="Seleziona dalla lista." promptTitle="Famiglia di sistema" prompt="Famiglia di sistema Revit." sqref="F5:F30" xr:uid="{00000000-0002-0000-0600-000002000000}">
      <formula1>RN_Cat_Name</formula1>
    </dataValidation>
    <dataValidation type="list" allowBlank="1" errorTitle="Valore non valido" error="Seleziona dalla lista." promptTitle="Group1" prompt="Come è portata la rampa." sqref="H5:H30" xr:uid="{00000000-0002-0000-0600-000003000000}">
      <formula1>RN_G1_Name</formula1>
    </dataValidation>
    <dataValidation type="list" allowBlank="1" errorTitle="Valore non valido" error="Seleziona dalla lista." promptTitle="Group2" prompt="Configurazione del piano di calpestio." sqref="K5:K30" xr:uid="{00000000-0002-0000-0600-000004000000}">
      <formula1>RN_G2_Name</formula1>
    </dataValidation>
    <dataValidation type="custom" allowBlank="1" errorTitle="Non valido" error="Inserisci un intero tra 0 e 99, oppure XX se i tipi non sono ancora definiti. Se Group1 è Other compila il Type Mark manuale." promptTitle="TM sequenza" prompt="Due cifre da 0 a 99. Distingue le varianti di stesso Group1 e stesso Group2. Tipo non ancora definito → XX. Non si compila con Group1 = OT." sqref="M5:M30" xr:uid="{00000000-0002-0000-0600-000005000000}">
      <formula1>AND($I5&lt;&gt;"OT",OR(UPPER($M5)="XX",AND(ISNUMBER($M5),$M5&gt;=0,$M5&lt;=99,$M5=INT($M5))))</formula1>
    </dataValidation>
    <dataValidation type="custom" allowBlank="1" errorTitle="Non ammesso qui" error="Si usa solo quando Group1 è Other." promptTitle="Type Mark manuale" prompt="Solo con Group1 = OT. Sostituisce tutto il Type Mark, prefisso di categoria compreso. Finiture → prefisso materiale + tre cifre: PT-001, WD-001, MT-001." sqref="N5:N30" xr:uid="{00000000-0002-0000-0600-000006000000}">
      <formula1>$I5="OT"</formula1>
    </dataValidation>
    <dataValidation type="decimal" operator="greaterThan" allowBlank="1" errorTitle="Non valido" error="Inserisci un valore maggiore di 0." promptTitle="Thickness mm" prompt="Spessore totale in mm." sqref="P5:P30" xr:uid="{00000000-0002-0000-0600-000007000000}">
      <formula1>0</formula1>
    </dataValidation>
    <dataValidation type="list" allowBlank="1" errorTitle="Non ammesso qui" error="Si compila solo sulle rampe monolitiche (MR), dove l’intradosso esiste come superficie." promptTitle="Underside surface" prompt="Facoltativo. Parametro di tipo Underside Surface: SM smooth, ST stepped. Solo su Monolithic Run." sqref="Q5:Q30" xr:uid="{00000000-0002-0000-0600-000008000000}">
      <formula1>INDIRECT($V5)</formula1>
    </dataValidation>
    <dataValidation type="textLength" operator="lessThanOrEqual" allowBlank="1" errorTitle="Troppo lunga" error="Massimo 40 caratteri." promptTitle="Description" prompt="Facoltativa. Solo se aggiunge un’informazione non già nei codici: destinazione, posizione, o ciò che distingue due tipi altrimenti identici. Senza spazi, iniziali maiuscole, massimo 40 caratteri, senza accenti." sqref="S5:S30" xr:uid="{00000000-0002-0000-0600-000009000000}">
      <formula1>40</formula1>
    </dataValidation>
  </dataValidation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U78"/>
  <sheetViews>
    <sheetView showGridLines="0" workbookViewId="0">
      <pane ySplit="4" topLeftCell="A5" activePane="bottomLeft" state="frozen"/>
      <selection pane="bottomLeft"/>
    </sheetView>
  </sheetViews>
  <sheetFormatPr defaultRowHeight="15" x14ac:dyDescent="0.25"/>
  <cols>
    <col min="1" max="1" width="3" customWidth="1"/>
    <col min="2" max="2" width="15" customWidth="1"/>
    <col min="3" max="3" width="5" customWidth="1"/>
    <col min="4" max="4" width="10" customWidth="1"/>
    <col min="5" max="5" width="4" customWidth="1"/>
    <col min="6" max="6" width="17" customWidth="1"/>
    <col min="7" max="7" width="4" customWidth="1"/>
    <col min="8" max="8" width="15" customWidth="1"/>
    <col min="9" max="9" width="4" customWidth="1"/>
    <col min="10" max="10" width="6" customWidth="1"/>
    <col min="11" max="11" width="15" customWidth="1"/>
    <col min="12" max="12" width="4" customWidth="1"/>
    <col min="13" max="13" width="12" customWidth="1"/>
    <col min="14" max="14" width="19" customWidth="1"/>
    <col min="15" max="15" width="12" customWidth="1"/>
    <col min="16" max="16" width="10" customWidth="1"/>
    <col min="17" max="17" width="13" customWidth="1"/>
    <col min="18" max="18" width="4" customWidth="1"/>
    <col min="19" max="19" width="22" customWidth="1"/>
    <col min="20" max="20" width="12" customWidth="1"/>
    <col min="21" max="21" width="40" customWidth="1"/>
  </cols>
  <sheetData>
    <row r="1" spans="1:21" ht="19.5" x14ac:dyDescent="0.3">
      <c r="A1" s="6" t="s">
        <v>802</v>
      </c>
    </row>
    <row r="2" spans="1:21" x14ac:dyDescent="0.25">
      <c r="A2" s="7" t="s">
        <v>680</v>
      </c>
    </row>
    <row r="3" spans="1:21" x14ac:dyDescent="0.25">
      <c r="A3" s="8" t="s">
        <v>803</v>
      </c>
    </row>
    <row r="4" spans="1:21" ht="30" customHeight="1" x14ac:dyDescent="0.25">
      <c r="A4" s="9" t="s">
        <v>682</v>
      </c>
      <c r="B4" s="9" t="s">
        <v>70</v>
      </c>
      <c r="C4" s="9" t="s">
        <v>683</v>
      </c>
      <c r="D4" s="10" t="s">
        <v>84</v>
      </c>
      <c r="E4" s="9" t="s">
        <v>83</v>
      </c>
      <c r="F4" s="9" t="s">
        <v>684</v>
      </c>
      <c r="G4" s="9" t="s">
        <v>685</v>
      </c>
      <c r="H4" s="9" t="s">
        <v>686</v>
      </c>
      <c r="I4" s="9" t="s">
        <v>687</v>
      </c>
      <c r="J4" s="9" t="s">
        <v>688</v>
      </c>
      <c r="K4" s="9" t="s">
        <v>689</v>
      </c>
      <c r="L4" s="9" t="s">
        <v>690</v>
      </c>
      <c r="M4" s="9" t="s">
        <v>692</v>
      </c>
      <c r="N4" s="9" t="s">
        <v>693</v>
      </c>
      <c r="O4" s="9" t="s">
        <v>694</v>
      </c>
      <c r="P4" s="9" t="s">
        <v>695</v>
      </c>
      <c r="Q4" s="10" t="s">
        <v>804</v>
      </c>
      <c r="R4" s="9" t="s">
        <v>805</v>
      </c>
      <c r="S4" s="10" t="s">
        <v>699</v>
      </c>
      <c r="T4" s="9" t="s">
        <v>700</v>
      </c>
      <c r="U4" s="9" t="s">
        <v>701</v>
      </c>
    </row>
    <row r="5" spans="1:21" x14ac:dyDescent="0.25">
      <c r="A5" s="11" t="s">
        <v>704</v>
      </c>
      <c r="B5" s="12" t="s">
        <v>80</v>
      </c>
      <c r="C5" s="13" t="str">
        <f t="shared" ref="C5:C30" si="0">IFERROR(INDEX(Author_Code,MATCH($B5,Author_Name,0)),"")</f>
        <v>e</v>
      </c>
      <c r="D5" s="14"/>
      <c r="E5" s="13" t="str">
        <f t="shared" ref="E5:E30" si="1">IFERROR(INDEX(InPl_Code,MATCH($D5,InPl_Name,0)),"")</f>
        <v/>
      </c>
      <c r="F5" s="12" t="s">
        <v>391</v>
      </c>
      <c r="G5" s="13" t="str">
        <f t="shared" ref="G5:G30" si="2">IFERROR(INDEX(LN_Cat_Code,MATCH($F5,LN_Cat_Name,0)),"")</f>
        <v>ML</v>
      </c>
      <c r="H5" s="12" t="s">
        <v>172</v>
      </c>
      <c r="I5" s="13" t="str">
        <f t="shared" ref="I5:I30" si="3">IFERROR(INDEX(LN_G1_Code,MATCH($H5,LN_G1_Name,0)),"")</f>
        <v>MN</v>
      </c>
      <c r="J5" s="13" t="str">
        <f t="shared" ref="J5:J30" si="4">IFERROR(LEFT(INDEX(LN_G1_TM,MATCH($H5,LN_G1_Name,0)),1),"")</f>
        <v>1</v>
      </c>
      <c r="K5" s="12" t="s">
        <v>137</v>
      </c>
      <c r="L5" s="13" t="str">
        <f t="shared" ref="L5:L30" si="5">IFERROR(INDEX(LN_G2_Code,MATCH($K5,LN_G2_Name,0)),"")</f>
        <v>SD</v>
      </c>
      <c r="M5" s="12">
        <v>1</v>
      </c>
      <c r="N5" s="15"/>
      <c r="O5" s="13" t="str">
        <f t="shared" ref="O5:O30" si="6">IF($I5="OT",$N5,IF(OR($G5="",$J5="",$M5=""),"",$G5&amp;"-"&amp;$J5&amp;IF(UPPER($M5)="XX","XX",TEXT($M5,"00"))))</f>
        <v>ML-101</v>
      </c>
      <c r="P5" s="12"/>
      <c r="Q5" s="14" t="s">
        <v>131</v>
      </c>
      <c r="R5" s="13" t="str">
        <f t="shared" ref="R5:R30" si="7">IFERROR(INDEX(LNsh_Code,MATCH($Q5,LNsh_Name,0))&amp;"","")</f>
        <v>SR</v>
      </c>
      <c r="S5" s="16"/>
      <c r="T5" s="13" t="str">
        <f t="shared" ref="T5:T30" si="8">$G5&amp;IF($I5&lt;&gt;"","."&amp;$I5,"")&amp;IF($L5&lt;&gt;"","."&amp;$L5,"")</f>
        <v>ML.MN.SD</v>
      </c>
      <c r="U5" s="17" t="str">
        <f t="shared" ref="U5:U30" si="9">IF(AND($F5&lt;&gt;"",$H5&lt;&gt;"",$O5&lt;&gt;"",OR($R5&lt;&gt;"",AND($P5&lt;&gt;""))),$C5&amp;"_"&amp;$O5&amp;"_"&amp;$E5&amp;$T5&amp;"_"&amp;IF($R5&lt;&gt;"",$R5,"T"&amp;TEXT($P5,"0"))&amp;IF($S5&lt;&gt;"","_"&amp;$S5,""),"")</f>
        <v>e_ML-101_ML.MN.SD_SR</v>
      </c>
    </row>
    <row r="6" spans="1:21" x14ac:dyDescent="0.25">
      <c r="A6" s="11" t="s">
        <v>705</v>
      </c>
      <c r="B6" s="12" t="s">
        <v>80</v>
      </c>
      <c r="C6" s="13" t="str">
        <f t="shared" si="0"/>
        <v>e</v>
      </c>
      <c r="D6" s="14"/>
      <c r="E6" s="13" t="str">
        <f t="shared" si="1"/>
        <v/>
      </c>
      <c r="F6" s="12" t="s">
        <v>391</v>
      </c>
      <c r="G6" s="13" t="str">
        <f t="shared" si="2"/>
        <v>ML</v>
      </c>
      <c r="H6" s="12" t="s">
        <v>172</v>
      </c>
      <c r="I6" s="13" t="str">
        <f t="shared" si="3"/>
        <v>MN</v>
      </c>
      <c r="J6" s="13" t="str">
        <f t="shared" si="4"/>
        <v>1</v>
      </c>
      <c r="K6" s="12" t="s">
        <v>137</v>
      </c>
      <c r="L6" s="13" t="str">
        <f t="shared" si="5"/>
        <v>SD</v>
      </c>
      <c r="M6" s="12">
        <v>2</v>
      </c>
      <c r="N6" s="15"/>
      <c r="O6" s="13" t="str">
        <f t="shared" si="6"/>
        <v>ML-102</v>
      </c>
      <c r="P6" s="12">
        <v>200</v>
      </c>
      <c r="Q6" s="14" t="s">
        <v>129</v>
      </c>
      <c r="R6" s="13" t="str">
        <f t="shared" si="7"/>
        <v/>
      </c>
      <c r="S6" s="16"/>
      <c r="T6" s="13" t="str">
        <f t="shared" si="8"/>
        <v>ML.MN.SD</v>
      </c>
      <c r="U6" s="17" t="str">
        <f t="shared" si="9"/>
        <v>e_ML-102_ML.MN.SD_T200</v>
      </c>
    </row>
    <row r="7" spans="1:21" x14ac:dyDescent="0.25">
      <c r="A7" s="11" t="s">
        <v>707</v>
      </c>
      <c r="B7" s="12" t="s">
        <v>80</v>
      </c>
      <c r="C7" s="13" t="str">
        <f t="shared" si="0"/>
        <v>e</v>
      </c>
      <c r="D7" s="14"/>
      <c r="E7" s="13" t="str">
        <f t="shared" si="1"/>
        <v/>
      </c>
      <c r="F7" s="12" t="s">
        <v>391</v>
      </c>
      <c r="G7" s="13" t="str">
        <f t="shared" si="2"/>
        <v>ML</v>
      </c>
      <c r="H7" s="12" t="s">
        <v>172</v>
      </c>
      <c r="I7" s="13" t="str">
        <f t="shared" si="3"/>
        <v>MN</v>
      </c>
      <c r="J7" s="13" t="str">
        <f t="shared" si="4"/>
        <v>1</v>
      </c>
      <c r="K7" s="12" t="s">
        <v>396</v>
      </c>
      <c r="L7" s="13" t="str">
        <f t="shared" si="5"/>
        <v>FN</v>
      </c>
      <c r="M7" s="12">
        <v>3</v>
      </c>
      <c r="N7" s="15"/>
      <c r="O7" s="13" t="str">
        <f t="shared" si="6"/>
        <v>ML-103</v>
      </c>
      <c r="P7" s="12">
        <v>220</v>
      </c>
      <c r="Q7" s="14" t="s">
        <v>129</v>
      </c>
      <c r="R7" s="13" t="str">
        <f t="shared" si="7"/>
        <v/>
      </c>
      <c r="S7" s="16"/>
      <c r="T7" s="13" t="str">
        <f t="shared" si="8"/>
        <v>ML.MN.FN</v>
      </c>
      <c r="U7" s="17" t="str">
        <f t="shared" si="9"/>
        <v>e_ML-103_ML.MN.FN_T220</v>
      </c>
    </row>
    <row r="8" spans="1:21" x14ac:dyDescent="0.25">
      <c r="A8" s="11" t="s">
        <v>709</v>
      </c>
      <c r="B8" s="12" t="s">
        <v>80</v>
      </c>
      <c r="C8" s="13" t="str">
        <f t="shared" si="0"/>
        <v>e</v>
      </c>
      <c r="D8" s="14"/>
      <c r="E8" s="13" t="str">
        <f t="shared" si="1"/>
        <v/>
      </c>
      <c r="F8" s="12" t="s">
        <v>391</v>
      </c>
      <c r="G8" s="13" t="str">
        <f t="shared" si="2"/>
        <v>ML</v>
      </c>
      <c r="H8" s="12" t="s">
        <v>172</v>
      </c>
      <c r="I8" s="13" t="str">
        <f t="shared" si="3"/>
        <v>MN</v>
      </c>
      <c r="J8" s="13" t="str">
        <f t="shared" si="4"/>
        <v>1</v>
      </c>
      <c r="K8" s="12" t="s">
        <v>137</v>
      </c>
      <c r="L8" s="13" t="str">
        <f t="shared" si="5"/>
        <v>SD</v>
      </c>
      <c r="M8" s="12">
        <v>4</v>
      </c>
      <c r="N8" s="15"/>
      <c r="O8" s="13" t="str">
        <f t="shared" si="6"/>
        <v>ML-104</v>
      </c>
      <c r="P8" s="12"/>
      <c r="Q8" s="14" t="s">
        <v>131</v>
      </c>
      <c r="R8" s="13" t="str">
        <f t="shared" si="7"/>
        <v>SR</v>
      </c>
      <c r="S8" s="16" t="s">
        <v>418</v>
      </c>
      <c r="T8" s="13" t="str">
        <f t="shared" si="8"/>
        <v>ML.MN.SD</v>
      </c>
      <c r="U8" s="17" t="str">
        <f t="shared" si="9"/>
        <v>e_ML-104_ML.MN.SD_SR_Escape</v>
      </c>
    </row>
    <row r="9" spans="1:21" x14ac:dyDescent="0.25">
      <c r="A9" s="11" t="s">
        <v>711</v>
      </c>
      <c r="B9" s="12" t="s">
        <v>80</v>
      </c>
      <c r="C9" s="13" t="str">
        <f t="shared" si="0"/>
        <v>e</v>
      </c>
      <c r="D9" s="14"/>
      <c r="E9" s="13" t="str">
        <f t="shared" si="1"/>
        <v/>
      </c>
      <c r="F9" s="12" t="s">
        <v>391</v>
      </c>
      <c r="G9" s="13" t="str">
        <f t="shared" si="2"/>
        <v>ML</v>
      </c>
      <c r="H9" s="12" t="s">
        <v>151</v>
      </c>
      <c r="I9" s="13" t="str">
        <f t="shared" si="3"/>
        <v>GN</v>
      </c>
      <c r="J9" s="13" t="str">
        <f t="shared" si="4"/>
        <v>0</v>
      </c>
      <c r="K9" s="12" t="s">
        <v>137</v>
      </c>
      <c r="L9" s="13" t="str">
        <f t="shared" si="5"/>
        <v>SD</v>
      </c>
      <c r="M9" s="12">
        <v>1</v>
      </c>
      <c r="N9" s="15"/>
      <c r="O9" s="13" t="str">
        <f t="shared" si="6"/>
        <v>ML-001</v>
      </c>
      <c r="P9" s="12">
        <v>200</v>
      </c>
      <c r="Q9" s="14" t="s">
        <v>129</v>
      </c>
      <c r="R9" s="13" t="str">
        <f t="shared" si="7"/>
        <v/>
      </c>
      <c r="S9" s="16"/>
      <c r="T9" s="13" t="str">
        <f t="shared" si="8"/>
        <v>ML.GN.SD</v>
      </c>
      <c r="U9" s="17" t="str">
        <f t="shared" si="9"/>
        <v>e_ML-001_ML.GN.SD_T200</v>
      </c>
    </row>
    <row r="10" spans="1:21" x14ac:dyDescent="0.25">
      <c r="A10" s="11" t="s">
        <v>712</v>
      </c>
      <c r="B10" s="12" t="s">
        <v>80</v>
      </c>
      <c r="C10" s="13" t="str">
        <f t="shared" si="0"/>
        <v>e</v>
      </c>
      <c r="D10" s="14"/>
      <c r="E10" s="13" t="str">
        <f t="shared" si="1"/>
        <v/>
      </c>
      <c r="F10" s="12" t="s">
        <v>394</v>
      </c>
      <c r="G10" s="13" t="str">
        <f t="shared" si="2"/>
        <v>NL</v>
      </c>
      <c r="H10" s="12" t="s">
        <v>223</v>
      </c>
      <c r="I10" s="13" t="str">
        <f t="shared" si="3"/>
        <v>PC</v>
      </c>
      <c r="J10" s="13" t="str">
        <f t="shared" si="4"/>
        <v>2</v>
      </c>
      <c r="K10" s="12" t="s">
        <v>137</v>
      </c>
      <c r="L10" s="13" t="str">
        <f t="shared" si="5"/>
        <v>SD</v>
      </c>
      <c r="M10" s="12">
        <v>1</v>
      </c>
      <c r="N10" s="15"/>
      <c r="O10" s="13" t="str">
        <f t="shared" si="6"/>
        <v>NL-201</v>
      </c>
      <c r="P10" s="12">
        <v>160</v>
      </c>
      <c r="Q10" s="14" t="s">
        <v>129</v>
      </c>
      <c r="R10" s="13" t="str">
        <f t="shared" si="7"/>
        <v/>
      </c>
      <c r="S10" s="16"/>
      <c r="T10" s="13" t="str">
        <f t="shared" si="8"/>
        <v>NL.PC.SD</v>
      </c>
      <c r="U10" s="17" t="str">
        <f t="shared" si="9"/>
        <v>e_NL-201_NL.PC.SD_T160</v>
      </c>
    </row>
    <row r="11" spans="1:21" x14ac:dyDescent="0.25">
      <c r="A11" s="11" t="s">
        <v>713</v>
      </c>
      <c r="B11" s="12" t="s">
        <v>80</v>
      </c>
      <c r="C11" s="13" t="str">
        <f t="shared" si="0"/>
        <v>e</v>
      </c>
      <c r="D11" s="14"/>
      <c r="E11" s="13" t="str">
        <f t="shared" si="1"/>
        <v/>
      </c>
      <c r="F11" s="12" t="s">
        <v>394</v>
      </c>
      <c r="G11" s="13" t="str">
        <f t="shared" si="2"/>
        <v>NL</v>
      </c>
      <c r="H11" s="12" t="s">
        <v>223</v>
      </c>
      <c r="I11" s="13" t="str">
        <f t="shared" si="3"/>
        <v>PC</v>
      </c>
      <c r="J11" s="13" t="str">
        <f t="shared" si="4"/>
        <v>2</v>
      </c>
      <c r="K11" s="12" t="s">
        <v>396</v>
      </c>
      <c r="L11" s="13" t="str">
        <f t="shared" si="5"/>
        <v>FN</v>
      </c>
      <c r="M11" s="12">
        <v>2</v>
      </c>
      <c r="N11" s="15"/>
      <c r="O11" s="13" t="str">
        <f t="shared" si="6"/>
        <v>NL-202</v>
      </c>
      <c r="P11" s="12">
        <v>180</v>
      </c>
      <c r="Q11" s="14" t="s">
        <v>129</v>
      </c>
      <c r="R11" s="13" t="str">
        <f t="shared" si="7"/>
        <v/>
      </c>
      <c r="S11" s="16"/>
      <c r="T11" s="13" t="str">
        <f t="shared" si="8"/>
        <v>NL.PC.FN</v>
      </c>
      <c r="U11" s="17" t="str">
        <f t="shared" si="9"/>
        <v>e_NL-202_NL.PC.FN_T180</v>
      </c>
    </row>
    <row r="12" spans="1:21" x14ac:dyDescent="0.25">
      <c r="A12" s="11" t="s">
        <v>715</v>
      </c>
      <c r="B12" s="12" t="s">
        <v>80</v>
      </c>
      <c r="C12" s="13" t="str">
        <f t="shared" si="0"/>
        <v>e</v>
      </c>
      <c r="D12" s="14"/>
      <c r="E12" s="13" t="str">
        <f t="shared" si="1"/>
        <v/>
      </c>
      <c r="F12" s="12" t="s">
        <v>394</v>
      </c>
      <c r="G12" s="13" t="str">
        <f t="shared" si="2"/>
        <v>NL</v>
      </c>
      <c r="H12" s="12" t="s">
        <v>158</v>
      </c>
      <c r="I12" s="13" t="str">
        <f t="shared" si="3"/>
        <v>FR</v>
      </c>
      <c r="J12" s="13" t="str">
        <f t="shared" si="4"/>
        <v>3</v>
      </c>
      <c r="K12" s="12" t="s">
        <v>396</v>
      </c>
      <c r="L12" s="13" t="str">
        <f t="shared" si="5"/>
        <v>FN</v>
      </c>
      <c r="M12" s="12">
        <v>1</v>
      </c>
      <c r="N12" s="15"/>
      <c r="O12" s="13" t="str">
        <f t="shared" si="6"/>
        <v>NL-301</v>
      </c>
      <c r="P12" s="12">
        <v>80</v>
      </c>
      <c r="Q12" s="14" t="s">
        <v>129</v>
      </c>
      <c r="R12" s="13" t="str">
        <f t="shared" si="7"/>
        <v/>
      </c>
      <c r="S12" s="16"/>
      <c r="T12" s="13" t="str">
        <f t="shared" si="8"/>
        <v>NL.FR.FN</v>
      </c>
      <c r="U12" s="17" t="str">
        <f t="shared" si="9"/>
        <v>e_NL-301_NL.FR.FN_T80</v>
      </c>
    </row>
    <row r="13" spans="1:21" x14ac:dyDescent="0.25">
      <c r="A13" s="11" t="s">
        <v>716</v>
      </c>
      <c r="B13" s="12" t="s">
        <v>80</v>
      </c>
      <c r="C13" s="13" t="str">
        <f t="shared" si="0"/>
        <v>e</v>
      </c>
      <c r="D13" s="14"/>
      <c r="E13" s="13" t="str">
        <f t="shared" si="1"/>
        <v/>
      </c>
      <c r="F13" s="12" t="s">
        <v>394</v>
      </c>
      <c r="G13" s="13" t="str">
        <f t="shared" si="2"/>
        <v>NL</v>
      </c>
      <c r="H13" s="12" t="s">
        <v>158</v>
      </c>
      <c r="I13" s="13" t="str">
        <f t="shared" si="3"/>
        <v>FR</v>
      </c>
      <c r="J13" s="13" t="str">
        <f t="shared" si="4"/>
        <v>3</v>
      </c>
      <c r="K13" s="12" t="s">
        <v>375</v>
      </c>
      <c r="L13" s="13" t="str">
        <f t="shared" si="5"/>
        <v>GT</v>
      </c>
      <c r="M13" s="12">
        <v>2</v>
      </c>
      <c r="N13" s="15"/>
      <c r="O13" s="13" t="str">
        <f t="shared" si="6"/>
        <v>NL-302</v>
      </c>
      <c r="P13" s="12">
        <v>40</v>
      </c>
      <c r="Q13" s="14" t="s">
        <v>129</v>
      </c>
      <c r="R13" s="13" t="str">
        <f t="shared" si="7"/>
        <v/>
      </c>
      <c r="S13" s="16" t="s">
        <v>793</v>
      </c>
      <c r="T13" s="13" t="str">
        <f t="shared" si="8"/>
        <v>NL.FR.GT</v>
      </c>
      <c r="U13" s="17" t="str">
        <f t="shared" si="9"/>
        <v>e_NL-302_NL.FR.GT_T40_TechnicalAccess</v>
      </c>
    </row>
    <row r="14" spans="1:21" x14ac:dyDescent="0.25">
      <c r="A14" s="11" t="s">
        <v>717</v>
      </c>
      <c r="B14" s="12" t="s">
        <v>80</v>
      </c>
      <c r="C14" s="13" t="str">
        <f t="shared" si="0"/>
        <v>e</v>
      </c>
      <c r="D14" s="14"/>
      <c r="E14" s="13" t="str">
        <f t="shared" si="1"/>
        <v/>
      </c>
      <c r="F14" s="12" t="s">
        <v>394</v>
      </c>
      <c r="G14" s="13" t="str">
        <f t="shared" si="2"/>
        <v>NL</v>
      </c>
      <c r="H14" s="12" t="s">
        <v>158</v>
      </c>
      <c r="I14" s="13" t="str">
        <f t="shared" si="3"/>
        <v>FR</v>
      </c>
      <c r="J14" s="13" t="str">
        <f t="shared" si="4"/>
        <v>3</v>
      </c>
      <c r="K14" s="12" t="s">
        <v>137</v>
      </c>
      <c r="L14" s="13" t="str">
        <f t="shared" si="5"/>
        <v>SD</v>
      </c>
      <c r="M14" s="12">
        <v>3</v>
      </c>
      <c r="N14" s="15"/>
      <c r="O14" s="13" t="str">
        <f t="shared" si="6"/>
        <v>NL-303</v>
      </c>
      <c r="P14" s="12">
        <v>90</v>
      </c>
      <c r="Q14" s="14" t="s">
        <v>129</v>
      </c>
      <c r="R14" s="13" t="str">
        <f t="shared" si="7"/>
        <v/>
      </c>
      <c r="S14" s="16"/>
      <c r="T14" s="13" t="str">
        <f t="shared" si="8"/>
        <v>NL.FR.SD</v>
      </c>
      <c r="U14" s="17" t="str">
        <f t="shared" si="9"/>
        <v>e_NL-303_NL.FR.SD_T90</v>
      </c>
    </row>
    <row r="15" spans="1:21" x14ac:dyDescent="0.25">
      <c r="A15" s="11" t="s">
        <v>719</v>
      </c>
      <c r="B15" s="12" t="s">
        <v>80</v>
      </c>
      <c r="C15" s="13" t="str">
        <f t="shared" si="0"/>
        <v>e</v>
      </c>
      <c r="D15" s="14" t="s">
        <v>84</v>
      </c>
      <c r="E15" s="13" t="str">
        <f t="shared" si="1"/>
        <v>(I)</v>
      </c>
      <c r="F15" s="12" t="s">
        <v>391</v>
      </c>
      <c r="G15" s="13" t="str">
        <f t="shared" si="2"/>
        <v>ML</v>
      </c>
      <c r="H15" s="12" t="s">
        <v>172</v>
      </c>
      <c r="I15" s="13" t="str">
        <f t="shared" si="3"/>
        <v>MN</v>
      </c>
      <c r="J15" s="13" t="str">
        <f t="shared" si="4"/>
        <v>1</v>
      </c>
      <c r="K15" s="12" t="s">
        <v>137</v>
      </c>
      <c r="L15" s="13" t="str">
        <f t="shared" si="5"/>
        <v>SD</v>
      </c>
      <c r="M15" s="12">
        <v>1</v>
      </c>
      <c r="N15" s="15"/>
      <c r="O15" s="13" t="str">
        <f t="shared" si="6"/>
        <v>ML-101</v>
      </c>
      <c r="P15" s="12"/>
      <c r="Q15" s="14" t="s">
        <v>131</v>
      </c>
      <c r="R15" s="13" t="str">
        <f t="shared" si="7"/>
        <v>SR</v>
      </c>
      <c r="S15" s="16"/>
      <c r="T15" s="13" t="str">
        <f t="shared" si="8"/>
        <v>ML.MN.SD</v>
      </c>
      <c r="U15" s="17" t="str">
        <f t="shared" si="9"/>
        <v>e_ML-101_(I)ML.MN.SD_SR</v>
      </c>
    </row>
    <row r="16" spans="1:21" x14ac:dyDescent="0.25">
      <c r="A16" s="19">
        <v>1</v>
      </c>
      <c r="B16" s="20"/>
      <c r="C16" s="21" t="str">
        <f t="shared" si="0"/>
        <v/>
      </c>
      <c r="D16" s="22"/>
      <c r="E16" s="21" t="str">
        <f t="shared" si="1"/>
        <v/>
      </c>
      <c r="F16" s="20"/>
      <c r="G16" s="21" t="str">
        <f t="shared" si="2"/>
        <v/>
      </c>
      <c r="H16" s="20"/>
      <c r="I16" s="21" t="str">
        <f t="shared" si="3"/>
        <v/>
      </c>
      <c r="J16" s="21" t="str">
        <f t="shared" si="4"/>
        <v/>
      </c>
      <c r="K16" s="20"/>
      <c r="L16" s="21" t="str">
        <f t="shared" si="5"/>
        <v/>
      </c>
      <c r="M16" s="20"/>
      <c r="N16" s="23"/>
      <c r="O16" s="21" t="str">
        <f t="shared" si="6"/>
        <v/>
      </c>
      <c r="P16" s="20"/>
      <c r="Q16" s="22"/>
      <c r="R16" s="21" t="str">
        <f t="shared" si="7"/>
        <v/>
      </c>
      <c r="S16" s="24"/>
      <c r="T16" s="21" t="str">
        <f t="shared" si="8"/>
        <v/>
      </c>
      <c r="U16" s="25" t="str">
        <f t="shared" si="9"/>
        <v/>
      </c>
    </row>
    <row r="17" spans="1:21" x14ac:dyDescent="0.25">
      <c r="A17" s="19">
        <v>2</v>
      </c>
      <c r="B17" s="20"/>
      <c r="C17" s="21" t="str">
        <f t="shared" si="0"/>
        <v/>
      </c>
      <c r="D17" s="22"/>
      <c r="E17" s="21" t="str">
        <f t="shared" si="1"/>
        <v/>
      </c>
      <c r="F17" s="20"/>
      <c r="G17" s="21" t="str">
        <f t="shared" si="2"/>
        <v/>
      </c>
      <c r="H17" s="20"/>
      <c r="I17" s="21" t="str">
        <f t="shared" si="3"/>
        <v/>
      </c>
      <c r="J17" s="21" t="str">
        <f t="shared" si="4"/>
        <v/>
      </c>
      <c r="K17" s="20"/>
      <c r="L17" s="21" t="str">
        <f t="shared" si="5"/>
        <v/>
      </c>
      <c r="M17" s="20"/>
      <c r="N17" s="23"/>
      <c r="O17" s="21" t="str">
        <f t="shared" si="6"/>
        <v/>
      </c>
      <c r="P17" s="20"/>
      <c r="Q17" s="22"/>
      <c r="R17" s="21" t="str">
        <f t="shared" si="7"/>
        <v/>
      </c>
      <c r="S17" s="24"/>
      <c r="T17" s="21" t="str">
        <f t="shared" si="8"/>
        <v/>
      </c>
      <c r="U17" s="25" t="str">
        <f t="shared" si="9"/>
        <v/>
      </c>
    </row>
    <row r="18" spans="1:21" x14ac:dyDescent="0.25">
      <c r="A18" s="19">
        <v>3</v>
      </c>
      <c r="B18" s="20"/>
      <c r="C18" s="21" t="str">
        <f t="shared" si="0"/>
        <v/>
      </c>
      <c r="D18" s="22"/>
      <c r="E18" s="21" t="str">
        <f t="shared" si="1"/>
        <v/>
      </c>
      <c r="F18" s="20"/>
      <c r="G18" s="21" t="str">
        <f t="shared" si="2"/>
        <v/>
      </c>
      <c r="H18" s="20"/>
      <c r="I18" s="21" t="str">
        <f t="shared" si="3"/>
        <v/>
      </c>
      <c r="J18" s="21" t="str">
        <f t="shared" si="4"/>
        <v/>
      </c>
      <c r="K18" s="20"/>
      <c r="L18" s="21" t="str">
        <f t="shared" si="5"/>
        <v/>
      </c>
      <c r="M18" s="20"/>
      <c r="N18" s="23"/>
      <c r="O18" s="21" t="str">
        <f t="shared" si="6"/>
        <v/>
      </c>
      <c r="P18" s="20"/>
      <c r="Q18" s="22"/>
      <c r="R18" s="21" t="str">
        <f t="shared" si="7"/>
        <v/>
      </c>
      <c r="S18" s="24"/>
      <c r="T18" s="21" t="str">
        <f t="shared" si="8"/>
        <v/>
      </c>
      <c r="U18" s="25" t="str">
        <f t="shared" si="9"/>
        <v/>
      </c>
    </row>
    <row r="19" spans="1:21" x14ac:dyDescent="0.25">
      <c r="A19" s="19">
        <v>4</v>
      </c>
      <c r="B19" s="20"/>
      <c r="C19" s="21" t="str">
        <f t="shared" si="0"/>
        <v/>
      </c>
      <c r="D19" s="22"/>
      <c r="E19" s="21" t="str">
        <f t="shared" si="1"/>
        <v/>
      </c>
      <c r="F19" s="20"/>
      <c r="G19" s="21" t="str">
        <f t="shared" si="2"/>
        <v/>
      </c>
      <c r="H19" s="20"/>
      <c r="I19" s="21" t="str">
        <f t="shared" si="3"/>
        <v/>
      </c>
      <c r="J19" s="21" t="str">
        <f t="shared" si="4"/>
        <v/>
      </c>
      <c r="K19" s="20"/>
      <c r="L19" s="21" t="str">
        <f t="shared" si="5"/>
        <v/>
      </c>
      <c r="M19" s="20"/>
      <c r="N19" s="23"/>
      <c r="O19" s="21" t="str">
        <f t="shared" si="6"/>
        <v/>
      </c>
      <c r="P19" s="20"/>
      <c r="Q19" s="22"/>
      <c r="R19" s="21" t="str">
        <f t="shared" si="7"/>
        <v/>
      </c>
      <c r="S19" s="24"/>
      <c r="T19" s="21" t="str">
        <f t="shared" si="8"/>
        <v/>
      </c>
      <c r="U19" s="25" t="str">
        <f t="shared" si="9"/>
        <v/>
      </c>
    </row>
    <row r="20" spans="1:21" x14ac:dyDescent="0.25">
      <c r="A20" s="19">
        <v>5</v>
      </c>
      <c r="B20" s="20"/>
      <c r="C20" s="21" t="str">
        <f t="shared" si="0"/>
        <v/>
      </c>
      <c r="D20" s="22"/>
      <c r="E20" s="21" t="str">
        <f t="shared" si="1"/>
        <v/>
      </c>
      <c r="F20" s="20"/>
      <c r="G20" s="21" t="str">
        <f t="shared" si="2"/>
        <v/>
      </c>
      <c r="H20" s="20"/>
      <c r="I20" s="21" t="str">
        <f t="shared" si="3"/>
        <v/>
      </c>
      <c r="J20" s="21" t="str">
        <f t="shared" si="4"/>
        <v/>
      </c>
      <c r="K20" s="20"/>
      <c r="L20" s="21" t="str">
        <f t="shared" si="5"/>
        <v/>
      </c>
      <c r="M20" s="20"/>
      <c r="N20" s="23"/>
      <c r="O20" s="21" t="str">
        <f t="shared" si="6"/>
        <v/>
      </c>
      <c r="P20" s="20"/>
      <c r="Q20" s="22"/>
      <c r="R20" s="21" t="str">
        <f t="shared" si="7"/>
        <v/>
      </c>
      <c r="S20" s="24"/>
      <c r="T20" s="21" t="str">
        <f t="shared" si="8"/>
        <v/>
      </c>
      <c r="U20" s="25" t="str">
        <f t="shared" si="9"/>
        <v/>
      </c>
    </row>
    <row r="21" spans="1:21" x14ac:dyDescent="0.25">
      <c r="A21" s="19">
        <v>6</v>
      </c>
      <c r="B21" s="20"/>
      <c r="C21" s="21" t="str">
        <f t="shared" si="0"/>
        <v/>
      </c>
      <c r="D21" s="22"/>
      <c r="E21" s="21" t="str">
        <f t="shared" si="1"/>
        <v/>
      </c>
      <c r="F21" s="20"/>
      <c r="G21" s="21" t="str">
        <f t="shared" si="2"/>
        <v/>
      </c>
      <c r="H21" s="20"/>
      <c r="I21" s="21" t="str">
        <f t="shared" si="3"/>
        <v/>
      </c>
      <c r="J21" s="21" t="str">
        <f t="shared" si="4"/>
        <v/>
      </c>
      <c r="K21" s="20"/>
      <c r="L21" s="21" t="str">
        <f t="shared" si="5"/>
        <v/>
      </c>
      <c r="M21" s="20"/>
      <c r="N21" s="23"/>
      <c r="O21" s="21" t="str">
        <f t="shared" si="6"/>
        <v/>
      </c>
      <c r="P21" s="20"/>
      <c r="Q21" s="22"/>
      <c r="R21" s="21" t="str">
        <f t="shared" si="7"/>
        <v/>
      </c>
      <c r="S21" s="24"/>
      <c r="T21" s="21" t="str">
        <f t="shared" si="8"/>
        <v/>
      </c>
      <c r="U21" s="25" t="str">
        <f t="shared" si="9"/>
        <v/>
      </c>
    </row>
    <row r="22" spans="1:21" x14ac:dyDescent="0.25">
      <c r="A22" s="19">
        <v>7</v>
      </c>
      <c r="B22" s="20"/>
      <c r="C22" s="21" t="str">
        <f t="shared" si="0"/>
        <v/>
      </c>
      <c r="D22" s="22"/>
      <c r="E22" s="21" t="str">
        <f t="shared" si="1"/>
        <v/>
      </c>
      <c r="F22" s="20"/>
      <c r="G22" s="21" t="str">
        <f t="shared" si="2"/>
        <v/>
      </c>
      <c r="H22" s="20"/>
      <c r="I22" s="21" t="str">
        <f t="shared" si="3"/>
        <v/>
      </c>
      <c r="J22" s="21" t="str">
        <f t="shared" si="4"/>
        <v/>
      </c>
      <c r="K22" s="20"/>
      <c r="L22" s="21" t="str">
        <f t="shared" si="5"/>
        <v/>
      </c>
      <c r="M22" s="20"/>
      <c r="N22" s="23"/>
      <c r="O22" s="21" t="str">
        <f t="shared" si="6"/>
        <v/>
      </c>
      <c r="P22" s="20"/>
      <c r="Q22" s="22"/>
      <c r="R22" s="21" t="str">
        <f t="shared" si="7"/>
        <v/>
      </c>
      <c r="S22" s="24"/>
      <c r="T22" s="21" t="str">
        <f t="shared" si="8"/>
        <v/>
      </c>
      <c r="U22" s="25" t="str">
        <f t="shared" si="9"/>
        <v/>
      </c>
    </row>
    <row r="23" spans="1:21" x14ac:dyDescent="0.25">
      <c r="A23" s="19">
        <v>8</v>
      </c>
      <c r="B23" s="20"/>
      <c r="C23" s="21" t="str">
        <f t="shared" si="0"/>
        <v/>
      </c>
      <c r="D23" s="22"/>
      <c r="E23" s="21" t="str">
        <f t="shared" si="1"/>
        <v/>
      </c>
      <c r="F23" s="20"/>
      <c r="G23" s="21" t="str">
        <f t="shared" si="2"/>
        <v/>
      </c>
      <c r="H23" s="20"/>
      <c r="I23" s="21" t="str">
        <f t="shared" si="3"/>
        <v/>
      </c>
      <c r="J23" s="21" t="str">
        <f t="shared" si="4"/>
        <v/>
      </c>
      <c r="K23" s="20"/>
      <c r="L23" s="21" t="str">
        <f t="shared" si="5"/>
        <v/>
      </c>
      <c r="M23" s="20"/>
      <c r="N23" s="23"/>
      <c r="O23" s="21" t="str">
        <f t="shared" si="6"/>
        <v/>
      </c>
      <c r="P23" s="20"/>
      <c r="Q23" s="22"/>
      <c r="R23" s="21" t="str">
        <f t="shared" si="7"/>
        <v/>
      </c>
      <c r="S23" s="24"/>
      <c r="T23" s="21" t="str">
        <f t="shared" si="8"/>
        <v/>
      </c>
      <c r="U23" s="25" t="str">
        <f t="shared" si="9"/>
        <v/>
      </c>
    </row>
    <row r="24" spans="1:21" x14ac:dyDescent="0.25">
      <c r="A24" s="19">
        <v>9</v>
      </c>
      <c r="B24" s="20"/>
      <c r="C24" s="21" t="str">
        <f t="shared" si="0"/>
        <v/>
      </c>
      <c r="D24" s="22"/>
      <c r="E24" s="21" t="str">
        <f t="shared" si="1"/>
        <v/>
      </c>
      <c r="F24" s="20"/>
      <c r="G24" s="21" t="str">
        <f t="shared" si="2"/>
        <v/>
      </c>
      <c r="H24" s="20"/>
      <c r="I24" s="21" t="str">
        <f t="shared" si="3"/>
        <v/>
      </c>
      <c r="J24" s="21" t="str">
        <f t="shared" si="4"/>
        <v/>
      </c>
      <c r="K24" s="20"/>
      <c r="L24" s="21" t="str">
        <f t="shared" si="5"/>
        <v/>
      </c>
      <c r="M24" s="20"/>
      <c r="N24" s="23"/>
      <c r="O24" s="21" t="str">
        <f t="shared" si="6"/>
        <v/>
      </c>
      <c r="P24" s="20"/>
      <c r="Q24" s="22"/>
      <c r="R24" s="21" t="str">
        <f t="shared" si="7"/>
        <v/>
      </c>
      <c r="S24" s="24"/>
      <c r="T24" s="21" t="str">
        <f t="shared" si="8"/>
        <v/>
      </c>
      <c r="U24" s="25" t="str">
        <f t="shared" si="9"/>
        <v/>
      </c>
    </row>
    <row r="25" spans="1:21" x14ac:dyDescent="0.25">
      <c r="A25" s="19">
        <v>10</v>
      </c>
      <c r="B25" s="20"/>
      <c r="C25" s="21" t="str">
        <f t="shared" si="0"/>
        <v/>
      </c>
      <c r="D25" s="22"/>
      <c r="E25" s="21" t="str">
        <f t="shared" si="1"/>
        <v/>
      </c>
      <c r="F25" s="20"/>
      <c r="G25" s="21" t="str">
        <f t="shared" si="2"/>
        <v/>
      </c>
      <c r="H25" s="20"/>
      <c r="I25" s="21" t="str">
        <f t="shared" si="3"/>
        <v/>
      </c>
      <c r="J25" s="21" t="str">
        <f t="shared" si="4"/>
        <v/>
      </c>
      <c r="K25" s="20"/>
      <c r="L25" s="21" t="str">
        <f t="shared" si="5"/>
        <v/>
      </c>
      <c r="M25" s="20"/>
      <c r="N25" s="23"/>
      <c r="O25" s="21" t="str">
        <f t="shared" si="6"/>
        <v/>
      </c>
      <c r="P25" s="20"/>
      <c r="Q25" s="22"/>
      <c r="R25" s="21" t="str">
        <f t="shared" si="7"/>
        <v/>
      </c>
      <c r="S25" s="24"/>
      <c r="T25" s="21" t="str">
        <f t="shared" si="8"/>
        <v/>
      </c>
      <c r="U25" s="25" t="str">
        <f t="shared" si="9"/>
        <v/>
      </c>
    </row>
    <row r="26" spans="1:21" x14ac:dyDescent="0.25">
      <c r="A26" s="19">
        <v>11</v>
      </c>
      <c r="B26" s="20"/>
      <c r="C26" s="21" t="str">
        <f t="shared" si="0"/>
        <v/>
      </c>
      <c r="D26" s="22"/>
      <c r="E26" s="21" t="str">
        <f t="shared" si="1"/>
        <v/>
      </c>
      <c r="F26" s="20"/>
      <c r="G26" s="21" t="str">
        <f t="shared" si="2"/>
        <v/>
      </c>
      <c r="H26" s="20"/>
      <c r="I26" s="21" t="str">
        <f t="shared" si="3"/>
        <v/>
      </c>
      <c r="J26" s="21" t="str">
        <f t="shared" si="4"/>
        <v/>
      </c>
      <c r="K26" s="20"/>
      <c r="L26" s="21" t="str">
        <f t="shared" si="5"/>
        <v/>
      </c>
      <c r="M26" s="20"/>
      <c r="N26" s="23"/>
      <c r="O26" s="21" t="str">
        <f t="shared" si="6"/>
        <v/>
      </c>
      <c r="P26" s="20"/>
      <c r="Q26" s="22"/>
      <c r="R26" s="21" t="str">
        <f t="shared" si="7"/>
        <v/>
      </c>
      <c r="S26" s="24"/>
      <c r="T26" s="21" t="str">
        <f t="shared" si="8"/>
        <v/>
      </c>
      <c r="U26" s="25" t="str">
        <f t="shared" si="9"/>
        <v/>
      </c>
    </row>
    <row r="27" spans="1:21" x14ac:dyDescent="0.25">
      <c r="A27" s="19">
        <v>12</v>
      </c>
      <c r="B27" s="20"/>
      <c r="C27" s="21" t="str">
        <f t="shared" si="0"/>
        <v/>
      </c>
      <c r="D27" s="22"/>
      <c r="E27" s="21" t="str">
        <f t="shared" si="1"/>
        <v/>
      </c>
      <c r="F27" s="20"/>
      <c r="G27" s="21" t="str">
        <f t="shared" si="2"/>
        <v/>
      </c>
      <c r="H27" s="20"/>
      <c r="I27" s="21" t="str">
        <f t="shared" si="3"/>
        <v/>
      </c>
      <c r="J27" s="21" t="str">
        <f t="shared" si="4"/>
        <v/>
      </c>
      <c r="K27" s="20"/>
      <c r="L27" s="21" t="str">
        <f t="shared" si="5"/>
        <v/>
      </c>
      <c r="M27" s="20"/>
      <c r="N27" s="23"/>
      <c r="O27" s="21" t="str">
        <f t="shared" si="6"/>
        <v/>
      </c>
      <c r="P27" s="20"/>
      <c r="Q27" s="22"/>
      <c r="R27" s="21" t="str">
        <f t="shared" si="7"/>
        <v/>
      </c>
      <c r="S27" s="24"/>
      <c r="T27" s="21" t="str">
        <f t="shared" si="8"/>
        <v/>
      </c>
      <c r="U27" s="25" t="str">
        <f t="shared" si="9"/>
        <v/>
      </c>
    </row>
    <row r="28" spans="1:21" x14ac:dyDescent="0.25">
      <c r="A28" s="19">
        <v>13</v>
      </c>
      <c r="B28" s="20"/>
      <c r="C28" s="21" t="str">
        <f t="shared" si="0"/>
        <v/>
      </c>
      <c r="D28" s="22"/>
      <c r="E28" s="21" t="str">
        <f t="shared" si="1"/>
        <v/>
      </c>
      <c r="F28" s="20"/>
      <c r="G28" s="21" t="str">
        <f t="shared" si="2"/>
        <v/>
      </c>
      <c r="H28" s="20"/>
      <c r="I28" s="21" t="str">
        <f t="shared" si="3"/>
        <v/>
      </c>
      <c r="J28" s="21" t="str">
        <f t="shared" si="4"/>
        <v/>
      </c>
      <c r="K28" s="20"/>
      <c r="L28" s="21" t="str">
        <f t="shared" si="5"/>
        <v/>
      </c>
      <c r="M28" s="20"/>
      <c r="N28" s="23"/>
      <c r="O28" s="21" t="str">
        <f t="shared" si="6"/>
        <v/>
      </c>
      <c r="P28" s="20"/>
      <c r="Q28" s="22"/>
      <c r="R28" s="21" t="str">
        <f t="shared" si="7"/>
        <v/>
      </c>
      <c r="S28" s="24"/>
      <c r="T28" s="21" t="str">
        <f t="shared" si="8"/>
        <v/>
      </c>
      <c r="U28" s="25" t="str">
        <f t="shared" si="9"/>
        <v/>
      </c>
    </row>
    <row r="29" spans="1:21" x14ac:dyDescent="0.25">
      <c r="A29" s="19">
        <v>14</v>
      </c>
      <c r="B29" s="20"/>
      <c r="C29" s="21" t="str">
        <f t="shared" si="0"/>
        <v/>
      </c>
      <c r="D29" s="22"/>
      <c r="E29" s="21" t="str">
        <f t="shared" si="1"/>
        <v/>
      </c>
      <c r="F29" s="20"/>
      <c r="G29" s="21" t="str">
        <f t="shared" si="2"/>
        <v/>
      </c>
      <c r="H29" s="20"/>
      <c r="I29" s="21" t="str">
        <f t="shared" si="3"/>
        <v/>
      </c>
      <c r="J29" s="21" t="str">
        <f t="shared" si="4"/>
        <v/>
      </c>
      <c r="K29" s="20"/>
      <c r="L29" s="21" t="str">
        <f t="shared" si="5"/>
        <v/>
      </c>
      <c r="M29" s="20"/>
      <c r="N29" s="23"/>
      <c r="O29" s="21" t="str">
        <f t="shared" si="6"/>
        <v/>
      </c>
      <c r="P29" s="20"/>
      <c r="Q29" s="22"/>
      <c r="R29" s="21" t="str">
        <f t="shared" si="7"/>
        <v/>
      </c>
      <c r="S29" s="24"/>
      <c r="T29" s="21" t="str">
        <f t="shared" si="8"/>
        <v/>
      </c>
      <c r="U29" s="25" t="str">
        <f t="shared" si="9"/>
        <v/>
      </c>
    </row>
    <row r="30" spans="1:21" x14ac:dyDescent="0.25">
      <c r="A30" s="19">
        <v>15</v>
      </c>
      <c r="B30" s="20"/>
      <c r="C30" s="21" t="str">
        <f t="shared" si="0"/>
        <v/>
      </c>
      <c r="D30" s="22"/>
      <c r="E30" s="21" t="str">
        <f t="shared" si="1"/>
        <v/>
      </c>
      <c r="F30" s="20"/>
      <c r="G30" s="21" t="str">
        <f t="shared" si="2"/>
        <v/>
      </c>
      <c r="H30" s="20"/>
      <c r="I30" s="21" t="str">
        <f t="shared" si="3"/>
        <v/>
      </c>
      <c r="J30" s="21" t="str">
        <f t="shared" si="4"/>
        <v/>
      </c>
      <c r="K30" s="20"/>
      <c r="L30" s="21" t="str">
        <f t="shared" si="5"/>
        <v/>
      </c>
      <c r="M30" s="20"/>
      <c r="N30" s="23"/>
      <c r="O30" s="21" t="str">
        <f t="shared" si="6"/>
        <v/>
      </c>
      <c r="P30" s="20"/>
      <c r="Q30" s="22"/>
      <c r="R30" s="21" t="str">
        <f t="shared" si="7"/>
        <v/>
      </c>
      <c r="S30" s="24"/>
      <c r="T30" s="21" t="str">
        <f t="shared" si="8"/>
        <v/>
      </c>
      <c r="U30" s="25" t="str">
        <f t="shared" si="9"/>
        <v/>
      </c>
    </row>
    <row r="33" spans="1:21" ht="21.95" customHeight="1" x14ac:dyDescent="0.25">
      <c r="A33" s="38" t="s">
        <v>806</v>
      </c>
      <c r="B33" s="39"/>
      <c r="C33" s="39"/>
      <c r="D33" s="39"/>
      <c r="E33" s="39"/>
      <c r="F33" s="39"/>
      <c r="G33" s="39"/>
      <c r="H33" s="39"/>
      <c r="I33" s="39"/>
      <c r="J33" s="39"/>
      <c r="K33" s="39"/>
      <c r="L33" s="39"/>
      <c r="M33" s="39"/>
      <c r="N33" s="39"/>
      <c r="O33" s="39"/>
      <c r="P33" s="39"/>
      <c r="Q33" s="39"/>
      <c r="R33" s="39"/>
      <c r="S33" s="39"/>
      <c r="T33" s="39"/>
      <c r="U33" s="39"/>
    </row>
    <row r="34" spans="1:21" ht="15.95" customHeight="1" x14ac:dyDescent="0.25">
      <c r="A34" s="40" t="s">
        <v>778</v>
      </c>
      <c r="B34" s="31"/>
      <c r="C34" s="31"/>
      <c r="D34" s="31"/>
      <c r="E34" s="31"/>
      <c r="F34" s="31"/>
      <c r="G34" s="31"/>
      <c r="H34" s="31"/>
      <c r="I34" s="31"/>
      <c r="J34" s="31"/>
      <c r="K34" s="31"/>
      <c r="L34" s="31"/>
      <c r="M34" s="31"/>
      <c r="N34" s="31"/>
      <c r="O34" s="31"/>
      <c r="P34" s="31"/>
      <c r="Q34" s="31"/>
      <c r="R34" s="31"/>
      <c r="S34" s="31"/>
      <c r="T34" s="31"/>
      <c r="U34" s="31"/>
    </row>
    <row r="36" spans="1:21" ht="18" customHeight="1" x14ac:dyDescent="0.25">
      <c r="A36" s="36" t="s">
        <v>795</v>
      </c>
      <c r="B36" s="31"/>
      <c r="C36" s="31"/>
      <c r="D36" s="31"/>
      <c r="E36" s="31"/>
      <c r="F36" s="31"/>
      <c r="G36" s="31"/>
      <c r="H36" s="31"/>
      <c r="I36" s="31"/>
      <c r="J36" s="31"/>
      <c r="K36" s="31"/>
      <c r="L36" s="31"/>
      <c r="M36" s="31"/>
      <c r="N36" s="31"/>
      <c r="O36" s="31"/>
      <c r="P36" s="31"/>
      <c r="Q36" s="31"/>
      <c r="R36" s="31"/>
      <c r="S36" s="31"/>
      <c r="T36" s="31"/>
      <c r="U36" s="31"/>
    </row>
    <row r="37" spans="1:21" ht="21" customHeight="1" x14ac:dyDescent="0.25">
      <c r="A37" s="37" t="s">
        <v>807</v>
      </c>
      <c r="B37" s="31"/>
      <c r="C37" s="31"/>
      <c r="D37" s="31"/>
      <c r="E37" s="31"/>
      <c r="F37" s="31"/>
      <c r="G37" s="31"/>
      <c r="H37" s="31"/>
      <c r="I37" s="31"/>
      <c r="J37" s="31"/>
      <c r="K37" s="31"/>
      <c r="L37" s="31"/>
      <c r="M37" s="31"/>
      <c r="N37" s="31"/>
      <c r="O37" s="31"/>
      <c r="P37" s="31"/>
      <c r="Q37" s="31"/>
      <c r="R37" s="31"/>
      <c r="S37" s="31"/>
      <c r="T37" s="31"/>
      <c r="U37" s="31"/>
    </row>
    <row r="38" spans="1:21" ht="6" customHeight="1" x14ac:dyDescent="0.25"/>
    <row r="39" spans="1:21" ht="18" customHeight="1" x14ac:dyDescent="0.25">
      <c r="A39" s="36" t="s">
        <v>728</v>
      </c>
      <c r="B39" s="31"/>
      <c r="C39" s="31"/>
      <c r="D39" s="31"/>
      <c r="E39" s="31"/>
      <c r="F39" s="31"/>
      <c r="G39" s="31"/>
      <c r="H39" s="31"/>
      <c r="I39" s="31"/>
      <c r="J39" s="31"/>
      <c r="K39" s="31"/>
      <c r="L39" s="31"/>
      <c r="M39" s="31"/>
      <c r="N39" s="31"/>
      <c r="O39" s="31"/>
      <c r="P39" s="31"/>
      <c r="Q39" s="31"/>
      <c r="R39" s="31"/>
      <c r="S39" s="31"/>
      <c r="T39" s="31"/>
      <c r="U39" s="31"/>
    </row>
    <row r="40" spans="1:21" ht="51" customHeight="1" x14ac:dyDescent="0.25">
      <c r="A40" s="37" t="s">
        <v>729</v>
      </c>
      <c r="B40" s="31"/>
      <c r="C40" s="31"/>
      <c r="D40" s="31"/>
      <c r="E40" s="31"/>
      <c r="F40" s="31"/>
      <c r="G40" s="31"/>
      <c r="H40" s="31"/>
      <c r="I40" s="31"/>
      <c r="J40" s="31"/>
      <c r="K40" s="31"/>
      <c r="L40" s="31"/>
      <c r="M40" s="31"/>
      <c r="N40" s="31"/>
      <c r="O40" s="31"/>
      <c r="P40" s="31"/>
      <c r="Q40" s="31"/>
      <c r="R40" s="31"/>
      <c r="S40" s="31"/>
      <c r="T40" s="31"/>
      <c r="U40" s="31"/>
    </row>
    <row r="41" spans="1:21" ht="6" customHeight="1" x14ac:dyDescent="0.25"/>
    <row r="44" spans="1:21" ht="21.95" customHeight="1" x14ac:dyDescent="0.25">
      <c r="A44" s="38" t="s">
        <v>730</v>
      </c>
      <c r="B44" s="39"/>
      <c r="C44" s="39"/>
      <c r="D44" s="39"/>
      <c r="E44" s="39"/>
      <c r="F44" s="39"/>
      <c r="G44" s="39"/>
      <c r="H44" s="39"/>
      <c r="I44" s="39"/>
      <c r="J44" s="39"/>
      <c r="K44" s="39"/>
      <c r="L44" s="39"/>
      <c r="M44" s="39"/>
      <c r="N44" s="39"/>
      <c r="O44" s="39"/>
      <c r="P44" s="39"/>
      <c r="Q44" s="39"/>
      <c r="R44" s="39"/>
      <c r="S44" s="39"/>
      <c r="T44" s="39"/>
      <c r="U44" s="39"/>
    </row>
    <row r="46" spans="1:21" ht="18" customHeight="1" x14ac:dyDescent="0.25">
      <c r="A46" s="36" t="s">
        <v>70</v>
      </c>
      <c r="B46" s="31"/>
      <c r="C46" s="31"/>
      <c r="D46" s="31"/>
      <c r="E46" s="31"/>
      <c r="F46" s="31"/>
      <c r="G46" s="31"/>
      <c r="H46" s="31"/>
      <c r="I46" s="31"/>
      <c r="J46" s="31"/>
      <c r="K46" s="31"/>
      <c r="L46" s="31"/>
      <c r="M46" s="31"/>
      <c r="N46" s="31"/>
      <c r="O46" s="31"/>
      <c r="P46" s="31"/>
      <c r="Q46" s="31"/>
      <c r="R46" s="31"/>
      <c r="S46" s="31"/>
      <c r="T46" s="31"/>
      <c r="U46" s="31"/>
    </row>
    <row r="47" spans="1:21" ht="21" customHeight="1" x14ac:dyDescent="0.25">
      <c r="A47" s="37" t="s">
        <v>731</v>
      </c>
      <c r="B47" s="31"/>
      <c r="C47" s="31"/>
      <c r="D47" s="31"/>
      <c r="E47" s="31"/>
      <c r="F47" s="31"/>
      <c r="G47" s="31"/>
      <c r="H47" s="31"/>
      <c r="I47" s="31"/>
      <c r="J47" s="31"/>
      <c r="K47" s="31"/>
      <c r="L47" s="31"/>
      <c r="M47" s="31"/>
      <c r="N47" s="31"/>
      <c r="O47" s="31"/>
      <c r="P47" s="31"/>
      <c r="Q47" s="31"/>
      <c r="R47" s="31"/>
      <c r="S47" s="31"/>
      <c r="T47" s="31"/>
      <c r="U47" s="31"/>
    </row>
    <row r="48" spans="1:21" ht="6" customHeight="1" x14ac:dyDescent="0.25"/>
    <row r="49" spans="1:21" ht="18" customHeight="1" x14ac:dyDescent="0.25">
      <c r="A49" s="36" t="s">
        <v>84</v>
      </c>
      <c r="B49" s="31"/>
      <c r="C49" s="31"/>
      <c r="D49" s="31"/>
      <c r="E49" s="31"/>
      <c r="F49" s="31"/>
      <c r="G49" s="31"/>
      <c r="H49" s="31"/>
      <c r="I49" s="31"/>
      <c r="J49" s="31"/>
      <c r="K49" s="31"/>
      <c r="L49" s="31"/>
      <c r="M49" s="31"/>
      <c r="N49" s="31"/>
      <c r="O49" s="31"/>
      <c r="P49" s="31"/>
      <c r="Q49" s="31"/>
      <c r="R49" s="31"/>
      <c r="S49" s="31"/>
      <c r="T49" s="31"/>
      <c r="U49" s="31"/>
    </row>
    <row r="50" spans="1:21" ht="36" customHeight="1" x14ac:dyDescent="0.25">
      <c r="A50" s="37" t="s">
        <v>732</v>
      </c>
      <c r="B50" s="31"/>
      <c r="C50" s="31"/>
      <c r="D50" s="31"/>
      <c r="E50" s="31"/>
      <c r="F50" s="31"/>
      <c r="G50" s="31"/>
      <c r="H50" s="31"/>
      <c r="I50" s="31"/>
      <c r="J50" s="31"/>
      <c r="K50" s="31"/>
      <c r="L50" s="31"/>
      <c r="M50" s="31"/>
      <c r="N50" s="31"/>
      <c r="O50" s="31"/>
      <c r="P50" s="31"/>
      <c r="Q50" s="31"/>
      <c r="R50" s="31"/>
      <c r="S50" s="31"/>
      <c r="T50" s="31"/>
      <c r="U50" s="31"/>
    </row>
    <row r="51" spans="1:21" ht="6" customHeight="1" x14ac:dyDescent="0.25"/>
    <row r="52" spans="1:21" ht="18" customHeight="1" x14ac:dyDescent="0.25">
      <c r="A52" s="36" t="s">
        <v>684</v>
      </c>
      <c r="B52" s="31"/>
      <c r="C52" s="31"/>
      <c r="D52" s="31"/>
      <c r="E52" s="31"/>
      <c r="F52" s="31"/>
      <c r="G52" s="31"/>
      <c r="H52" s="31"/>
      <c r="I52" s="31"/>
      <c r="J52" s="31"/>
      <c r="K52" s="31"/>
      <c r="L52" s="31"/>
      <c r="M52" s="31"/>
      <c r="N52" s="31"/>
      <c r="O52" s="31"/>
      <c r="P52" s="31"/>
      <c r="Q52" s="31"/>
      <c r="R52" s="31"/>
      <c r="S52" s="31"/>
      <c r="T52" s="31"/>
      <c r="U52" s="31"/>
    </row>
    <row r="53" spans="1:21" ht="21" customHeight="1" x14ac:dyDescent="0.25">
      <c r="A53" s="37" t="s">
        <v>733</v>
      </c>
      <c r="B53" s="31"/>
      <c r="C53" s="31"/>
      <c r="D53" s="31"/>
      <c r="E53" s="31"/>
      <c r="F53" s="31"/>
      <c r="G53" s="31"/>
      <c r="H53" s="31"/>
      <c r="I53" s="31"/>
      <c r="J53" s="31"/>
      <c r="K53" s="31"/>
      <c r="L53" s="31"/>
      <c r="M53" s="31"/>
      <c r="N53" s="31"/>
      <c r="O53" s="31"/>
      <c r="P53" s="31"/>
      <c r="Q53" s="31"/>
      <c r="R53" s="31"/>
      <c r="S53" s="31"/>
      <c r="T53" s="31"/>
      <c r="U53" s="31"/>
    </row>
    <row r="54" spans="1:21" ht="6" customHeight="1" x14ac:dyDescent="0.25"/>
    <row r="55" spans="1:21" ht="18" customHeight="1" x14ac:dyDescent="0.25">
      <c r="A55" s="36" t="s">
        <v>686</v>
      </c>
      <c r="B55" s="31"/>
      <c r="C55" s="31"/>
      <c r="D55" s="31"/>
      <c r="E55" s="31"/>
      <c r="F55" s="31"/>
      <c r="G55" s="31"/>
      <c r="H55" s="31"/>
      <c r="I55" s="31"/>
      <c r="J55" s="31"/>
      <c r="K55" s="31"/>
      <c r="L55" s="31"/>
      <c r="M55" s="31"/>
      <c r="N55" s="31"/>
      <c r="O55" s="31"/>
      <c r="P55" s="31"/>
      <c r="Q55" s="31"/>
      <c r="R55" s="31"/>
      <c r="S55" s="31"/>
      <c r="T55" s="31"/>
      <c r="U55" s="31"/>
    </row>
    <row r="56" spans="1:21" ht="21" customHeight="1" x14ac:dyDescent="0.25">
      <c r="A56" s="37" t="s">
        <v>808</v>
      </c>
      <c r="B56" s="31"/>
      <c r="C56" s="31"/>
      <c r="D56" s="31"/>
      <c r="E56" s="31"/>
      <c r="F56" s="31"/>
      <c r="G56" s="31"/>
      <c r="H56" s="31"/>
      <c r="I56" s="31"/>
      <c r="J56" s="31"/>
      <c r="K56" s="31"/>
      <c r="L56" s="31"/>
      <c r="M56" s="31"/>
      <c r="N56" s="31"/>
      <c r="O56" s="31"/>
      <c r="P56" s="31"/>
      <c r="Q56" s="31"/>
      <c r="R56" s="31"/>
      <c r="S56" s="31"/>
      <c r="T56" s="31"/>
      <c r="U56" s="31"/>
    </row>
    <row r="57" spans="1:21" ht="6" customHeight="1" x14ac:dyDescent="0.25"/>
    <row r="58" spans="1:21" ht="18" customHeight="1" x14ac:dyDescent="0.25">
      <c r="A58" s="36" t="s">
        <v>689</v>
      </c>
      <c r="B58" s="31"/>
      <c r="C58" s="31"/>
      <c r="D58" s="31"/>
      <c r="E58" s="31"/>
      <c r="F58" s="31"/>
      <c r="G58" s="31"/>
      <c r="H58" s="31"/>
      <c r="I58" s="31"/>
      <c r="J58" s="31"/>
      <c r="K58" s="31"/>
      <c r="L58" s="31"/>
      <c r="M58" s="31"/>
      <c r="N58" s="31"/>
      <c r="O58" s="31"/>
      <c r="P58" s="31"/>
      <c r="Q58" s="31"/>
      <c r="R58" s="31"/>
      <c r="S58" s="31"/>
      <c r="T58" s="31"/>
      <c r="U58" s="31"/>
    </row>
    <row r="59" spans="1:21" ht="21" customHeight="1" x14ac:dyDescent="0.25">
      <c r="A59" s="37" t="s">
        <v>800</v>
      </c>
      <c r="B59" s="31"/>
      <c r="C59" s="31"/>
      <c r="D59" s="31"/>
      <c r="E59" s="31"/>
      <c r="F59" s="31"/>
      <c r="G59" s="31"/>
      <c r="H59" s="31"/>
      <c r="I59" s="31"/>
      <c r="J59" s="31"/>
      <c r="K59" s="31"/>
      <c r="L59" s="31"/>
      <c r="M59" s="31"/>
      <c r="N59" s="31"/>
      <c r="O59" s="31"/>
      <c r="P59" s="31"/>
      <c r="Q59" s="31"/>
      <c r="R59" s="31"/>
      <c r="S59" s="31"/>
      <c r="T59" s="31"/>
      <c r="U59" s="31"/>
    </row>
    <row r="60" spans="1:21" ht="6" customHeight="1" x14ac:dyDescent="0.25"/>
    <row r="61" spans="1:21" ht="18" customHeight="1" x14ac:dyDescent="0.25">
      <c r="A61" s="36" t="s">
        <v>692</v>
      </c>
      <c r="B61" s="31"/>
      <c r="C61" s="31"/>
      <c r="D61" s="31"/>
      <c r="E61" s="31"/>
      <c r="F61" s="31"/>
      <c r="G61" s="31"/>
      <c r="H61" s="31"/>
      <c r="I61" s="31"/>
      <c r="J61" s="31"/>
      <c r="K61" s="31"/>
      <c r="L61" s="31"/>
      <c r="M61" s="31"/>
      <c r="N61" s="31"/>
      <c r="O61" s="31"/>
      <c r="P61" s="31"/>
      <c r="Q61" s="31"/>
      <c r="R61" s="31"/>
      <c r="S61" s="31"/>
      <c r="T61" s="31"/>
      <c r="U61" s="31"/>
    </row>
    <row r="62" spans="1:21" ht="21" customHeight="1" x14ac:dyDescent="0.25">
      <c r="A62" s="37" t="s">
        <v>737</v>
      </c>
      <c r="B62" s="31"/>
      <c r="C62" s="31"/>
      <c r="D62" s="31"/>
      <c r="E62" s="31"/>
      <c r="F62" s="31"/>
      <c r="G62" s="31"/>
      <c r="H62" s="31"/>
      <c r="I62" s="31"/>
      <c r="J62" s="31"/>
      <c r="K62" s="31"/>
      <c r="L62" s="31"/>
      <c r="M62" s="31"/>
      <c r="N62" s="31"/>
      <c r="O62" s="31"/>
      <c r="P62" s="31"/>
      <c r="Q62" s="31"/>
      <c r="R62" s="31"/>
      <c r="S62" s="31"/>
      <c r="T62" s="31"/>
      <c r="U62" s="31"/>
    </row>
    <row r="63" spans="1:21" ht="6" customHeight="1" x14ac:dyDescent="0.25"/>
    <row r="64" spans="1:21" ht="18" customHeight="1" x14ac:dyDescent="0.25">
      <c r="A64" s="36" t="s">
        <v>693</v>
      </c>
      <c r="B64" s="31"/>
      <c r="C64" s="31"/>
      <c r="D64" s="31"/>
      <c r="E64" s="31"/>
      <c r="F64" s="31"/>
      <c r="G64" s="31"/>
      <c r="H64" s="31"/>
      <c r="I64" s="31"/>
      <c r="J64" s="31"/>
      <c r="K64" s="31"/>
      <c r="L64" s="31"/>
      <c r="M64" s="31"/>
      <c r="N64" s="31"/>
      <c r="O64" s="31"/>
      <c r="P64" s="31"/>
      <c r="Q64" s="31"/>
      <c r="R64" s="31"/>
      <c r="S64" s="31"/>
      <c r="T64" s="31"/>
      <c r="U64" s="31"/>
    </row>
    <row r="65" spans="1:21" ht="21" customHeight="1" x14ac:dyDescent="0.25">
      <c r="A65" s="37" t="s">
        <v>738</v>
      </c>
      <c r="B65" s="31"/>
      <c r="C65" s="31"/>
      <c r="D65" s="31"/>
      <c r="E65" s="31"/>
      <c r="F65" s="31"/>
      <c r="G65" s="31"/>
      <c r="H65" s="31"/>
      <c r="I65" s="31"/>
      <c r="J65" s="31"/>
      <c r="K65" s="31"/>
      <c r="L65" s="31"/>
      <c r="M65" s="31"/>
      <c r="N65" s="31"/>
      <c r="O65" s="31"/>
      <c r="P65" s="31"/>
      <c r="Q65" s="31"/>
      <c r="R65" s="31"/>
      <c r="S65" s="31"/>
      <c r="T65" s="31"/>
      <c r="U65" s="31"/>
    </row>
    <row r="66" spans="1:21" ht="6" customHeight="1" x14ac:dyDescent="0.25"/>
    <row r="67" spans="1:21" ht="18" customHeight="1" x14ac:dyDescent="0.25">
      <c r="A67" s="36" t="s">
        <v>695</v>
      </c>
      <c r="B67" s="31"/>
      <c r="C67" s="31"/>
      <c r="D67" s="31"/>
      <c r="E67" s="31"/>
      <c r="F67" s="31"/>
      <c r="G67" s="31"/>
      <c r="H67" s="31"/>
      <c r="I67" s="31"/>
      <c r="J67" s="31"/>
      <c r="K67" s="31"/>
      <c r="L67" s="31"/>
      <c r="M67" s="31"/>
      <c r="N67" s="31"/>
      <c r="O67" s="31"/>
      <c r="P67" s="31"/>
      <c r="Q67" s="31"/>
      <c r="R67" s="31"/>
      <c r="S67" s="31"/>
      <c r="T67" s="31"/>
      <c r="U67" s="31"/>
    </row>
    <row r="68" spans="1:21" ht="21" customHeight="1" x14ac:dyDescent="0.25">
      <c r="A68" s="37" t="s">
        <v>739</v>
      </c>
      <c r="B68" s="31"/>
      <c r="C68" s="31"/>
      <c r="D68" s="31"/>
      <c r="E68" s="31"/>
      <c r="F68" s="31"/>
      <c r="G68" s="31"/>
      <c r="H68" s="31"/>
      <c r="I68" s="31"/>
      <c r="J68" s="31"/>
      <c r="K68" s="31"/>
      <c r="L68" s="31"/>
      <c r="M68" s="31"/>
      <c r="N68" s="31"/>
      <c r="O68" s="31"/>
      <c r="P68" s="31"/>
      <c r="Q68" s="31"/>
      <c r="R68" s="31"/>
      <c r="S68" s="31"/>
      <c r="T68" s="31"/>
      <c r="U68" s="31"/>
    </row>
    <row r="69" spans="1:21" ht="6" customHeight="1" x14ac:dyDescent="0.25"/>
    <row r="70" spans="1:21" ht="18" customHeight="1" x14ac:dyDescent="0.25">
      <c r="A70" s="36" t="s">
        <v>804</v>
      </c>
      <c r="B70" s="31"/>
      <c r="C70" s="31"/>
      <c r="D70" s="31"/>
      <c r="E70" s="31"/>
      <c r="F70" s="31"/>
      <c r="G70" s="31"/>
      <c r="H70" s="31"/>
      <c r="I70" s="31"/>
      <c r="J70" s="31"/>
      <c r="K70" s="31"/>
      <c r="L70" s="31"/>
      <c r="M70" s="31"/>
      <c r="N70" s="31"/>
      <c r="O70" s="31"/>
      <c r="P70" s="31"/>
      <c r="Q70" s="31"/>
      <c r="R70" s="31"/>
      <c r="S70" s="31"/>
      <c r="T70" s="31"/>
      <c r="U70" s="31"/>
    </row>
    <row r="71" spans="1:21" ht="21" customHeight="1" x14ac:dyDescent="0.25">
      <c r="A71" s="37" t="s">
        <v>809</v>
      </c>
      <c r="B71" s="31"/>
      <c r="C71" s="31"/>
      <c r="D71" s="31"/>
      <c r="E71" s="31"/>
      <c r="F71" s="31"/>
      <c r="G71" s="31"/>
      <c r="H71" s="31"/>
      <c r="I71" s="31"/>
      <c r="J71" s="31"/>
      <c r="K71" s="31"/>
      <c r="L71" s="31"/>
      <c r="M71" s="31"/>
      <c r="N71" s="31"/>
      <c r="O71" s="31"/>
      <c r="P71" s="31"/>
      <c r="Q71" s="31"/>
      <c r="R71" s="31"/>
      <c r="S71" s="31"/>
      <c r="T71" s="31"/>
      <c r="U71" s="31"/>
    </row>
    <row r="72" spans="1:21" ht="6" customHeight="1" x14ac:dyDescent="0.25"/>
    <row r="73" spans="1:21" ht="18" customHeight="1" x14ac:dyDescent="0.25">
      <c r="A73" s="36" t="s">
        <v>699</v>
      </c>
      <c r="B73" s="31"/>
      <c r="C73" s="31"/>
      <c r="D73" s="31"/>
      <c r="E73" s="31"/>
      <c r="F73" s="31"/>
      <c r="G73" s="31"/>
      <c r="H73" s="31"/>
      <c r="I73" s="31"/>
      <c r="J73" s="31"/>
      <c r="K73" s="31"/>
      <c r="L73" s="31"/>
      <c r="M73" s="31"/>
      <c r="N73" s="31"/>
      <c r="O73" s="31"/>
      <c r="P73" s="31"/>
      <c r="Q73" s="31"/>
      <c r="R73" s="31"/>
      <c r="S73" s="31"/>
      <c r="T73" s="31"/>
      <c r="U73" s="31"/>
    </row>
    <row r="74" spans="1:21" ht="21" customHeight="1" x14ac:dyDescent="0.25">
      <c r="A74" s="37" t="s">
        <v>743</v>
      </c>
      <c r="B74" s="31"/>
      <c r="C74" s="31"/>
      <c r="D74" s="31"/>
      <c r="E74" s="31"/>
      <c r="F74" s="31"/>
      <c r="G74" s="31"/>
      <c r="H74" s="31"/>
      <c r="I74" s="31"/>
      <c r="J74" s="31"/>
      <c r="K74" s="31"/>
      <c r="L74" s="31"/>
      <c r="M74" s="31"/>
      <c r="N74" s="31"/>
      <c r="O74" s="31"/>
      <c r="P74" s="31"/>
      <c r="Q74" s="31"/>
      <c r="R74" s="31"/>
      <c r="S74" s="31"/>
      <c r="T74" s="31"/>
      <c r="U74" s="31"/>
    </row>
    <row r="75" spans="1:21" ht="6" customHeight="1" x14ac:dyDescent="0.25"/>
    <row r="78" spans="1:21" x14ac:dyDescent="0.25">
      <c r="A78" s="40" t="s">
        <v>744</v>
      </c>
      <c r="B78" s="31"/>
      <c r="C78" s="31"/>
      <c r="D78" s="31"/>
      <c r="E78" s="31"/>
      <c r="F78" s="31"/>
      <c r="G78" s="31"/>
      <c r="H78" s="31"/>
      <c r="I78" s="31"/>
      <c r="J78" s="31"/>
      <c r="K78" s="31"/>
      <c r="L78" s="31"/>
      <c r="M78" s="31"/>
      <c r="N78" s="31"/>
      <c r="O78" s="31"/>
      <c r="P78" s="31"/>
      <c r="Q78" s="31"/>
      <c r="R78" s="31"/>
      <c r="S78" s="31"/>
      <c r="T78" s="31"/>
      <c r="U78" s="31"/>
    </row>
  </sheetData>
  <mergeCells count="28">
    <mergeCell ref="A36:U36"/>
    <mergeCell ref="A70:U70"/>
    <mergeCell ref="A61:U61"/>
    <mergeCell ref="A33:U33"/>
    <mergeCell ref="A71:U71"/>
    <mergeCell ref="A47:U47"/>
    <mergeCell ref="A53:U53"/>
    <mergeCell ref="A62:U62"/>
    <mergeCell ref="A52:U52"/>
    <mergeCell ref="A68:U68"/>
    <mergeCell ref="A44:U44"/>
    <mergeCell ref="A58:U58"/>
    <mergeCell ref="A40:U40"/>
    <mergeCell ref="A67:U67"/>
    <mergeCell ref="A39:U39"/>
    <mergeCell ref="A34:U34"/>
    <mergeCell ref="A64:U64"/>
    <mergeCell ref="A59:U59"/>
    <mergeCell ref="A49:U49"/>
    <mergeCell ref="A78:U78"/>
    <mergeCell ref="A65:U65"/>
    <mergeCell ref="A37:U37"/>
    <mergeCell ref="A46:U46"/>
    <mergeCell ref="A74:U74"/>
    <mergeCell ref="A56:U56"/>
    <mergeCell ref="A55:U55"/>
    <mergeCell ref="A50:U50"/>
    <mergeCell ref="A73:U73"/>
  </mergeCells>
  <dataValidations count="10">
    <dataValidation type="list" allowBlank="1" errorTitle="Valore non valido" error="Seleziona dalla lista." promptTitle="Author" prompt="Autore della codifica." sqref="B5:B30" xr:uid="{00000000-0002-0000-0700-000000000000}">
      <formula1>Author_Name</formula1>
    </dataValidation>
    <dataValidation type="list" allowBlank="1" errorTitle="Valore non valido" error="Seleziona dalla lista, oppure lascia vuoto." promptTitle="In Place" sqref="D5:D30" xr:uid="{00000000-0002-0000-0700-000001000000}">
      <formula1>InPl_Name</formula1>
    </dataValidation>
    <dataValidation type="list" allowBlank="1" errorTitle="Valore non valido" error="Seleziona dalla lista." promptTitle="Famiglia di sistema" prompt="Famiglia di sistema Revit." sqref="F5:F30" xr:uid="{00000000-0002-0000-0700-000002000000}">
      <formula1>LN_Cat_Name</formula1>
    </dataValidation>
    <dataValidation type="list" allowBlank="1" errorTitle="Valore non valido" error="Seleziona dalla lista." promptTitle="Group1" prompt="Sistema costruttivo del pianerottolo. Può differire da quello della rampa." sqref="H5:H30" xr:uid="{00000000-0002-0000-0700-000003000000}">
      <formula1>LN_G1_Name</formula1>
    </dataValidation>
    <dataValidation type="list" allowBlank="1" errorTitle="Valore non valido" error="Seleziona dalla lista." promptTitle="Group2" prompt="Configurazione del piano di calpestio." sqref="K5:K30" xr:uid="{00000000-0002-0000-0700-000004000000}">
      <formula1>LN_G2_Name</formula1>
    </dataValidation>
    <dataValidation type="custom" allowBlank="1" errorTitle="Non valido" error="Inserisci un intero tra 0 e 99, oppure XX se i tipi non sono ancora definiti. Se Group1 è Other compila il Type Mark manuale." promptTitle="TM sequenza" prompt="Due cifre da 0 a 99. Distingue le varianti di stesso Group1 e stesso Group2. Tipo non ancora definito → XX. Non si compila con Group1 = OT." sqref="M5:M30" xr:uid="{00000000-0002-0000-0700-000005000000}">
      <formula1>AND($I5&lt;&gt;"OT",OR(UPPER($M5)="XX",AND(ISNUMBER($M5),$M5&gt;=0,$M5&lt;=99,$M5=INT($M5))))</formula1>
    </dataValidation>
    <dataValidation type="custom" allowBlank="1" errorTitle="Non ammesso qui" error="Si usa solo quando Group1 è Other." promptTitle="Type Mark manuale" prompt="Solo con Group1 = OT. Sostituisce tutto il Type Mark, prefisso di categoria compreso. Finiture → prefisso materiale + tre cifre: PT-001, WD-001, MT-001." sqref="N5:N30" xr:uid="{00000000-0002-0000-0700-000006000000}">
      <formula1>$I5="OT"</formula1>
    </dataValidation>
    <dataValidation type="decimal" operator="greaterThan" allowBlank="1" errorTitle="Non valido" error="Inserisci un valore maggiore di 0." promptTitle="Thickness mm" prompt="Spessore totale in mm." sqref="P5:P30" xr:uid="{00000000-0002-0000-0700-000007000000}">
      <formula1>0</formula1>
    </dataValidation>
    <dataValidation type="list" allowBlank="1" errorTitle="Valore non valido" error="Seleziona dalla lista." promptTitle="Thickness mode" prompt="Parametro di tipo Same as Run. Se il pianerottolo eredita lo spessore dalla rampa si sceglie Same as Run e il nome porta SR al posto del numero; la colonna Spessore resta vuota." sqref="Q5:Q30" xr:uid="{00000000-0002-0000-0700-000008000000}">
      <formula1>LNsh_Name</formula1>
    </dataValidation>
    <dataValidation type="textLength" operator="lessThanOrEqual" allowBlank="1" errorTitle="Troppo lunga" error="Massimo 40 caratteri." promptTitle="Description" prompt="Facoltativa. Solo se aggiunge un’informazione non già nei codici: destinazione, posizione, o ciò che distingue due tipi altrimenti identici. Senza spazi, iniziali maiuscole, massimo 40 caratteri, senza accenti." sqref="S5:S30" xr:uid="{00000000-0002-0000-0700-000009000000}">
      <formula1>40</formula1>
    </dataValidation>
  </dataValidations>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S78"/>
  <sheetViews>
    <sheetView showGridLines="0" workbookViewId="0">
      <pane ySplit="4" topLeftCell="A17" activePane="bottomLeft" state="frozen"/>
      <selection pane="bottomLeft" activeCell="M2" sqref="M2"/>
    </sheetView>
  </sheetViews>
  <sheetFormatPr defaultRowHeight="15" x14ac:dyDescent="0.25"/>
  <cols>
    <col min="1" max="1" width="3" customWidth="1"/>
    <col min="2" max="2" width="15" customWidth="1"/>
    <col min="3" max="3" width="5" customWidth="1"/>
    <col min="4" max="4" width="10" customWidth="1"/>
    <col min="5" max="5" width="4" customWidth="1"/>
    <col min="6" max="6" width="17" customWidth="1"/>
    <col min="7" max="7" width="4" customWidth="1"/>
    <col min="8" max="8" width="15" customWidth="1"/>
    <col min="9" max="9" width="4" customWidth="1"/>
    <col min="10" max="10" width="6" customWidth="1"/>
    <col min="11" max="11" width="15" customWidth="1"/>
    <col min="12" max="12" width="4" customWidth="1"/>
    <col min="13" max="13" width="12" customWidth="1"/>
    <col min="14" max="14" width="19" customWidth="1"/>
    <col min="15" max="15" width="12" customWidth="1"/>
    <col min="16" max="16" width="22" customWidth="1"/>
    <col min="17" max="17" width="12" customWidth="1"/>
    <col min="18" max="18" width="40" customWidth="1"/>
    <col min="19" max="19" width="26" hidden="1" customWidth="1"/>
  </cols>
  <sheetData>
    <row r="1" spans="1:19" ht="19.5" x14ac:dyDescent="0.3">
      <c r="A1" s="6" t="s">
        <v>810</v>
      </c>
    </row>
    <row r="2" spans="1:19" x14ac:dyDescent="0.25">
      <c r="A2" s="7" t="s">
        <v>680</v>
      </c>
    </row>
    <row r="3" spans="1:19" x14ac:dyDescent="0.25">
      <c r="A3" s="8" t="s">
        <v>811</v>
      </c>
    </row>
    <row r="4" spans="1:19" ht="30" customHeight="1" x14ac:dyDescent="0.25">
      <c r="A4" s="9" t="s">
        <v>682</v>
      </c>
      <c r="B4" s="9" t="s">
        <v>70</v>
      </c>
      <c r="C4" s="9" t="s">
        <v>683</v>
      </c>
      <c r="D4" s="10" t="s">
        <v>84</v>
      </c>
      <c r="E4" s="9" t="s">
        <v>83</v>
      </c>
      <c r="F4" s="9" t="s">
        <v>684</v>
      </c>
      <c r="G4" s="9" t="s">
        <v>685</v>
      </c>
      <c r="H4" s="9" t="s">
        <v>686</v>
      </c>
      <c r="I4" s="9" t="s">
        <v>687</v>
      </c>
      <c r="J4" s="9" t="s">
        <v>688</v>
      </c>
      <c r="K4" s="9" t="s">
        <v>689</v>
      </c>
      <c r="L4" s="9" t="s">
        <v>690</v>
      </c>
      <c r="M4" s="9" t="s">
        <v>692</v>
      </c>
      <c r="N4" s="9" t="s">
        <v>693</v>
      </c>
      <c r="O4" s="9" t="s">
        <v>694</v>
      </c>
      <c r="P4" s="10" t="s">
        <v>699</v>
      </c>
      <c r="Q4" s="9" t="s">
        <v>700</v>
      </c>
      <c r="R4" s="9" t="s">
        <v>701</v>
      </c>
      <c r="S4" s="9" t="s">
        <v>759</v>
      </c>
    </row>
    <row r="5" spans="1:19" x14ac:dyDescent="0.25">
      <c r="A5" s="11" t="s">
        <v>704</v>
      </c>
      <c r="B5" s="12" t="s">
        <v>80</v>
      </c>
      <c r="C5" s="13" t="str">
        <f t="shared" ref="C5:C30" si="0">IFERROR(INDEX(Author_Code,MATCH($B5,Author_Name,0)),"")</f>
        <v>e</v>
      </c>
      <c r="D5" s="14"/>
      <c r="E5" s="13" t="str">
        <f t="shared" ref="E5:E30" si="1">IFERROR(INDEX(InPl_Code,MATCH($D5,InPl_Name,0)),"")</f>
        <v/>
      </c>
      <c r="F5" s="12" t="s">
        <v>411</v>
      </c>
      <c r="G5" s="13" t="str">
        <f t="shared" ref="G5:G30" si="2">IFERROR(INDEX(ST_Cat_Code,MATCH($F5,ST_Cat_Name,0)),"")</f>
        <v>AS</v>
      </c>
      <c r="H5" s="12" t="s">
        <v>367</v>
      </c>
      <c r="I5" s="13" t="str">
        <f t="shared" ref="I5:I30" si="3">IFERROR(IF($G5="AS",INDEX(AS_G1_Code,MATCH($H5,AS_G1_Name,0)),IF($G5="CS",INDEX(CS_G1_Code,MATCH($H5,CS_G1_Name,0)),IF($G5="RS",INDEX(RS_G1_Code,MATCH($H5,RS_G1_Name,0)),""))),"")</f>
        <v>SS</v>
      </c>
      <c r="J5" s="13" t="str">
        <f t="shared" ref="J5:J30" si="4">IFERROR(LEFT(IF($G5="AS",INDEX(AS_G1_TM,MATCH($H5,AS_G1_Name,0)),IF($G5="CS",INDEX(CS_G1_TM,MATCH($H5,CS_G1_Name,0)),IF($G5="RS",INDEX(RS_G1_TM,MATCH($H5,RS_G1_Name,0)),""))),1),"")</f>
        <v>2</v>
      </c>
      <c r="K5" s="12" t="s">
        <v>155</v>
      </c>
      <c r="L5" s="13" t="str">
        <f t="shared" ref="L5:L30" si="5">IFERROR(INDEX(ST_G2_Code,MATCH($K5,ST_G2_Name,0)),"")</f>
        <v>IN</v>
      </c>
      <c r="M5" s="12">
        <v>1</v>
      </c>
      <c r="N5" s="15"/>
      <c r="O5" s="13" t="str">
        <f t="shared" ref="O5:O30" si="6">IF($I5="OT",$N5,IF(OR($G5="",$J5="",$M5=""),"",$G5&amp;"-"&amp;$J5&amp;IF(UPPER($M5)="XX","XX",TEXT($M5,"00"))))</f>
        <v>AS-201</v>
      </c>
      <c r="P5" s="16"/>
      <c r="Q5" s="13" t="str">
        <f t="shared" ref="Q5:Q30" si="7">$G5&amp;IF($I5&lt;&gt;"","."&amp;$I5,"")&amp;IF($L5&lt;&gt;"","."&amp;$L5,"")</f>
        <v>AS.SS.IN</v>
      </c>
      <c r="R5" s="17" t="str">
        <f t="shared" ref="R5:R30" si="8">IF(AND($F5&lt;&gt;"",$H5&lt;&gt;"",$O5&lt;&gt;""),$C5&amp;"_"&amp;$O5&amp;"_"&amp;$E5&amp;$Q5&amp;IF($P5&lt;&gt;"","_"&amp;$P5,""),"")</f>
        <v>e_AS-201_AS.SS.IN</v>
      </c>
      <c r="S5" s="18" t="str">
        <f>IF($G5="AS",ADDRESS(ROW(INDEX(Tbl_AS_G1[AS_Group1],1)),COLUMN(Tbl_AS_G1[AS_Group1]),1,1,"DV")&amp;":"&amp;ADDRESS(ROW(INDEX(Tbl_AS_G1[AS_Group1],1))+ROWS(Tbl_AS_G1[AS_Group1])-1,COLUMN(Tbl_AS_G1[AS_Group1]),1,1),IF($G5="CS",ADDRESS(ROW(INDEX(Tbl_CS_G1[CS_Group1],1)),COLUMN(Tbl_CS_G1[CS_Group1]),1,1,"DV")&amp;":"&amp;ADDRESS(ROW(INDEX(Tbl_CS_G1[CS_Group1],1))+ROWS(Tbl_CS_G1[CS_Group1])-1,COLUMN(Tbl_CS_G1[CS_Group1]),1,1),IF($G5="RS",ADDRESS(ROW(INDEX(Tbl_RS_G1[RS_Group1],1)),COLUMN(Tbl_RS_G1[RS_Group1]),1,1,"DV")&amp;":"&amp;ADDRESS(ROW(INDEX(Tbl_RS_G1[RS_Group1],1))+ROWS(Tbl_RS_G1[RS_Group1])-1,COLUMN(Tbl_RS_G1[RS_Group1]),1,1),"_src!$A$1")))</f>
        <v>DV!$E$132:$E$137</v>
      </c>
    </row>
    <row r="6" spans="1:19" x14ac:dyDescent="0.25">
      <c r="A6" s="11" t="s">
        <v>705</v>
      </c>
      <c r="B6" s="12" t="s">
        <v>80</v>
      </c>
      <c r="C6" s="13" t="str">
        <f t="shared" si="0"/>
        <v>e</v>
      </c>
      <c r="D6" s="14"/>
      <c r="E6" s="13" t="str">
        <f t="shared" si="1"/>
        <v/>
      </c>
      <c r="F6" s="12" t="s">
        <v>411</v>
      </c>
      <c r="G6" s="13" t="str">
        <f t="shared" si="2"/>
        <v>AS</v>
      </c>
      <c r="H6" s="12" t="s">
        <v>367</v>
      </c>
      <c r="I6" s="13" t="str">
        <f t="shared" si="3"/>
        <v>SS</v>
      </c>
      <c r="J6" s="13" t="str">
        <f t="shared" si="4"/>
        <v>2</v>
      </c>
      <c r="K6" s="12" t="s">
        <v>418</v>
      </c>
      <c r="L6" s="13" t="str">
        <f t="shared" si="5"/>
        <v>ES</v>
      </c>
      <c r="M6" s="12">
        <v>2</v>
      </c>
      <c r="N6" s="15"/>
      <c r="O6" s="13" t="str">
        <f t="shared" si="6"/>
        <v>AS-202</v>
      </c>
      <c r="P6" s="16"/>
      <c r="Q6" s="13" t="str">
        <f t="shared" si="7"/>
        <v>AS.SS.ES</v>
      </c>
      <c r="R6" s="17" t="str">
        <f t="shared" si="8"/>
        <v>e_AS-202_AS.SS.ES</v>
      </c>
      <c r="S6" s="18" t="str">
        <f>IF($G6="AS",ADDRESS(ROW(INDEX(Tbl_AS_G1[AS_Group1],1)),COLUMN(Tbl_AS_G1[AS_Group1]),1,1,"DV")&amp;":"&amp;ADDRESS(ROW(INDEX(Tbl_AS_G1[AS_Group1],1))+ROWS(Tbl_AS_G1[AS_Group1])-1,COLUMN(Tbl_AS_G1[AS_Group1]),1,1),IF($G6="CS",ADDRESS(ROW(INDEX(Tbl_CS_G1[CS_Group1],1)),COLUMN(Tbl_CS_G1[CS_Group1]),1,1,"DV")&amp;":"&amp;ADDRESS(ROW(INDEX(Tbl_CS_G1[CS_Group1],1))+ROWS(Tbl_CS_G1[CS_Group1])-1,COLUMN(Tbl_CS_G1[CS_Group1]),1,1),IF($G6="RS",ADDRESS(ROW(INDEX(Tbl_RS_G1[RS_Group1],1)),COLUMN(Tbl_RS_G1[RS_Group1]),1,1,"DV")&amp;":"&amp;ADDRESS(ROW(INDEX(Tbl_RS_G1[RS_Group1],1))+ROWS(Tbl_RS_G1[RS_Group1])-1,COLUMN(Tbl_RS_G1[RS_Group1]),1,1),"_src!$A$1")))</f>
        <v>DV!$E$132:$E$137</v>
      </c>
    </row>
    <row r="7" spans="1:19" x14ac:dyDescent="0.25">
      <c r="A7" s="11" t="s">
        <v>707</v>
      </c>
      <c r="B7" s="12" t="s">
        <v>80</v>
      </c>
      <c r="C7" s="13" t="str">
        <f t="shared" si="0"/>
        <v>e</v>
      </c>
      <c r="D7" s="14"/>
      <c r="E7" s="13" t="str">
        <f t="shared" si="1"/>
        <v/>
      </c>
      <c r="F7" s="12" t="s">
        <v>411</v>
      </c>
      <c r="G7" s="13" t="str">
        <f t="shared" si="2"/>
        <v>AS</v>
      </c>
      <c r="H7" s="12" t="s">
        <v>367</v>
      </c>
      <c r="I7" s="13" t="str">
        <f t="shared" si="3"/>
        <v>SS</v>
      </c>
      <c r="J7" s="13" t="str">
        <f t="shared" si="4"/>
        <v>2</v>
      </c>
      <c r="K7" s="12" t="s">
        <v>162</v>
      </c>
      <c r="L7" s="13" t="str">
        <f t="shared" si="5"/>
        <v>EX</v>
      </c>
      <c r="M7" s="12">
        <v>3</v>
      </c>
      <c r="N7" s="15"/>
      <c r="O7" s="13" t="str">
        <f t="shared" si="6"/>
        <v>AS-203</v>
      </c>
      <c r="P7" s="16"/>
      <c r="Q7" s="13" t="str">
        <f t="shared" si="7"/>
        <v>AS.SS.EX</v>
      </c>
      <c r="R7" s="17" t="str">
        <f t="shared" si="8"/>
        <v>e_AS-203_AS.SS.EX</v>
      </c>
      <c r="S7" s="18" t="str">
        <f>IF($G7="AS",ADDRESS(ROW(INDEX(Tbl_AS_G1[AS_Group1],1)),COLUMN(Tbl_AS_G1[AS_Group1]),1,1,"DV")&amp;":"&amp;ADDRESS(ROW(INDEX(Tbl_AS_G1[AS_Group1],1))+ROWS(Tbl_AS_G1[AS_Group1])-1,COLUMN(Tbl_AS_G1[AS_Group1]),1,1),IF($G7="CS",ADDRESS(ROW(INDEX(Tbl_CS_G1[CS_Group1],1)),COLUMN(Tbl_CS_G1[CS_Group1]),1,1,"DV")&amp;":"&amp;ADDRESS(ROW(INDEX(Tbl_CS_G1[CS_Group1],1))+ROWS(Tbl_CS_G1[CS_Group1])-1,COLUMN(Tbl_CS_G1[CS_Group1]),1,1),IF($G7="RS",ADDRESS(ROW(INDEX(Tbl_RS_G1[RS_Group1],1)),COLUMN(Tbl_RS_G1[RS_Group1]),1,1,"DV")&amp;":"&amp;ADDRESS(ROW(INDEX(Tbl_RS_G1[RS_Group1],1))+ROWS(Tbl_RS_G1[RS_Group1])-1,COLUMN(Tbl_RS_G1[RS_Group1]),1,1),"_src!$A$1")))</f>
        <v>DV!$E$132:$E$137</v>
      </c>
    </row>
    <row r="8" spans="1:19" x14ac:dyDescent="0.25">
      <c r="A8" s="11" t="s">
        <v>709</v>
      </c>
      <c r="B8" s="12" t="s">
        <v>80</v>
      </c>
      <c r="C8" s="13" t="str">
        <f t="shared" si="0"/>
        <v>e</v>
      </c>
      <c r="D8" s="14"/>
      <c r="E8" s="13" t="str">
        <f t="shared" si="1"/>
        <v/>
      </c>
      <c r="F8" s="12" t="s">
        <v>411</v>
      </c>
      <c r="G8" s="13" t="str">
        <f t="shared" si="2"/>
        <v>AS</v>
      </c>
      <c r="H8" s="12" t="s">
        <v>372</v>
      </c>
      <c r="I8" s="13" t="str">
        <f t="shared" si="3"/>
        <v>SP</v>
      </c>
      <c r="J8" s="13" t="str">
        <f t="shared" si="4"/>
        <v>3</v>
      </c>
      <c r="K8" s="12" t="s">
        <v>425</v>
      </c>
      <c r="L8" s="13" t="str">
        <f t="shared" si="5"/>
        <v>FT</v>
      </c>
      <c r="M8" s="12">
        <v>1</v>
      </c>
      <c r="N8" s="15"/>
      <c r="O8" s="13" t="str">
        <f t="shared" si="6"/>
        <v>AS-301</v>
      </c>
      <c r="P8" s="16"/>
      <c r="Q8" s="13" t="str">
        <f t="shared" si="7"/>
        <v>AS.SP.FT</v>
      </c>
      <c r="R8" s="17" t="str">
        <f t="shared" si="8"/>
        <v>e_AS-301_AS.SP.FT</v>
      </c>
      <c r="S8" s="18" t="str">
        <f>IF($G8="AS",ADDRESS(ROW(INDEX(Tbl_AS_G1[AS_Group1],1)),COLUMN(Tbl_AS_G1[AS_Group1]),1,1,"DV")&amp;":"&amp;ADDRESS(ROW(INDEX(Tbl_AS_G1[AS_Group1],1))+ROWS(Tbl_AS_G1[AS_Group1])-1,COLUMN(Tbl_AS_G1[AS_Group1]),1,1),IF($G8="CS",ADDRESS(ROW(INDEX(Tbl_CS_G1[CS_Group1],1)),COLUMN(Tbl_CS_G1[CS_Group1]),1,1,"DV")&amp;":"&amp;ADDRESS(ROW(INDEX(Tbl_CS_G1[CS_Group1],1))+ROWS(Tbl_CS_G1[CS_Group1])-1,COLUMN(Tbl_CS_G1[CS_Group1]),1,1),IF($G8="RS",ADDRESS(ROW(INDEX(Tbl_RS_G1[RS_Group1],1)),COLUMN(Tbl_RS_G1[RS_Group1]),1,1,"DV")&amp;":"&amp;ADDRESS(ROW(INDEX(Tbl_RS_G1[RS_Group1],1))+ROWS(Tbl_RS_G1[RS_Group1])-1,COLUMN(Tbl_RS_G1[RS_Group1]),1,1),"_src!$A$1")))</f>
        <v>DV!$E$132:$E$137</v>
      </c>
    </row>
    <row r="9" spans="1:19" x14ac:dyDescent="0.25">
      <c r="A9" s="11" t="s">
        <v>711</v>
      </c>
      <c r="B9" s="12" t="s">
        <v>80</v>
      </c>
      <c r="C9" s="13" t="str">
        <f t="shared" si="0"/>
        <v>e</v>
      </c>
      <c r="D9" s="14"/>
      <c r="E9" s="13" t="str">
        <f t="shared" si="1"/>
        <v/>
      </c>
      <c r="F9" s="12" t="s">
        <v>411</v>
      </c>
      <c r="G9" s="13" t="str">
        <f t="shared" si="2"/>
        <v>AS</v>
      </c>
      <c r="H9" s="12" t="s">
        <v>378</v>
      </c>
      <c r="I9" s="13" t="str">
        <f t="shared" si="3"/>
        <v>CT</v>
      </c>
      <c r="J9" s="13" t="str">
        <f t="shared" si="4"/>
        <v>4</v>
      </c>
      <c r="K9" s="12" t="s">
        <v>425</v>
      </c>
      <c r="L9" s="13" t="str">
        <f t="shared" si="5"/>
        <v>FT</v>
      </c>
      <c r="M9" s="12">
        <v>1</v>
      </c>
      <c r="N9" s="15"/>
      <c r="O9" s="13" t="str">
        <f t="shared" si="6"/>
        <v>AS-401</v>
      </c>
      <c r="P9" s="16"/>
      <c r="Q9" s="13" t="str">
        <f t="shared" si="7"/>
        <v>AS.CT.FT</v>
      </c>
      <c r="R9" s="17" t="str">
        <f t="shared" si="8"/>
        <v>e_AS-401_AS.CT.FT</v>
      </c>
      <c r="S9" s="18" t="str">
        <f>IF($G9="AS",ADDRESS(ROW(INDEX(Tbl_AS_G1[AS_Group1],1)),COLUMN(Tbl_AS_G1[AS_Group1]),1,1,"DV")&amp;":"&amp;ADDRESS(ROW(INDEX(Tbl_AS_G1[AS_Group1],1))+ROWS(Tbl_AS_G1[AS_Group1])-1,COLUMN(Tbl_AS_G1[AS_Group1]),1,1),IF($G9="CS",ADDRESS(ROW(INDEX(Tbl_CS_G1[CS_Group1],1)),COLUMN(Tbl_CS_G1[CS_Group1]),1,1,"DV")&amp;":"&amp;ADDRESS(ROW(INDEX(Tbl_CS_G1[CS_Group1],1))+ROWS(Tbl_CS_G1[CS_Group1])-1,COLUMN(Tbl_CS_G1[CS_Group1]),1,1),IF($G9="RS",ADDRESS(ROW(INDEX(Tbl_RS_G1[RS_Group1],1)),COLUMN(Tbl_RS_G1[RS_Group1]),1,1,"DV")&amp;":"&amp;ADDRESS(ROW(INDEX(Tbl_RS_G1[RS_Group1],1))+ROWS(Tbl_RS_G1[RS_Group1])-1,COLUMN(Tbl_RS_G1[RS_Group1]),1,1),"_src!$A$1")))</f>
        <v>DV!$E$132:$E$137</v>
      </c>
    </row>
    <row r="10" spans="1:19" x14ac:dyDescent="0.25">
      <c r="A10" s="11" t="s">
        <v>712</v>
      </c>
      <c r="B10" s="12" t="s">
        <v>80</v>
      </c>
      <c r="C10" s="13" t="str">
        <f t="shared" si="0"/>
        <v>e</v>
      </c>
      <c r="D10" s="14"/>
      <c r="E10" s="13" t="str">
        <f t="shared" si="1"/>
        <v/>
      </c>
      <c r="F10" s="12" t="s">
        <v>411</v>
      </c>
      <c r="G10" s="13" t="str">
        <f t="shared" si="2"/>
        <v>AS</v>
      </c>
      <c r="H10" s="12" t="s">
        <v>158</v>
      </c>
      <c r="I10" s="13" t="str">
        <f t="shared" si="3"/>
        <v>FR</v>
      </c>
      <c r="J10" s="13" t="str">
        <f t="shared" si="4"/>
        <v>5</v>
      </c>
      <c r="K10" s="12" t="s">
        <v>422</v>
      </c>
      <c r="L10" s="13" t="str">
        <f t="shared" si="5"/>
        <v>SV</v>
      </c>
      <c r="M10" s="12">
        <v>1</v>
      </c>
      <c r="N10" s="15"/>
      <c r="O10" s="13" t="str">
        <f t="shared" si="6"/>
        <v>AS-501</v>
      </c>
      <c r="P10" s="16" t="s">
        <v>812</v>
      </c>
      <c r="Q10" s="13" t="str">
        <f t="shared" si="7"/>
        <v>AS.FR.SV</v>
      </c>
      <c r="R10" s="17" t="str">
        <f t="shared" si="8"/>
        <v>e_AS-501_AS.FR.SV_PlantRoom</v>
      </c>
      <c r="S10" s="18" t="str">
        <f>IF($G10="AS",ADDRESS(ROW(INDEX(Tbl_AS_G1[AS_Group1],1)),COLUMN(Tbl_AS_G1[AS_Group1]),1,1,"DV")&amp;":"&amp;ADDRESS(ROW(INDEX(Tbl_AS_G1[AS_Group1],1))+ROWS(Tbl_AS_G1[AS_Group1])-1,COLUMN(Tbl_AS_G1[AS_Group1]),1,1),IF($G10="CS",ADDRESS(ROW(INDEX(Tbl_CS_G1[CS_Group1],1)),COLUMN(Tbl_CS_G1[CS_Group1]),1,1,"DV")&amp;":"&amp;ADDRESS(ROW(INDEX(Tbl_CS_G1[CS_Group1],1))+ROWS(Tbl_CS_G1[CS_Group1])-1,COLUMN(Tbl_CS_G1[CS_Group1]),1,1),IF($G10="RS",ADDRESS(ROW(INDEX(Tbl_RS_G1[RS_Group1],1)),COLUMN(Tbl_RS_G1[RS_Group1]),1,1,"DV")&amp;":"&amp;ADDRESS(ROW(INDEX(Tbl_RS_G1[RS_Group1],1))+ROWS(Tbl_RS_G1[RS_Group1])-1,COLUMN(Tbl_RS_G1[RS_Group1]),1,1),"_src!$A$1")))</f>
        <v>DV!$E$132:$E$137</v>
      </c>
    </row>
    <row r="11" spans="1:19" x14ac:dyDescent="0.25">
      <c r="A11" s="11" t="s">
        <v>713</v>
      </c>
      <c r="B11" s="12" t="s">
        <v>80</v>
      </c>
      <c r="C11" s="13" t="str">
        <f t="shared" si="0"/>
        <v>e</v>
      </c>
      <c r="D11" s="14"/>
      <c r="E11" s="13" t="str">
        <f t="shared" si="1"/>
        <v/>
      </c>
      <c r="F11" s="12" t="s">
        <v>414</v>
      </c>
      <c r="G11" s="13" t="str">
        <f t="shared" si="2"/>
        <v>CS</v>
      </c>
      <c r="H11" s="12" t="s">
        <v>172</v>
      </c>
      <c r="I11" s="13" t="str">
        <f t="shared" si="3"/>
        <v>MN</v>
      </c>
      <c r="J11" s="13" t="str">
        <f t="shared" si="4"/>
        <v>1</v>
      </c>
      <c r="K11" s="12" t="s">
        <v>155</v>
      </c>
      <c r="L11" s="13" t="str">
        <f t="shared" si="5"/>
        <v>IN</v>
      </c>
      <c r="M11" s="12">
        <v>1</v>
      </c>
      <c r="N11" s="15"/>
      <c r="O11" s="13" t="str">
        <f t="shared" si="6"/>
        <v>CS-101</v>
      </c>
      <c r="P11" s="16"/>
      <c r="Q11" s="13" t="str">
        <f t="shared" si="7"/>
        <v>CS.MN.IN</v>
      </c>
      <c r="R11" s="17" t="str">
        <f t="shared" si="8"/>
        <v>e_CS-101_CS.MN.IN</v>
      </c>
      <c r="S11" s="18" t="str">
        <f>IF($G11="AS",ADDRESS(ROW(INDEX(Tbl_AS_G1[AS_Group1],1)),COLUMN(Tbl_AS_G1[AS_Group1]),1,1,"DV")&amp;":"&amp;ADDRESS(ROW(INDEX(Tbl_AS_G1[AS_Group1],1))+ROWS(Tbl_AS_G1[AS_Group1])-1,COLUMN(Tbl_AS_G1[AS_Group1]),1,1),IF($G11="CS",ADDRESS(ROW(INDEX(Tbl_CS_G1[CS_Group1],1)),COLUMN(Tbl_CS_G1[CS_Group1]),1,1,"DV")&amp;":"&amp;ADDRESS(ROW(INDEX(Tbl_CS_G1[CS_Group1],1))+ROWS(Tbl_CS_G1[CS_Group1])-1,COLUMN(Tbl_CS_G1[CS_Group1]),1,1),IF($G11="RS",ADDRESS(ROW(INDEX(Tbl_RS_G1[RS_Group1],1)),COLUMN(Tbl_RS_G1[RS_Group1]),1,1,"DV")&amp;":"&amp;ADDRESS(ROW(INDEX(Tbl_RS_G1[RS_Group1],1))+ROWS(Tbl_RS_G1[RS_Group1])-1,COLUMN(Tbl_RS_G1[RS_Group1]),1,1),"_src!$A$1")))</f>
        <v>DV!$E$141:$E$144</v>
      </c>
    </row>
    <row r="12" spans="1:19" x14ac:dyDescent="0.25">
      <c r="A12" s="11" t="s">
        <v>715</v>
      </c>
      <c r="B12" s="12" t="s">
        <v>80</v>
      </c>
      <c r="C12" s="13" t="str">
        <f t="shared" si="0"/>
        <v>e</v>
      </c>
      <c r="D12" s="14"/>
      <c r="E12" s="13" t="str">
        <f t="shared" si="1"/>
        <v/>
      </c>
      <c r="F12" s="12" t="s">
        <v>414</v>
      </c>
      <c r="G12" s="13" t="str">
        <f t="shared" si="2"/>
        <v>CS</v>
      </c>
      <c r="H12" s="12" t="s">
        <v>172</v>
      </c>
      <c r="I12" s="13" t="str">
        <f t="shared" si="3"/>
        <v>MN</v>
      </c>
      <c r="J12" s="13" t="str">
        <f t="shared" si="4"/>
        <v>1</v>
      </c>
      <c r="K12" s="12" t="s">
        <v>418</v>
      </c>
      <c r="L12" s="13" t="str">
        <f t="shared" si="5"/>
        <v>ES</v>
      </c>
      <c r="M12" s="12">
        <v>2</v>
      </c>
      <c r="N12" s="15"/>
      <c r="O12" s="13" t="str">
        <f t="shared" si="6"/>
        <v>CS-102</v>
      </c>
      <c r="P12" s="16"/>
      <c r="Q12" s="13" t="str">
        <f t="shared" si="7"/>
        <v>CS.MN.ES</v>
      </c>
      <c r="R12" s="17" t="str">
        <f t="shared" si="8"/>
        <v>e_CS-102_CS.MN.ES</v>
      </c>
      <c r="S12" s="18" t="str">
        <f>IF($G12="AS",ADDRESS(ROW(INDEX(Tbl_AS_G1[AS_Group1],1)),COLUMN(Tbl_AS_G1[AS_Group1]),1,1,"DV")&amp;":"&amp;ADDRESS(ROW(INDEX(Tbl_AS_G1[AS_Group1],1))+ROWS(Tbl_AS_G1[AS_Group1])-1,COLUMN(Tbl_AS_G1[AS_Group1]),1,1),IF($G12="CS",ADDRESS(ROW(INDEX(Tbl_CS_G1[CS_Group1],1)),COLUMN(Tbl_CS_G1[CS_Group1]),1,1,"DV")&amp;":"&amp;ADDRESS(ROW(INDEX(Tbl_CS_G1[CS_Group1],1))+ROWS(Tbl_CS_G1[CS_Group1])-1,COLUMN(Tbl_CS_G1[CS_Group1]),1,1),IF($G12="RS",ADDRESS(ROW(INDEX(Tbl_RS_G1[RS_Group1],1)),COLUMN(Tbl_RS_G1[RS_Group1]),1,1,"DV")&amp;":"&amp;ADDRESS(ROW(INDEX(Tbl_RS_G1[RS_Group1],1))+ROWS(Tbl_RS_G1[RS_Group1])-1,COLUMN(Tbl_RS_G1[RS_Group1]),1,1),"_src!$A$1")))</f>
        <v>DV!$E$141:$E$144</v>
      </c>
    </row>
    <row r="13" spans="1:19" x14ac:dyDescent="0.25">
      <c r="A13" s="11" t="s">
        <v>716</v>
      </c>
      <c r="B13" s="12" t="s">
        <v>80</v>
      </c>
      <c r="C13" s="13" t="str">
        <f t="shared" si="0"/>
        <v>e</v>
      </c>
      <c r="D13" s="14"/>
      <c r="E13" s="13" t="str">
        <f t="shared" si="1"/>
        <v/>
      </c>
      <c r="F13" s="12" t="s">
        <v>414</v>
      </c>
      <c r="G13" s="13" t="str">
        <f t="shared" si="2"/>
        <v>CS</v>
      </c>
      <c r="H13" s="12" t="s">
        <v>378</v>
      </c>
      <c r="I13" s="13" t="str">
        <f t="shared" si="3"/>
        <v>CT</v>
      </c>
      <c r="J13" s="13" t="str">
        <f t="shared" si="4"/>
        <v>4</v>
      </c>
      <c r="K13" s="12" t="s">
        <v>425</v>
      </c>
      <c r="L13" s="13" t="str">
        <f t="shared" si="5"/>
        <v>FT</v>
      </c>
      <c r="M13" s="12">
        <v>1</v>
      </c>
      <c r="N13" s="15"/>
      <c r="O13" s="13" t="str">
        <f t="shared" si="6"/>
        <v>CS-401</v>
      </c>
      <c r="P13" s="16"/>
      <c r="Q13" s="13" t="str">
        <f t="shared" si="7"/>
        <v>CS.CT.FT</v>
      </c>
      <c r="R13" s="17" t="str">
        <f t="shared" si="8"/>
        <v>e_CS-401_CS.CT.FT</v>
      </c>
      <c r="S13" s="18" t="str">
        <f>IF($G13="AS",ADDRESS(ROW(INDEX(Tbl_AS_G1[AS_Group1],1)),COLUMN(Tbl_AS_G1[AS_Group1]),1,1,"DV")&amp;":"&amp;ADDRESS(ROW(INDEX(Tbl_AS_G1[AS_Group1],1))+ROWS(Tbl_AS_G1[AS_Group1])-1,COLUMN(Tbl_AS_G1[AS_Group1]),1,1),IF($G13="CS",ADDRESS(ROW(INDEX(Tbl_CS_G1[CS_Group1],1)),COLUMN(Tbl_CS_G1[CS_Group1]),1,1,"DV")&amp;":"&amp;ADDRESS(ROW(INDEX(Tbl_CS_G1[CS_Group1],1))+ROWS(Tbl_CS_G1[CS_Group1])-1,COLUMN(Tbl_CS_G1[CS_Group1]),1,1),IF($G13="RS",ADDRESS(ROW(INDEX(Tbl_RS_G1[RS_Group1],1)),COLUMN(Tbl_RS_G1[RS_Group1]),1,1,"DV")&amp;":"&amp;ADDRESS(ROW(INDEX(Tbl_RS_G1[RS_Group1],1))+ROWS(Tbl_RS_G1[RS_Group1])-1,COLUMN(Tbl_RS_G1[RS_Group1]),1,1),"_src!$A$1")))</f>
        <v>DV!$E$141:$E$144</v>
      </c>
    </row>
    <row r="14" spans="1:19" x14ac:dyDescent="0.25">
      <c r="A14" s="11" t="s">
        <v>717</v>
      </c>
      <c r="B14" s="12" t="s">
        <v>80</v>
      </c>
      <c r="C14" s="13" t="str">
        <f t="shared" si="0"/>
        <v>e</v>
      </c>
      <c r="D14" s="14"/>
      <c r="E14" s="13" t="str">
        <f t="shared" si="1"/>
        <v/>
      </c>
      <c r="F14" s="12" t="s">
        <v>416</v>
      </c>
      <c r="G14" s="13" t="str">
        <f t="shared" si="2"/>
        <v>RS</v>
      </c>
      <c r="H14" s="12" t="s">
        <v>172</v>
      </c>
      <c r="I14" s="13" t="str">
        <f t="shared" si="3"/>
        <v>MN</v>
      </c>
      <c r="J14" s="13" t="str">
        <f t="shared" si="4"/>
        <v>1</v>
      </c>
      <c r="K14" s="12" t="s">
        <v>155</v>
      </c>
      <c r="L14" s="13" t="str">
        <f t="shared" si="5"/>
        <v>IN</v>
      </c>
      <c r="M14" s="12">
        <v>1</v>
      </c>
      <c r="N14" s="15"/>
      <c r="O14" s="13" t="str">
        <f t="shared" si="6"/>
        <v>RS-101</v>
      </c>
      <c r="P14" s="16"/>
      <c r="Q14" s="13" t="str">
        <f t="shared" si="7"/>
        <v>RS.MN.IN</v>
      </c>
      <c r="R14" s="17" t="str">
        <f t="shared" si="8"/>
        <v>e_RS-101_RS.MN.IN</v>
      </c>
      <c r="S14" s="18" t="str">
        <f>IF($G14="AS",ADDRESS(ROW(INDEX(Tbl_AS_G1[AS_Group1],1)),COLUMN(Tbl_AS_G1[AS_Group1]),1,1,"DV")&amp;":"&amp;ADDRESS(ROW(INDEX(Tbl_AS_G1[AS_Group1],1))+ROWS(Tbl_AS_G1[AS_Group1])-1,COLUMN(Tbl_AS_G1[AS_Group1]),1,1),IF($G14="CS",ADDRESS(ROW(INDEX(Tbl_CS_G1[CS_Group1],1)),COLUMN(Tbl_CS_G1[CS_Group1]),1,1,"DV")&amp;":"&amp;ADDRESS(ROW(INDEX(Tbl_CS_G1[CS_Group1],1))+ROWS(Tbl_CS_G1[CS_Group1])-1,COLUMN(Tbl_CS_G1[CS_Group1]),1,1),IF($G14="RS",ADDRESS(ROW(INDEX(Tbl_RS_G1[RS_Group1],1)),COLUMN(Tbl_RS_G1[RS_Group1]),1,1,"DV")&amp;":"&amp;ADDRESS(ROW(INDEX(Tbl_RS_G1[RS_Group1],1))+ROWS(Tbl_RS_G1[RS_Group1])-1,COLUMN(Tbl_RS_G1[RS_Group1]),1,1),"_src!$A$1")))</f>
        <v>DV!$E$148:$E$151</v>
      </c>
    </row>
    <row r="15" spans="1:19" x14ac:dyDescent="0.25">
      <c r="A15" s="11" t="s">
        <v>719</v>
      </c>
      <c r="B15" s="12" t="s">
        <v>80</v>
      </c>
      <c r="C15" s="13" t="str">
        <f t="shared" si="0"/>
        <v>e</v>
      </c>
      <c r="D15" s="14" t="s">
        <v>84</v>
      </c>
      <c r="E15" s="13" t="str">
        <f t="shared" si="1"/>
        <v>(I)</v>
      </c>
      <c r="F15" s="12" t="s">
        <v>411</v>
      </c>
      <c r="G15" s="13" t="str">
        <f t="shared" si="2"/>
        <v>AS</v>
      </c>
      <c r="H15" s="12" t="s">
        <v>367</v>
      </c>
      <c r="I15" s="13" t="str">
        <f t="shared" si="3"/>
        <v>SS</v>
      </c>
      <c r="J15" s="13" t="str">
        <f t="shared" si="4"/>
        <v>2</v>
      </c>
      <c r="K15" s="12" t="s">
        <v>155</v>
      </c>
      <c r="L15" s="13" t="str">
        <f t="shared" si="5"/>
        <v>IN</v>
      </c>
      <c r="M15" s="12">
        <v>1</v>
      </c>
      <c r="N15" s="15"/>
      <c r="O15" s="13" t="str">
        <f t="shared" si="6"/>
        <v>AS-201</v>
      </c>
      <c r="P15" s="16"/>
      <c r="Q15" s="13" t="str">
        <f t="shared" si="7"/>
        <v>AS.SS.IN</v>
      </c>
      <c r="R15" s="17" t="str">
        <f t="shared" si="8"/>
        <v>e_AS-201_(I)AS.SS.IN</v>
      </c>
      <c r="S15" s="18" t="str">
        <f>IF($G15="AS",ADDRESS(ROW(INDEX(Tbl_AS_G1[AS_Group1],1)),COLUMN(Tbl_AS_G1[AS_Group1]),1,1,"DV")&amp;":"&amp;ADDRESS(ROW(INDEX(Tbl_AS_G1[AS_Group1],1))+ROWS(Tbl_AS_G1[AS_Group1])-1,COLUMN(Tbl_AS_G1[AS_Group1]),1,1),IF($G15="CS",ADDRESS(ROW(INDEX(Tbl_CS_G1[CS_Group1],1)),COLUMN(Tbl_CS_G1[CS_Group1]),1,1,"DV")&amp;":"&amp;ADDRESS(ROW(INDEX(Tbl_CS_G1[CS_Group1],1))+ROWS(Tbl_CS_G1[CS_Group1])-1,COLUMN(Tbl_CS_G1[CS_Group1]),1,1),IF($G15="RS",ADDRESS(ROW(INDEX(Tbl_RS_G1[RS_Group1],1)),COLUMN(Tbl_RS_G1[RS_Group1]),1,1,"DV")&amp;":"&amp;ADDRESS(ROW(INDEX(Tbl_RS_G1[RS_Group1],1))+ROWS(Tbl_RS_G1[RS_Group1])-1,COLUMN(Tbl_RS_G1[RS_Group1]),1,1),"_src!$A$1")))</f>
        <v>DV!$E$132:$E$137</v>
      </c>
    </row>
    <row r="16" spans="1:19" x14ac:dyDescent="0.25">
      <c r="A16" s="19">
        <v>1</v>
      </c>
      <c r="B16" s="20"/>
      <c r="C16" s="21" t="str">
        <f t="shared" si="0"/>
        <v/>
      </c>
      <c r="D16" s="22"/>
      <c r="E16" s="21" t="str">
        <f t="shared" si="1"/>
        <v/>
      </c>
      <c r="F16" s="20"/>
      <c r="G16" s="21" t="str">
        <f t="shared" si="2"/>
        <v/>
      </c>
      <c r="H16" s="20"/>
      <c r="I16" s="21" t="str">
        <f t="shared" si="3"/>
        <v/>
      </c>
      <c r="J16" s="21" t="str">
        <f t="shared" si="4"/>
        <v/>
      </c>
      <c r="K16" s="20"/>
      <c r="L16" s="21" t="str">
        <f t="shared" si="5"/>
        <v/>
      </c>
      <c r="M16" s="20"/>
      <c r="N16" s="23"/>
      <c r="O16" s="21" t="str">
        <f t="shared" si="6"/>
        <v/>
      </c>
      <c r="P16" s="24"/>
      <c r="Q16" s="21" t="str">
        <f t="shared" si="7"/>
        <v/>
      </c>
      <c r="R16" s="25" t="str">
        <f t="shared" si="8"/>
        <v/>
      </c>
      <c r="S16" s="18" t="str">
        <f>IF($G16="AS",ADDRESS(ROW(INDEX(Tbl_AS_G1[AS_Group1],1)),COLUMN(Tbl_AS_G1[AS_Group1]),1,1,"DV")&amp;":"&amp;ADDRESS(ROW(INDEX(Tbl_AS_G1[AS_Group1],1))+ROWS(Tbl_AS_G1[AS_Group1])-1,COLUMN(Tbl_AS_G1[AS_Group1]),1,1),IF($G16="CS",ADDRESS(ROW(INDEX(Tbl_CS_G1[CS_Group1],1)),COLUMN(Tbl_CS_G1[CS_Group1]),1,1,"DV")&amp;":"&amp;ADDRESS(ROW(INDEX(Tbl_CS_G1[CS_Group1],1))+ROWS(Tbl_CS_G1[CS_Group1])-1,COLUMN(Tbl_CS_G1[CS_Group1]),1,1),IF($G16="RS",ADDRESS(ROW(INDEX(Tbl_RS_G1[RS_Group1],1)),COLUMN(Tbl_RS_G1[RS_Group1]),1,1,"DV")&amp;":"&amp;ADDRESS(ROW(INDEX(Tbl_RS_G1[RS_Group1],1))+ROWS(Tbl_RS_G1[RS_Group1])-1,COLUMN(Tbl_RS_G1[RS_Group1]),1,1),"_src!$A$1")))</f>
        <v>_src!$A$1</v>
      </c>
    </row>
    <row r="17" spans="1:19" x14ac:dyDescent="0.25">
      <c r="A17" s="19">
        <v>2</v>
      </c>
      <c r="B17" s="20"/>
      <c r="C17" s="21" t="str">
        <f t="shared" si="0"/>
        <v/>
      </c>
      <c r="D17" s="22"/>
      <c r="E17" s="21" t="str">
        <f t="shared" si="1"/>
        <v/>
      </c>
      <c r="F17" s="20"/>
      <c r="G17" s="21" t="str">
        <f t="shared" si="2"/>
        <v/>
      </c>
      <c r="H17" s="20"/>
      <c r="I17" s="21" t="str">
        <f t="shared" si="3"/>
        <v/>
      </c>
      <c r="J17" s="21" t="str">
        <f t="shared" si="4"/>
        <v/>
      </c>
      <c r="K17" s="20"/>
      <c r="L17" s="21" t="str">
        <f t="shared" si="5"/>
        <v/>
      </c>
      <c r="M17" s="20"/>
      <c r="N17" s="23"/>
      <c r="O17" s="21" t="str">
        <f t="shared" si="6"/>
        <v/>
      </c>
      <c r="P17" s="24"/>
      <c r="Q17" s="21" t="str">
        <f t="shared" si="7"/>
        <v/>
      </c>
      <c r="R17" s="25" t="str">
        <f t="shared" si="8"/>
        <v/>
      </c>
      <c r="S17" s="18" t="str">
        <f>IF($G17="AS",ADDRESS(ROW(INDEX(Tbl_AS_G1[AS_Group1],1)),COLUMN(Tbl_AS_G1[AS_Group1]),1,1,"DV")&amp;":"&amp;ADDRESS(ROW(INDEX(Tbl_AS_G1[AS_Group1],1))+ROWS(Tbl_AS_G1[AS_Group1])-1,COLUMN(Tbl_AS_G1[AS_Group1]),1,1),IF($G17="CS",ADDRESS(ROW(INDEX(Tbl_CS_G1[CS_Group1],1)),COLUMN(Tbl_CS_G1[CS_Group1]),1,1,"DV")&amp;":"&amp;ADDRESS(ROW(INDEX(Tbl_CS_G1[CS_Group1],1))+ROWS(Tbl_CS_G1[CS_Group1])-1,COLUMN(Tbl_CS_G1[CS_Group1]),1,1),IF($G17="RS",ADDRESS(ROW(INDEX(Tbl_RS_G1[RS_Group1],1)),COLUMN(Tbl_RS_G1[RS_Group1]),1,1,"DV")&amp;":"&amp;ADDRESS(ROW(INDEX(Tbl_RS_G1[RS_Group1],1))+ROWS(Tbl_RS_G1[RS_Group1])-1,COLUMN(Tbl_RS_G1[RS_Group1]),1,1),"_src!$A$1")))</f>
        <v>_src!$A$1</v>
      </c>
    </row>
    <row r="18" spans="1:19" x14ac:dyDescent="0.25">
      <c r="A18" s="19">
        <v>3</v>
      </c>
      <c r="B18" s="20"/>
      <c r="C18" s="21" t="str">
        <f t="shared" si="0"/>
        <v/>
      </c>
      <c r="D18" s="22"/>
      <c r="E18" s="21" t="str">
        <f t="shared" si="1"/>
        <v/>
      </c>
      <c r="F18" s="20"/>
      <c r="G18" s="21" t="str">
        <f t="shared" si="2"/>
        <v/>
      </c>
      <c r="H18" s="20"/>
      <c r="I18" s="21" t="str">
        <f t="shared" si="3"/>
        <v/>
      </c>
      <c r="J18" s="21" t="str">
        <f t="shared" si="4"/>
        <v/>
      </c>
      <c r="K18" s="20"/>
      <c r="L18" s="21" t="str">
        <f t="shared" si="5"/>
        <v/>
      </c>
      <c r="M18" s="20"/>
      <c r="N18" s="23"/>
      <c r="O18" s="21" t="str">
        <f t="shared" si="6"/>
        <v/>
      </c>
      <c r="P18" s="24"/>
      <c r="Q18" s="21" t="str">
        <f t="shared" si="7"/>
        <v/>
      </c>
      <c r="R18" s="25" t="str">
        <f t="shared" si="8"/>
        <v/>
      </c>
      <c r="S18" s="18" t="str">
        <f>IF($G18="AS",ADDRESS(ROW(INDEX(Tbl_AS_G1[AS_Group1],1)),COLUMN(Tbl_AS_G1[AS_Group1]),1,1,"DV")&amp;":"&amp;ADDRESS(ROW(INDEX(Tbl_AS_G1[AS_Group1],1))+ROWS(Tbl_AS_G1[AS_Group1])-1,COLUMN(Tbl_AS_G1[AS_Group1]),1,1),IF($G18="CS",ADDRESS(ROW(INDEX(Tbl_CS_G1[CS_Group1],1)),COLUMN(Tbl_CS_G1[CS_Group1]),1,1,"DV")&amp;":"&amp;ADDRESS(ROW(INDEX(Tbl_CS_G1[CS_Group1],1))+ROWS(Tbl_CS_G1[CS_Group1])-1,COLUMN(Tbl_CS_G1[CS_Group1]),1,1),IF($G18="RS",ADDRESS(ROW(INDEX(Tbl_RS_G1[RS_Group1],1)),COLUMN(Tbl_RS_G1[RS_Group1]),1,1,"DV")&amp;":"&amp;ADDRESS(ROW(INDEX(Tbl_RS_G1[RS_Group1],1))+ROWS(Tbl_RS_G1[RS_Group1])-1,COLUMN(Tbl_RS_G1[RS_Group1]),1,1),"_src!$A$1")))</f>
        <v>_src!$A$1</v>
      </c>
    </row>
    <row r="19" spans="1:19" x14ac:dyDescent="0.25">
      <c r="A19" s="19">
        <v>4</v>
      </c>
      <c r="B19" s="20"/>
      <c r="C19" s="21" t="str">
        <f t="shared" si="0"/>
        <v/>
      </c>
      <c r="D19" s="22"/>
      <c r="E19" s="21" t="str">
        <f t="shared" si="1"/>
        <v/>
      </c>
      <c r="F19" s="20"/>
      <c r="G19" s="21" t="str">
        <f t="shared" si="2"/>
        <v/>
      </c>
      <c r="H19" s="20"/>
      <c r="I19" s="21" t="str">
        <f t="shared" si="3"/>
        <v/>
      </c>
      <c r="J19" s="21" t="str">
        <f t="shared" si="4"/>
        <v/>
      </c>
      <c r="K19" s="20"/>
      <c r="L19" s="21" t="str">
        <f t="shared" si="5"/>
        <v/>
      </c>
      <c r="M19" s="20"/>
      <c r="N19" s="23"/>
      <c r="O19" s="21" t="str">
        <f t="shared" si="6"/>
        <v/>
      </c>
      <c r="P19" s="24"/>
      <c r="Q19" s="21" t="str">
        <f t="shared" si="7"/>
        <v/>
      </c>
      <c r="R19" s="25" t="str">
        <f t="shared" si="8"/>
        <v/>
      </c>
      <c r="S19" s="18" t="str">
        <f>IF($G19="AS",ADDRESS(ROW(INDEX(Tbl_AS_G1[AS_Group1],1)),COLUMN(Tbl_AS_G1[AS_Group1]),1,1,"DV")&amp;":"&amp;ADDRESS(ROW(INDEX(Tbl_AS_G1[AS_Group1],1))+ROWS(Tbl_AS_G1[AS_Group1])-1,COLUMN(Tbl_AS_G1[AS_Group1]),1,1),IF($G19="CS",ADDRESS(ROW(INDEX(Tbl_CS_G1[CS_Group1],1)),COLUMN(Tbl_CS_G1[CS_Group1]),1,1,"DV")&amp;":"&amp;ADDRESS(ROW(INDEX(Tbl_CS_G1[CS_Group1],1))+ROWS(Tbl_CS_G1[CS_Group1])-1,COLUMN(Tbl_CS_G1[CS_Group1]),1,1),IF($G19="RS",ADDRESS(ROW(INDEX(Tbl_RS_G1[RS_Group1],1)),COLUMN(Tbl_RS_G1[RS_Group1]),1,1,"DV")&amp;":"&amp;ADDRESS(ROW(INDEX(Tbl_RS_G1[RS_Group1],1))+ROWS(Tbl_RS_G1[RS_Group1])-1,COLUMN(Tbl_RS_G1[RS_Group1]),1,1),"_src!$A$1")))</f>
        <v>_src!$A$1</v>
      </c>
    </row>
    <row r="20" spans="1:19" x14ac:dyDescent="0.25">
      <c r="A20" s="19">
        <v>5</v>
      </c>
      <c r="B20" s="20"/>
      <c r="C20" s="21" t="str">
        <f t="shared" si="0"/>
        <v/>
      </c>
      <c r="D20" s="22"/>
      <c r="E20" s="21" t="str">
        <f t="shared" si="1"/>
        <v/>
      </c>
      <c r="F20" s="20"/>
      <c r="G20" s="21" t="str">
        <f t="shared" si="2"/>
        <v/>
      </c>
      <c r="H20" s="20"/>
      <c r="I20" s="21" t="str">
        <f t="shared" si="3"/>
        <v/>
      </c>
      <c r="J20" s="21" t="str">
        <f t="shared" si="4"/>
        <v/>
      </c>
      <c r="K20" s="20"/>
      <c r="L20" s="21" t="str">
        <f t="shared" si="5"/>
        <v/>
      </c>
      <c r="M20" s="20"/>
      <c r="N20" s="23"/>
      <c r="O20" s="21" t="str">
        <f t="shared" si="6"/>
        <v/>
      </c>
      <c r="P20" s="24"/>
      <c r="Q20" s="21" t="str">
        <f t="shared" si="7"/>
        <v/>
      </c>
      <c r="R20" s="25" t="str">
        <f t="shared" si="8"/>
        <v/>
      </c>
      <c r="S20" s="18" t="str">
        <f>IF($G20="AS",ADDRESS(ROW(INDEX(Tbl_AS_G1[AS_Group1],1)),COLUMN(Tbl_AS_G1[AS_Group1]),1,1,"DV")&amp;":"&amp;ADDRESS(ROW(INDEX(Tbl_AS_G1[AS_Group1],1))+ROWS(Tbl_AS_G1[AS_Group1])-1,COLUMN(Tbl_AS_G1[AS_Group1]),1,1),IF($G20="CS",ADDRESS(ROW(INDEX(Tbl_CS_G1[CS_Group1],1)),COLUMN(Tbl_CS_G1[CS_Group1]),1,1,"DV")&amp;":"&amp;ADDRESS(ROW(INDEX(Tbl_CS_G1[CS_Group1],1))+ROWS(Tbl_CS_G1[CS_Group1])-1,COLUMN(Tbl_CS_G1[CS_Group1]),1,1),IF($G20="RS",ADDRESS(ROW(INDEX(Tbl_RS_G1[RS_Group1],1)),COLUMN(Tbl_RS_G1[RS_Group1]),1,1,"DV")&amp;":"&amp;ADDRESS(ROW(INDEX(Tbl_RS_G1[RS_Group1],1))+ROWS(Tbl_RS_G1[RS_Group1])-1,COLUMN(Tbl_RS_G1[RS_Group1]),1,1),"_src!$A$1")))</f>
        <v>_src!$A$1</v>
      </c>
    </row>
    <row r="21" spans="1:19" x14ac:dyDescent="0.25">
      <c r="A21" s="19">
        <v>6</v>
      </c>
      <c r="B21" s="20"/>
      <c r="C21" s="21" t="str">
        <f t="shared" si="0"/>
        <v/>
      </c>
      <c r="D21" s="22"/>
      <c r="E21" s="21" t="str">
        <f t="shared" si="1"/>
        <v/>
      </c>
      <c r="F21" s="20"/>
      <c r="G21" s="21" t="str">
        <f t="shared" si="2"/>
        <v/>
      </c>
      <c r="H21" s="20"/>
      <c r="I21" s="21" t="str">
        <f t="shared" si="3"/>
        <v/>
      </c>
      <c r="J21" s="21" t="str">
        <f t="shared" si="4"/>
        <v/>
      </c>
      <c r="K21" s="20"/>
      <c r="L21" s="21" t="str">
        <f t="shared" si="5"/>
        <v/>
      </c>
      <c r="M21" s="20"/>
      <c r="N21" s="23"/>
      <c r="O21" s="21" t="str">
        <f t="shared" si="6"/>
        <v/>
      </c>
      <c r="P21" s="24"/>
      <c r="Q21" s="21" t="str">
        <f t="shared" si="7"/>
        <v/>
      </c>
      <c r="R21" s="25" t="str">
        <f t="shared" si="8"/>
        <v/>
      </c>
      <c r="S21" s="18" t="str">
        <f>IF($G21="AS",ADDRESS(ROW(INDEX(Tbl_AS_G1[AS_Group1],1)),COLUMN(Tbl_AS_G1[AS_Group1]),1,1,"DV")&amp;":"&amp;ADDRESS(ROW(INDEX(Tbl_AS_G1[AS_Group1],1))+ROWS(Tbl_AS_G1[AS_Group1])-1,COLUMN(Tbl_AS_G1[AS_Group1]),1,1),IF($G21="CS",ADDRESS(ROW(INDEX(Tbl_CS_G1[CS_Group1],1)),COLUMN(Tbl_CS_G1[CS_Group1]),1,1,"DV")&amp;":"&amp;ADDRESS(ROW(INDEX(Tbl_CS_G1[CS_Group1],1))+ROWS(Tbl_CS_G1[CS_Group1])-1,COLUMN(Tbl_CS_G1[CS_Group1]),1,1),IF($G21="RS",ADDRESS(ROW(INDEX(Tbl_RS_G1[RS_Group1],1)),COLUMN(Tbl_RS_G1[RS_Group1]),1,1,"DV")&amp;":"&amp;ADDRESS(ROW(INDEX(Tbl_RS_G1[RS_Group1],1))+ROWS(Tbl_RS_G1[RS_Group1])-1,COLUMN(Tbl_RS_G1[RS_Group1]),1,1),"_src!$A$1")))</f>
        <v>_src!$A$1</v>
      </c>
    </row>
    <row r="22" spans="1:19" x14ac:dyDescent="0.25">
      <c r="A22" s="19">
        <v>7</v>
      </c>
      <c r="B22" s="20"/>
      <c r="C22" s="21" t="str">
        <f t="shared" si="0"/>
        <v/>
      </c>
      <c r="D22" s="22"/>
      <c r="E22" s="21" t="str">
        <f t="shared" si="1"/>
        <v/>
      </c>
      <c r="F22" s="20"/>
      <c r="G22" s="21" t="str">
        <f t="shared" si="2"/>
        <v/>
      </c>
      <c r="H22" s="20"/>
      <c r="I22" s="21" t="str">
        <f t="shared" si="3"/>
        <v/>
      </c>
      <c r="J22" s="21" t="str">
        <f t="shared" si="4"/>
        <v/>
      </c>
      <c r="K22" s="20"/>
      <c r="L22" s="21" t="str">
        <f t="shared" si="5"/>
        <v/>
      </c>
      <c r="M22" s="20"/>
      <c r="N22" s="23"/>
      <c r="O22" s="21" t="str">
        <f t="shared" si="6"/>
        <v/>
      </c>
      <c r="P22" s="24"/>
      <c r="Q22" s="21" t="str">
        <f t="shared" si="7"/>
        <v/>
      </c>
      <c r="R22" s="25" t="str">
        <f t="shared" si="8"/>
        <v/>
      </c>
      <c r="S22" s="18" t="str">
        <f>IF($G22="AS",ADDRESS(ROW(INDEX(Tbl_AS_G1[AS_Group1],1)),COLUMN(Tbl_AS_G1[AS_Group1]),1,1,"DV")&amp;":"&amp;ADDRESS(ROW(INDEX(Tbl_AS_G1[AS_Group1],1))+ROWS(Tbl_AS_G1[AS_Group1])-1,COLUMN(Tbl_AS_G1[AS_Group1]),1,1),IF($G22="CS",ADDRESS(ROW(INDEX(Tbl_CS_G1[CS_Group1],1)),COLUMN(Tbl_CS_G1[CS_Group1]),1,1,"DV")&amp;":"&amp;ADDRESS(ROW(INDEX(Tbl_CS_G1[CS_Group1],1))+ROWS(Tbl_CS_G1[CS_Group1])-1,COLUMN(Tbl_CS_G1[CS_Group1]),1,1),IF($G22="RS",ADDRESS(ROW(INDEX(Tbl_RS_G1[RS_Group1],1)),COLUMN(Tbl_RS_G1[RS_Group1]),1,1,"DV")&amp;":"&amp;ADDRESS(ROW(INDEX(Tbl_RS_G1[RS_Group1],1))+ROWS(Tbl_RS_G1[RS_Group1])-1,COLUMN(Tbl_RS_G1[RS_Group1]),1,1),"_src!$A$1")))</f>
        <v>_src!$A$1</v>
      </c>
    </row>
    <row r="23" spans="1:19" x14ac:dyDescent="0.25">
      <c r="A23" s="19">
        <v>8</v>
      </c>
      <c r="B23" s="20"/>
      <c r="C23" s="21" t="str">
        <f t="shared" si="0"/>
        <v/>
      </c>
      <c r="D23" s="22"/>
      <c r="E23" s="21" t="str">
        <f t="shared" si="1"/>
        <v/>
      </c>
      <c r="F23" s="20"/>
      <c r="G23" s="21" t="str">
        <f t="shared" si="2"/>
        <v/>
      </c>
      <c r="H23" s="20"/>
      <c r="I23" s="21" t="str">
        <f t="shared" si="3"/>
        <v/>
      </c>
      <c r="J23" s="21" t="str">
        <f t="shared" si="4"/>
        <v/>
      </c>
      <c r="K23" s="20"/>
      <c r="L23" s="21" t="str">
        <f t="shared" si="5"/>
        <v/>
      </c>
      <c r="M23" s="20"/>
      <c r="N23" s="23"/>
      <c r="O23" s="21" t="str">
        <f t="shared" si="6"/>
        <v/>
      </c>
      <c r="P23" s="24"/>
      <c r="Q23" s="21" t="str">
        <f t="shared" si="7"/>
        <v/>
      </c>
      <c r="R23" s="25" t="str">
        <f t="shared" si="8"/>
        <v/>
      </c>
      <c r="S23" s="18" t="str">
        <f>IF($G23="AS",ADDRESS(ROW(INDEX(Tbl_AS_G1[AS_Group1],1)),COLUMN(Tbl_AS_G1[AS_Group1]),1,1,"DV")&amp;":"&amp;ADDRESS(ROW(INDEX(Tbl_AS_G1[AS_Group1],1))+ROWS(Tbl_AS_G1[AS_Group1])-1,COLUMN(Tbl_AS_G1[AS_Group1]),1,1),IF($G23="CS",ADDRESS(ROW(INDEX(Tbl_CS_G1[CS_Group1],1)),COLUMN(Tbl_CS_G1[CS_Group1]),1,1,"DV")&amp;":"&amp;ADDRESS(ROW(INDEX(Tbl_CS_G1[CS_Group1],1))+ROWS(Tbl_CS_G1[CS_Group1])-1,COLUMN(Tbl_CS_G1[CS_Group1]),1,1),IF($G23="RS",ADDRESS(ROW(INDEX(Tbl_RS_G1[RS_Group1],1)),COLUMN(Tbl_RS_G1[RS_Group1]),1,1,"DV")&amp;":"&amp;ADDRESS(ROW(INDEX(Tbl_RS_G1[RS_Group1],1))+ROWS(Tbl_RS_G1[RS_Group1])-1,COLUMN(Tbl_RS_G1[RS_Group1]),1,1),"_src!$A$1")))</f>
        <v>_src!$A$1</v>
      </c>
    </row>
    <row r="24" spans="1:19" x14ac:dyDescent="0.25">
      <c r="A24" s="19">
        <v>9</v>
      </c>
      <c r="B24" s="20"/>
      <c r="C24" s="21" t="str">
        <f t="shared" si="0"/>
        <v/>
      </c>
      <c r="D24" s="22"/>
      <c r="E24" s="21" t="str">
        <f t="shared" si="1"/>
        <v/>
      </c>
      <c r="F24" s="20"/>
      <c r="G24" s="21" t="str">
        <f t="shared" si="2"/>
        <v/>
      </c>
      <c r="H24" s="20"/>
      <c r="I24" s="21" t="str">
        <f t="shared" si="3"/>
        <v/>
      </c>
      <c r="J24" s="21" t="str">
        <f t="shared" si="4"/>
        <v/>
      </c>
      <c r="K24" s="20"/>
      <c r="L24" s="21" t="str">
        <f t="shared" si="5"/>
        <v/>
      </c>
      <c r="M24" s="20"/>
      <c r="N24" s="23"/>
      <c r="O24" s="21" t="str">
        <f t="shared" si="6"/>
        <v/>
      </c>
      <c r="P24" s="24"/>
      <c r="Q24" s="21" t="str">
        <f t="shared" si="7"/>
        <v/>
      </c>
      <c r="R24" s="25" t="str">
        <f t="shared" si="8"/>
        <v/>
      </c>
      <c r="S24" s="18" t="str">
        <f>IF($G24="AS",ADDRESS(ROW(INDEX(Tbl_AS_G1[AS_Group1],1)),COLUMN(Tbl_AS_G1[AS_Group1]),1,1,"DV")&amp;":"&amp;ADDRESS(ROW(INDEX(Tbl_AS_G1[AS_Group1],1))+ROWS(Tbl_AS_G1[AS_Group1])-1,COLUMN(Tbl_AS_G1[AS_Group1]),1,1),IF($G24="CS",ADDRESS(ROW(INDEX(Tbl_CS_G1[CS_Group1],1)),COLUMN(Tbl_CS_G1[CS_Group1]),1,1,"DV")&amp;":"&amp;ADDRESS(ROW(INDEX(Tbl_CS_G1[CS_Group1],1))+ROWS(Tbl_CS_G1[CS_Group1])-1,COLUMN(Tbl_CS_G1[CS_Group1]),1,1),IF($G24="RS",ADDRESS(ROW(INDEX(Tbl_RS_G1[RS_Group1],1)),COLUMN(Tbl_RS_G1[RS_Group1]),1,1,"DV")&amp;":"&amp;ADDRESS(ROW(INDEX(Tbl_RS_G1[RS_Group1],1))+ROWS(Tbl_RS_G1[RS_Group1])-1,COLUMN(Tbl_RS_G1[RS_Group1]),1,1),"_src!$A$1")))</f>
        <v>_src!$A$1</v>
      </c>
    </row>
    <row r="25" spans="1:19" x14ac:dyDescent="0.25">
      <c r="A25" s="19">
        <v>10</v>
      </c>
      <c r="B25" s="20"/>
      <c r="C25" s="21" t="str">
        <f t="shared" si="0"/>
        <v/>
      </c>
      <c r="D25" s="22"/>
      <c r="E25" s="21" t="str">
        <f t="shared" si="1"/>
        <v/>
      </c>
      <c r="F25" s="20"/>
      <c r="G25" s="21" t="str">
        <f t="shared" si="2"/>
        <v/>
      </c>
      <c r="H25" s="20"/>
      <c r="I25" s="21" t="str">
        <f t="shared" si="3"/>
        <v/>
      </c>
      <c r="J25" s="21" t="str">
        <f t="shared" si="4"/>
        <v/>
      </c>
      <c r="K25" s="20"/>
      <c r="L25" s="21" t="str">
        <f t="shared" si="5"/>
        <v/>
      </c>
      <c r="M25" s="20"/>
      <c r="N25" s="23"/>
      <c r="O25" s="21" t="str">
        <f t="shared" si="6"/>
        <v/>
      </c>
      <c r="P25" s="24"/>
      <c r="Q25" s="21" t="str">
        <f t="shared" si="7"/>
        <v/>
      </c>
      <c r="R25" s="25" t="str">
        <f t="shared" si="8"/>
        <v/>
      </c>
      <c r="S25" s="18" t="str">
        <f>IF($G25="AS",ADDRESS(ROW(INDEX(Tbl_AS_G1[AS_Group1],1)),COLUMN(Tbl_AS_G1[AS_Group1]),1,1,"DV")&amp;":"&amp;ADDRESS(ROW(INDEX(Tbl_AS_G1[AS_Group1],1))+ROWS(Tbl_AS_G1[AS_Group1])-1,COLUMN(Tbl_AS_G1[AS_Group1]),1,1),IF($G25="CS",ADDRESS(ROW(INDEX(Tbl_CS_G1[CS_Group1],1)),COLUMN(Tbl_CS_G1[CS_Group1]),1,1,"DV")&amp;":"&amp;ADDRESS(ROW(INDEX(Tbl_CS_G1[CS_Group1],1))+ROWS(Tbl_CS_G1[CS_Group1])-1,COLUMN(Tbl_CS_G1[CS_Group1]),1,1),IF($G25="RS",ADDRESS(ROW(INDEX(Tbl_RS_G1[RS_Group1],1)),COLUMN(Tbl_RS_G1[RS_Group1]),1,1,"DV")&amp;":"&amp;ADDRESS(ROW(INDEX(Tbl_RS_G1[RS_Group1],1))+ROWS(Tbl_RS_G1[RS_Group1])-1,COLUMN(Tbl_RS_G1[RS_Group1]),1,1),"_src!$A$1")))</f>
        <v>_src!$A$1</v>
      </c>
    </row>
    <row r="26" spans="1:19" x14ac:dyDescent="0.25">
      <c r="A26" s="19">
        <v>11</v>
      </c>
      <c r="B26" s="20"/>
      <c r="C26" s="21" t="str">
        <f t="shared" si="0"/>
        <v/>
      </c>
      <c r="D26" s="22"/>
      <c r="E26" s="21" t="str">
        <f t="shared" si="1"/>
        <v/>
      </c>
      <c r="F26" s="20"/>
      <c r="G26" s="21" t="str">
        <f t="shared" si="2"/>
        <v/>
      </c>
      <c r="H26" s="20"/>
      <c r="I26" s="21" t="str">
        <f t="shared" si="3"/>
        <v/>
      </c>
      <c r="J26" s="21" t="str">
        <f t="shared" si="4"/>
        <v/>
      </c>
      <c r="K26" s="20"/>
      <c r="L26" s="21" t="str">
        <f t="shared" si="5"/>
        <v/>
      </c>
      <c r="M26" s="20"/>
      <c r="N26" s="23"/>
      <c r="O26" s="21" t="str">
        <f t="shared" si="6"/>
        <v/>
      </c>
      <c r="P26" s="24"/>
      <c r="Q26" s="21" t="str">
        <f t="shared" si="7"/>
        <v/>
      </c>
      <c r="R26" s="25" t="str">
        <f t="shared" si="8"/>
        <v/>
      </c>
      <c r="S26" s="18" t="str">
        <f>IF($G26="AS",ADDRESS(ROW(INDEX(Tbl_AS_G1[AS_Group1],1)),COLUMN(Tbl_AS_G1[AS_Group1]),1,1,"DV")&amp;":"&amp;ADDRESS(ROW(INDEX(Tbl_AS_G1[AS_Group1],1))+ROWS(Tbl_AS_G1[AS_Group1])-1,COLUMN(Tbl_AS_G1[AS_Group1]),1,1),IF($G26="CS",ADDRESS(ROW(INDEX(Tbl_CS_G1[CS_Group1],1)),COLUMN(Tbl_CS_G1[CS_Group1]),1,1,"DV")&amp;":"&amp;ADDRESS(ROW(INDEX(Tbl_CS_G1[CS_Group1],1))+ROWS(Tbl_CS_G1[CS_Group1])-1,COLUMN(Tbl_CS_G1[CS_Group1]),1,1),IF($G26="RS",ADDRESS(ROW(INDEX(Tbl_RS_G1[RS_Group1],1)),COLUMN(Tbl_RS_G1[RS_Group1]),1,1,"DV")&amp;":"&amp;ADDRESS(ROW(INDEX(Tbl_RS_G1[RS_Group1],1))+ROWS(Tbl_RS_G1[RS_Group1])-1,COLUMN(Tbl_RS_G1[RS_Group1]),1,1),"_src!$A$1")))</f>
        <v>_src!$A$1</v>
      </c>
    </row>
    <row r="27" spans="1:19" x14ac:dyDescent="0.25">
      <c r="A27" s="19">
        <v>12</v>
      </c>
      <c r="B27" s="20"/>
      <c r="C27" s="21" t="str">
        <f t="shared" si="0"/>
        <v/>
      </c>
      <c r="D27" s="22"/>
      <c r="E27" s="21" t="str">
        <f t="shared" si="1"/>
        <v/>
      </c>
      <c r="F27" s="20"/>
      <c r="G27" s="21" t="str">
        <f t="shared" si="2"/>
        <v/>
      </c>
      <c r="H27" s="20"/>
      <c r="I27" s="21" t="str">
        <f t="shared" si="3"/>
        <v/>
      </c>
      <c r="J27" s="21" t="str">
        <f t="shared" si="4"/>
        <v/>
      </c>
      <c r="K27" s="20"/>
      <c r="L27" s="21" t="str">
        <f t="shared" si="5"/>
        <v/>
      </c>
      <c r="M27" s="20"/>
      <c r="N27" s="23"/>
      <c r="O27" s="21" t="str">
        <f t="shared" si="6"/>
        <v/>
      </c>
      <c r="P27" s="24"/>
      <c r="Q27" s="21" t="str">
        <f t="shared" si="7"/>
        <v/>
      </c>
      <c r="R27" s="25" t="str">
        <f t="shared" si="8"/>
        <v/>
      </c>
      <c r="S27" s="18" t="str">
        <f>IF($G27="AS",ADDRESS(ROW(INDEX(Tbl_AS_G1[AS_Group1],1)),COLUMN(Tbl_AS_G1[AS_Group1]),1,1,"DV")&amp;":"&amp;ADDRESS(ROW(INDEX(Tbl_AS_G1[AS_Group1],1))+ROWS(Tbl_AS_G1[AS_Group1])-1,COLUMN(Tbl_AS_G1[AS_Group1]),1,1),IF($G27="CS",ADDRESS(ROW(INDEX(Tbl_CS_G1[CS_Group1],1)),COLUMN(Tbl_CS_G1[CS_Group1]),1,1,"DV")&amp;":"&amp;ADDRESS(ROW(INDEX(Tbl_CS_G1[CS_Group1],1))+ROWS(Tbl_CS_G1[CS_Group1])-1,COLUMN(Tbl_CS_G1[CS_Group1]),1,1),IF($G27="RS",ADDRESS(ROW(INDEX(Tbl_RS_G1[RS_Group1],1)),COLUMN(Tbl_RS_G1[RS_Group1]),1,1,"DV")&amp;":"&amp;ADDRESS(ROW(INDEX(Tbl_RS_G1[RS_Group1],1))+ROWS(Tbl_RS_G1[RS_Group1])-1,COLUMN(Tbl_RS_G1[RS_Group1]),1,1),"_src!$A$1")))</f>
        <v>_src!$A$1</v>
      </c>
    </row>
    <row r="28" spans="1:19" x14ac:dyDescent="0.25">
      <c r="A28" s="19">
        <v>13</v>
      </c>
      <c r="B28" s="20"/>
      <c r="C28" s="21" t="str">
        <f t="shared" si="0"/>
        <v/>
      </c>
      <c r="D28" s="22"/>
      <c r="E28" s="21" t="str">
        <f t="shared" si="1"/>
        <v/>
      </c>
      <c r="F28" s="20"/>
      <c r="G28" s="21" t="str">
        <f t="shared" si="2"/>
        <v/>
      </c>
      <c r="H28" s="20"/>
      <c r="I28" s="21" t="str">
        <f t="shared" si="3"/>
        <v/>
      </c>
      <c r="J28" s="21" t="str">
        <f t="shared" si="4"/>
        <v/>
      </c>
      <c r="K28" s="20"/>
      <c r="L28" s="21" t="str">
        <f t="shared" si="5"/>
        <v/>
      </c>
      <c r="M28" s="20"/>
      <c r="N28" s="23"/>
      <c r="O28" s="21" t="str">
        <f t="shared" si="6"/>
        <v/>
      </c>
      <c r="P28" s="24"/>
      <c r="Q28" s="21" t="str">
        <f t="shared" si="7"/>
        <v/>
      </c>
      <c r="R28" s="25" t="str">
        <f t="shared" si="8"/>
        <v/>
      </c>
      <c r="S28" s="18" t="str">
        <f>IF($G28="AS",ADDRESS(ROW(INDEX(Tbl_AS_G1[AS_Group1],1)),COLUMN(Tbl_AS_G1[AS_Group1]),1,1,"DV")&amp;":"&amp;ADDRESS(ROW(INDEX(Tbl_AS_G1[AS_Group1],1))+ROWS(Tbl_AS_G1[AS_Group1])-1,COLUMN(Tbl_AS_G1[AS_Group1]),1,1),IF($G28="CS",ADDRESS(ROW(INDEX(Tbl_CS_G1[CS_Group1],1)),COLUMN(Tbl_CS_G1[CS_Group1]),1,1,"DV")&amp;":"&amp;ADDRESS(ROW(INDEX(Tbl_CS_G1[CS_Group1],1))+ROWS(Tbl_CS_G1[CS_Group1])-1,COLUMN(Tbl_CS_G1[CS_Group1]),1,1),IF($G28="RS",ADDRESS(ROW(INDEX(Tbl_RS_G1[RS_Group1],1)),COLUMN(Tbl_RS_G1[RS_Group1]),1,1,"DV")&amp;":"&amp;ADDRESS(ROW(INDEX(Tbl_RS_G1[RS_Group1],1))+ROWS(Tbl_RS_G1[RS_Group1])-1,COLUMN(Tbl_RS_G1[RS_Group1]),1,1),"_src!$A$1")))</f>
        <v>_src!$A$1</v>
      </c>
    </row>
    <row r="29" spans="1:19" x14ac:dyDescent="0.25">
      <c r="A29" s="19">
        <v>14</v>
      </c>
      <c r="B29" s="20"/>
      <c r="C29" s="21" t="str">
        <f t="shared" si="0"/>
        <v/>
      </c>
      <c r="D29" s="22"/>
      <c r="E29" s="21" t="str">
        <f t="shared" si="1"/>
        <v/>
      </c>
      <c r="F29" s="20"/>
      <c r="G29" s="21" t="str">
        <f t="shared" si="2"/>
        <v/>
      </c>
      <c r="H29" s="20"/>
      <c r="I29" s="21" t="str">
        <f t="shared" si="3"/>
        <v/>
      </c>
      <c r="J29" s="21" t="str">
        <f t="shared" si="4"/>
        <v/>
      </c>
      <c r="K29" s="20"/>
      <c r="L29" s="21" t="str">
        <f t="shared" si="5"/>
        <v/>
      </c>
      <c r="M29" s="20"/>
      <c r="N29" s="23"/>
      <c r="O29" s="21" t="str">
        <f t="shared" si="6"/>
        <v/>
      </c>
      <c r="P29" s="24"/>
      <c r="Q29" s="21" t="str">
        <f t="shared" si="7"/>
        <v/>
      </c>
      <c r="R29" s="25" t="str">
        <f t="shared" si="8"/>
        <v/>
      </c>
      <c r="S29" s="18" t="str">
        <f>IF($G29="AS",ADDRESS(ROW(INDEX(Tbl_AS_G1[AS_Group1],1)),COLUMN(Tbl_AS_G1[AS_Group1]),1,1,"DV")&amp;":"&amp;ADDRESS(ROW(INDEX(Tbl_AS_G1[AS_Group1],1))+ROWS(Tbl_AS_G1[AS_Group1])-1,COLUMN(Tbl_AS_G1[AS_Group1]),1,1),IF($G29="CS",ADDRESS(ROW(INDEX(Tbl_CS_G1[CS_Group1],1)),COLUMN(Tbl_CS_G1[CS_Group1]),1,1,"DV")&amp;":"&amp;ADDRESS(ROW(INDEX(Tbl_CS_G1[CS_Group1],1))+ROWS(Tbl_CS_G1[CS_Group1])-1,COLUMN(Tbl_CS_G1[CS_Group1]),1,1),IF($G29="RS",ADDRESS(ROW(INDEX(Tbl_RS_G1[RS_Group1],1)),COLUMN(Tbl_RS_G1[RS_Group1]),1,1,"DV")&amp;":"&amp;ADDRESS(ROW(INDEX(Tbl_RS_G1[RS_Group1],1))+ROWS(Tbl_RS_G1[RS_Group1])-1,COLUMN(Tbl_RS_G1[RS_Group1]),1,1),"_src!$A$1")))</f>
        <v>_src!$A$1</v>
      </c>
    </row>
    <row r="30" spans="1:19" x14ac:dyDescent="0.25">
      <c r="A30" s="19">
        <v>15</v>
      </c>
      <c r="B30" s="20"/>
      <c r="C30" s="21" t="str">
        <f t="shared" si="0"/>
        <v/>
      </c>
      <c r="D30" s="22"/>
      <c r="E30" s="21" t="str">
        <f t="shared" si="1"/>
        <v/>
      </c>
      <c r="F30" s="20"/>
      <c r="G30" s="21" t="str">
        <f t="shared" si="2"/>
        <v/>
      </c>
      <c r="H30" s="20"/>
      <c r="I30" s="21" t="str">
        <f t="shared" si="3"/>
        <v/>
      </c>
      <c r="J30" s="21" t="str">
        <f t="shared" si="4"/>
        <v/>
      </c>
      <c r="K30" s="20"/>
      <c r="L30" s="21" t="str">
        <f t="shared" si="5"/>
        <v/>
      </c>
      <c r="M30" s="20"/>
      <c r="N30" s="23"/>
      <c r="O30" s="21" t="str">
        <f t="shared" si="6"/>
        <v/>
      </c>
      <c r="P30" s="24"/>
      <c r="Q30" s="21" t="str">
        <f t="shared" si="7"/>
        <v/>
      </c>
      <c r="R30" s="25" t="str">
        <f t="shared" si="8"/>
        <v/>
      </c>
      <c r="S30" s="18" t="str">
        <f>IF($G30="AS",ADDRESS(ROW(INDEX(Tbl_AS_G1[AS_Group1],1)),COLUMN(Tbl_AS_G1[AS_Group1]),1,1,"DV")&amp;":"&amp;ADDRESS(ROW(INDEX(Tbl_AS_G1[AS_Group1],1))+ROWS(Tbl_AS_G1[AS_Group1])-1,COLUMN(Tbl_AS_G1[AS_Group1]),1,1),IF($G30="CS",ADDRESS(ROW(INDEX(Tbl_CS_G1[CS_Group1],1)),COLUMN(Tbl_CS_G1[CS_Group1]),1,1,"DV")&amp;":"&amp;ADDRESS(ROW(INDEX(Tbl_CS_G1[CS_Group1],1))+ROWS(Tbl_CS_G1[CS_Group1])-1,COLUMN(Tbl_CS_G1[CS_Group1]),1,1),IF($G30="RS",ADDRESS(ROW(INDEX(Tbl_RS_G1[RS_Group1],1)),COLUMN(Tbl_RS_G1[RS_Group1]),1,1,"DV")&amp;":"&amp;ADDRESS(ROW(INDEX(Tbl_RS_G1[RS_Group1],1))+ROWS(Tbl_RS_G1[RS_Group1])-1,COLUMN(Tbl_RS_G1[RS_Group1]),1,1),"_src!$A$1")))</f>
        <v>_src!$A$1</v>
      </c>
    </row>
    <row r="33" spans="1:18" ht="21.95" customHeight="1" x14ac:dyDescent="0.25">
      <c r="A33" s="38" t="s">
        <v>813</v>
      </c>
      <c r="B33" s="39"/>
      <c r="C33" s="39"/>
      <c r="D33" s="39"/>
      <c r="E33" s="39"/>
      <c r="F33" s="39"/>
      <c r="G33" s="39"/>
      <c r="H33" s="39"/>
      <c r="I33" s="39"/>
      <c r="J33" s="39"/>
      <c r="K33" s="39"/>
      <c r="L33" s="39"/>
      <c r="M33" s="39"/>
      <c r="N33" s="39"/>
      <c r="O33" s="39"/>
      <c r="P33" s="39"/>
      <c r="Q33" s="39"/>
      <c r="R33" s="39"/>
    </row>
    <row r="34" spans="1:18" ht="15.95" customHeight="1" x14ac:dyDescent="0.25">
      <c r="A34" s="40" t="s">
        <v>778</v>
      </c>
      <c r="B34" s="31"/>
      <c r="C34" s="31"/>
      <c r="D34" s="31"/>
      <c r="E34" s="31"/>
      <c r="F34" s="31"/>
      <c r="G34" s="31"/>
      <c r="H34" s="31"/>
      <c r="I34" s="31"/>
      <c r="J34" s="31"/>
      <c r="K34" s="31"/>
      <c r="L34" s="31"/>
      <c r="M34" s="31"/>
      <c r="N34" s="31"/>
      <c r="O34" s="31"/>
      <c r="P34" s="31"/>
      <c r="Q34" s="31"/>
      <c r="R34" s="31"/>
    </row>
    <row r="36" spans="1:18" ht="18" customHeight="1" x14ac:dyDescent="0.25">
      <c r="A36" s="36" t="s">
        <v>50</v>
      </c>
      <c r="B36" s="31"/>
      <c r="C36" s="31"/>
      <c r="D36" s="31"/>
      <c r="E36" s="31"/>
      <c r="F36" s="31"/>
      <c r="G36" s="31"/>
      <c r="H36" s="31"/>
      <c r="I36" s="31"/>
      <c r="J36" s="31"/>
      <c r="K36" s="31"/>
      <c r="L36" s="31"/>
      <c r="M36" s="31"/>
      <c r="N36" s="31"/>
      <c r="O36" s="31"/>
      <c r="P36" s="31"/>
      <c r="Q36" s="31"/>
      <c r="R36" s="31"/>
    </row>
    <row r="37" spans="1:18" ht="21" customHeight="1" x14ac:dyDescent="0.25">
      <c r="A37" s="37" t="s">
        <v>814</v>
      </c>
      <c r="B37" s="31"/>
      <c r="C37" s="31"/>
      <c r="D37" s="31"/>
      <c r="E37" s="31"/>
      <c r="F37" s="31"/>
      <c r="G37" s="31"/>
      <c r="H37" s="31"/>
      <c r="I37" s="31"/>
      <c r="J37" s="31"/>
      <c r="K37" s="31"/>
      <c r="L37" s="31"/>
      <c r="M37" s="31"/>
      <c r="N37" s="31"/>
      <c r="O37" s="31"/>
      <c r="P37" s="31"/>
      <c r="Q37" s="31"/>
      <c r="R37" s="31"/>
    </row>
    <row r="38" spans="1:18" ht="6" customHeight="1" x14ac:dyDescent="0.25"/>
    <row r="39" spans="1:18" ht="18" customHeight="1" x14ac:dyDescent="0.25">
      <c r="A39" s="36" t="s">
        <v>815</v>
      </c>
      <c r="B39" s="31"/>
      <c r="C39" s="31"/>
      <c r="D39" s="31"/>
      <c r="E39" s="31"/>
      <c r="F39" s="31"/>
      <c r="G39" s="31"/>
      <c r="H39" s="31"/>
      <c r="I39" s="31"/>
      <c r="J39" s="31"/>
      <c r="K39" s="31"/>
      <c r="L39" s="31"/>
      <c r="M39" s="31"/>
      <c r="N39" s="31"/>
      <c r="O39" s="31"/>
      <c r="P39" s="31"/>
      <c r="Q39" s="31"/>
      <c r="R39" s="31"/>
    </row>
    <row r="40" spans="1:18" ht="21" customHeight="1" x14ac:dyDescent="0.25">
      <c r="A40" s="37" t="s">
        <v>816</v>
      </c>
      <c r="B40" s="31"/>
      <c r="C40" s="31"/>
      <c r="D40" s="31"/>
      <c r="E40" s="31"/>
      <c r="F40" s="31"/>
      <c r="G40" s="31"/>
      <c r="H40" s="31"/>
      <c r="I40" s="31"/>
      <c r="J40" s="31"/>
      <c r="K40" s="31"/>
      <c r="L40" s="31"/>
      <c r="M40" s="31"/>
      <c r="N40" s="31"/>
      <c r="O40" s="31"/>
      <c r="P40" s="31"/>
      <c r="Q40" s="31"/>
      <c r="R40" s="31"/>
    </row>
    <row r="41" spans="1:18" ht="6" customHeight="1" x14ac:dyDescent="0.25"/>
    <row r="42" spans="1:18" ht="18" customHeight="1" x14ac:dyDescent="0.25">
      <c r="A42" s="36" t="s">
        <v>817</v>
      </c>
      <c r="B42" s="31"/>
      <c r="C42" s="31"/>
      <c r="D42" s="31"/>
      <c r="E42" s="31"/>
      <c r="F42" s="31"/>
      <c r="G42" s="31"/>
      <c r="H42" s="31"/>
      <c r="I42" s="31"/>
      <c r="J42" s="31"/>
      <c r="K42" s="31"/>
      <c r="L42" s="31"/>
      <c r="M42" s="31"/>
      <c r="N42" s="31"/>
      <c r="O42" s="31"/>
      <c r="P42" s="31"/>
      <c r="Q42" s="31"/>
      <c r="R42" s="31"/>
    </row>
    <row r="43" spans="1:18" ht="21" customHeight="1" x14ac:dyDescent="0.25">
      <c r="A43" s="37" t="s">
        <v>818</v>
      </c>
      <c r="B43" s="31"/>
      <c r="C43" s="31"/>
      <c r="D43" s="31"/>
      <c r="E43" s="31"/>
      <c r="F43" s="31"/>
      <c r="G43" s="31"/>
      <c r="H43" s="31"/>
      <c r="I43" s="31"/>
      <c r="J43" s="31"/>
      <c r="K43" s="31"/>
      <c r="L43" s="31"/>
      <c r="M43" s="31"/>
      <c r="N43" s="31"/>
      <c r="O43" s="31"/>
      <c r="P43" s="31"/>
      <c r="Q43" s="31"/>
      <c r="R43" s="31"/>
    </row>
    <row r="44" spans="1:18" ht="6" customHeight="1" x14ac:dyDescent="0.25"/>
    <row r="45" spans="1:18" ht="18" customHeight="1" x14ac:dyDescent="0.25">
      <c r="A45" s="36" t="s">
        <v>728</v>
      </c>
      <c r="B45" s="31"/>
      <c r="C45" s="31"/>
      <c r="D45" s="31"/>
      <c r="E45" s="31"/>
      <c r="F45" s="31"/>
      <c r="G45" s="31"/>
      <c r="H45" s="31"/>
      <c r="I45" s="31"/>
      <c r="J45" s="31"/>
      <c r="K45" s="31"/>
      <c r="L45" s="31"/>
      <c r="M45" s="31"/>
      <c r="N45" s="31"/>
      <c r="O45" s="31"/>
      <c r="P45" s="31"/>
      <c r="Q45" s="31"/>
      <c r="R45" s="31"/>
    </row>
    <row r="46" spans="1:18" ht="51" customHeight="1" x14ac:dyDescent="0.25">
      <c r="A46" s="37" t="s">
        <v>729</v>
      </c>
      <c r="B46" s="31"/>
      <c r="C46" s="31"/>
      <c r="D46" s="31"/>
      <c r="E46" s="31"/>
      <c r="F46" s="31"/>
      <c r="G46" s="31"/>
      <c r="H46" s="31"/>
      <c r="I46" s="31"/>
      <c r="J46" s="31"/>
      <c r="K46" s="31"/>
      <c r="L46" s="31"/>
      <c r="M46" s="31"/>
      <c r="N46" s="31"/>
      <c r="O46" s="31"/>
      <c r="P46" s="31"/>
      <c r="Q46" s="31"/>
      <c r="R46" s="31"/>
    </row>
    <row r="47" spans="1:18" ht="6" customHeight="1" x14ac:dyDescent="0.25"/>
    <row r="50" spans="1:18" ht="21.95" customHeight="1" x14ac:dyDescent="0.25">
      <c r="A50" s="38" t="s">
        <v>730</v>
      </c>
      <c r="B50" s="39"/>
      <c r="C50" s="39"/>
      <c r="D50" s="39"/>
      <c r="E50" s="39"/>
      <c r="F50" s="39"/>
      <c r="G50" s="39"/>
      <c r="H50" s="39"/>
      <c r="I50" s="39"/>
      <c r="J50" s="39"/>
      <c r="K50" s="39"/>
      <c r="L50" s="39"/>
      <c r="M50" s="39"/>
      <c r="N50" s="39"/>
      <c r="O50" s="39"/>
      <c r="P50" s="39"/>
      <c r="Q50" s="39"/>
      <c r="R50" s="39"/>
    </row>
    <row r="52" spans="1:18" ht="18" customHeight="1" x14ac:dyDescent="0.25">
      <c r="A52" s="36" t="s">
        <v>70</v>
      </c>
      <c r="B52" s="31"/>
      <c r="C52" s="31"/>
      <c r="D52" s="31"/>
      <c r="E52" s="31"/>
      <c r="F52" s="31"/>
      <c r="G52" s="31"/>
      <c r="H52" s="31"/>
      <c r="I52" s="31"/>
      <c r="J52" s="31"/>
      <c r="K52" s="31"/>
      <c r="L52" s="31"/>
      <c r="M52" s="31"/>
      <c r="N52" s="31"/>
      <c r="O52" s="31"/>
      <c r="P52" s="31"/>
      <c r="Q52" s="31"/>
      <c r="R52" s="31"/>
    </row>
    <row r="53" spans="1:18" ht="21" customHeight="1" x14ac:dyDescent="0.25">
      <c r="A53" s="37" t="s">
        <v>731</v>
      </c>
      <c r="B53" s="31"/>
      <c r="C53" s="31"/>
      <c r="D53" s="31"/>
      <c r="E53" s="31"/>
      <c r="F53" s="31"/>
      <c r="G53" s="31"/>
      <c r="H53" s="31"/>
      <c r="I53" s="31"/>
      <c r="J53" s="31"/>
      <c r="K53" s="31"/>
      <c r="L53" s="31"/>
      <c r="M53" s="31"/>
      <c r="N53" s="31"/>
      <c r="O53" s="31"/>
      <c r="P53" s="31"/>
      <c r="Q53" s="31"/>
      <c r="R53" s="31"/>
    </row>
    <row r="54" spans="1:18" ht="6" customHeight="1" x14ac:dyDescent="0.25"/>
    <row r="55" spans="1:18" ht="18" customHeight="1" x14ac:dyDescent="0.25">
      <c r="A55" s="36" t="s">
        <v>84</v>
      </c>
      <c r="B55" s="31"/>
      <c r="C55" s="31"/>
      <c r="D55" s="31"/>
      <c r="E55" s="31"/>
      <c r="F55" s="31"/>
      <c r="G55" s="31"/>
      <c r="H55" s="31"/>
      <c r="I55" s="31"/>
      <c r="J55" s="31"/>
      <c r="K55" s="31"/>
      <c r="L55" s="31"/>
      <c r="M55" s="31"/>
      <c r="N55" s="31"/>
      <c r="O55" s="31"/>
      <c r="P55" s="31"/>
      <c r="Q55" s="31"/>
      <c r="R55" s="31"/>
    </row>
    <row r="56" spans="1:18" ht="36" customHeight="1" x14ac:dyDescent="0.25">
      <c r="A56" s="37" t="s">
        <v>732</v>
      </c>
      <c r="B56" s="31"/>
      <c r="C56" s="31"/>
      <c r="D56" s="31"/>
      <c r="E56" s="31"/>
      <c r="F56" s="31"/>
      <c r="G56" s="31"/>
      <c r="H56" s="31"/>
      <c r="I56" s="31"/>
      <c r="J56" s="31"/>
      <c r="K56" s="31"/>
      <c r="L56" s="31"/>
      <c r="M56" s="31"/>
      <c r="N56" s="31"/>
      <c r="O56" s="31"/>
      <c r="P56" s="31"/>
      <c r="Q56" s="31"/>
      <c r="R56" s="31"/>
    </row>
    <row r="57" spans="1:18" ht="6" customHeight="1" x14ac:dyDescent="0.25"/>
    <row r="58" spans="1:18" ht="18" customHeight="1" x14ac:dyDescent="0.25">
      <c r="A58" s="36" t="s">
        <v>684</v>
      </c>
      <c r="B58" s="31"/>
      <c r="C58" s="31"/>
      <c r="D58" s="31"/>
      <c r="E58" s="31"/>
      <c r="F58" s="31"/>
      <c r="G58" s="31"/>
      <c r="H58" s="31"/>
      <c r="I58" s="31"/>
      <c r="J58" s="31"/>
      <c r="K58" s="31"/>
      <c r="L58" s="31"/>
      <c r="M58" s="31"/>
      <c r="N58" s="31"/>
      <c r="O58" s="31"/>
      <c r="P58" s="31"/>
      <c r="Q58" s="31"/>
      <c r="R58" s="31"/>
    </row>
    <row r="59" spans="1:18" ht="21" customHeight="1" x14ac:dyDescent="0.25">
      <c r="A59" s="37" t="s">
        <v>733</v>
      </c>
      <c r="B59" s="31"/>
      <c r="C59" s="31"/>
      <c r="D59" s="31"/>
      <c r="E59" s="31"/>
      <c r="F59" s="31"/>
      <c r="G59" s="31"/>
      <c r="H59" s="31"/>
      <c r="I59" s="31"/>
      <c r="J59" s="31"/>
      <c r="K59" s="31"/>
      <c r="L59" s="31"/>
      <c r="M59" s="31"/>
      <c r="N59" s="31"/>
      <c r="O59" s="31"/>
      <c r="P59" s="31"/>
      <c r="Q59" s="31"/>
      <c r="R59" s="31"/>
    </row>
    <row r="60" spans="1:18" ht="6" customHeight="1" x14ac:dyDescent="0.25"/>
    <row r="61" spans="1:18" ht="18" customHeight="1" x14ac:dyDescent="0.25">
      <c r="A61" s="36" t="s">
        <v>686</v>
      </c>
      <c r="B61" s="31"/>
      <c r="C61" s="31"/>
      <c r="D61" s="31"/>
      <c r="E61" s="31"/>
      <c r="F61" s="31"/>
      <c r="G61" s="31"/>
      <c r="H61" s="31"/>
      <c r="I61" s="31"/>
      <c r="J61" s="31"/>
      <c r="K61" s="31"/>
      <c r="L61" s="31"/>
      <c r="M61" s="31"/>
      <c r="N61" s="31"/>
      <c r="O61" s="31"/>
      <c r="P61" s="31"/>
      <c r="Q61" s="31"/>
      <c r="R61" s="31"/>
    </row>
    <row r="62" spans="1:18" ht="21" customHeight="1" x14ac:dyDescent="0.25">
      <c r="A62" s="37" t="s">
        <v>819</v>
      </c>
      <c r="B62" s="31"/>
      <c r="C62" s="31"/>
      <c r="D62" s="31"/>
      <c r="E62" s="31"/>
      <c r="F62" s="31"/>
      <c r="G62" s="31"/>
      <c r="H62" s="31"/>
      <c r="I62" s="31"/>
      <c r="J62" s="31"/>
      <c r="K62" s="31"/>
      <c r="L62" s="31"/>
      <c r="M62" s="31"/>
      <c r="N62" s="31"/>
      <c r="O62" s="31"/>
      <c r="P62" s="31"/>
      <c r="Q62" s="31"/>
      <c r="R62" s="31"/>
    </row>
    <row r="63" spans="1:18" ht="6" customHeight="1" x14ac:dyDescent="0.25"/>
    <row r="64" spans="1:18" ht="18" customHeight="1" x14ac:dyDescent="0.25">
      <c r="A64" s="36" t="s">
        <v>689</v>
      </c>
      <c r="B64" s="31"/>
      <c r="C64" s="31"/>
      <c r="D64" s="31"/>
      <c r="E64" s="31"/>
      <c r="F64" s="31"/>
      <c r="G64" s="31"/>
      <c r="H64" s="31"/>
      <c r="I64" s="31"/>
      <c r="J64" s="31"/>
      <c r="K64" s="31"/>
      <c r="L64" s="31"/>
      <c r="M64" s="31"/>
      <c r="N64" s="31"/>
      <c r="O64" s="31"/>
      <c r="P64" s="31"/>
      <c r="Q64" s="31"/>
      <c r="R64" s="31"/>
    </row>
    <row r="65" spans="1:18" ht="21" customHeight="1" x14ac:dyDescent="0.25">
      <c r="A65" s="37" t="s">
        <v>820</v>
      </c>
      <c r="B65" s="31"/>
      <c r="C65" s="31"/>
      <c r="D65" s="31"/>
      <c r="E65" s="31"/>
      <c r="F65" s="31"/>
      <c r="G65" s="31"/>
      <c r="H65" s="31"/>
      <c r="I65" s="31"/>
      <c r="J65" s="31"/>
      <c r="K65" s="31"/>
      <c r="L65" s="31"/>
      <c r="M65" s="31"/>
      <c r="N65" s="31"/>
      <c r="O65" s="31"/>
      <c r="P65" s="31"/>
      <c r="Q65" s="31"/>
      <c r="R65" s="31"/>
    </row>
    <row r="66" spans="1:18" ht="6" customHeight="1" x14ac:dyDescent="0.25"/>
    <row r="67" spans="1:18" ht="18" customHeight="1" x14ac:dyDescent="0.25">
      <c r="A67" s="36" t="s">
        <v>692</v>
      </c>
      <c r="B67" s="31"/>
      <c r="C67" s="31"/>
      <c r="D67" s="31"/>
      <c r="E67" s="31"/>
      <c r="F67" s="31"/>
      <c r="G67" s="31"/>
      <c r="H67" s="31"/>
      <c r="I67" s="31"/>
      <c r="J67" s="31"/>
      <c r="K67" s="31"/>
      <c r="L67" s="31"/>
      <c r="M67" s="31"/>
      <c r="N67" s="31"/>
      <c r="O67" s="31"/>
      <c r="P67" s="31"/>
      <c r="Q67" s="31"/>
      <c r="R67" s="31"/>
    </row>
    <row r="68" spans="1:18" ht="21" customHeight="1" x14ac:dyDescent="0.25">
      <c r="A68" s="37" t="s">
        <v>737</v>
      </c>
      <c r="B68" s="31"/>
      <c r="C68" s="31"/>
      <c r="D68" s="31"/>
      <c r="E68" s="31"/>
      <c r="F68" s="31"/>
      <c r="G68" s="31"/>
      <c r="H68" s="31"/>
      <c r="I68" s="31"/>
      <c r="J68" s="31"/>
      <c r="K68" s="31"/>
      <c r="L68" s="31"/>
      <c r="M68" s="31"/>
      <c r="N68" s="31"/>
      <c r="O68" s="31"/>
      <c r="P68" s="31"/>
      <c r="Q68" s="31"/>
      <c r="R68" s="31"/>
    </row>
    <row r="69" spans="1:18" ht="6" customHeight="1" x14ac:dyDescent="0.25"/>
    <row r="70" spans="1:18" ht="18" customHeight="1" x14ac:dyDescent="0.25">
      <c r="A70" s="36" t="s">
        <v>693</v>
      </c>
      <c r="B70" s="31"/>
      <c r="C70" s="31"/>
      <c r="D70" s="31"/>
      <c r="E70" s="31"/>
      <c r="F70" s="31"/>
      <c r="G70" s="31"/>
      <c r="H70" s="31"/>
      <c r="I70" s="31"/>
      <c r="J70" s="31"/>
      <c r="K70" s="31"/>
      <c r="L70" s="31"/>
      <c r="M70" s="31"/>
      <c r="N70" s="31"/>
      <c r="O70" s="31"/>
      <c r="P70" s="31"/>
      <c r="Q70" s="31"/>
      <c r="R70" s="31"/>
    </row>
    <row r="71" spans="1:18" ht="21" customHeight="1" x14ac:dyDescent="0.25">
      <c r="A71" s="37" t="s">
        <v>738</v>
      </c>
      <c r="B71" s="31"/>
      <c r="C71" s="31"/>
      <c r="D71" s="31"/>
      <c r="E71" s="31"/>
      <c r="F71" s="31"/>
      <c r="G71" s="31"/>
      <c r="H71" s="31"/>
      <c r="I71" s="31"/>
      <c r="J71" s="31"/>
      <c r="K71" s="31"/>
      <c r="L71" s="31"/>
      <c r="M71" s="31"/>
      <c r="N71" s="31"/>
      <c r="O71" s="31"/>
      <c r="P71" s="31"/>
      <c r="Q71" s="31"/>
      <c r="R71" s="31"/>
    </row>
    <row r="72" spans="1:18" ht="6" customHeight="1" x14ac:dyDescent="0.25"/>
    <row r="73" spans="1:18" ht="18" customHeight="1" x14ac:dyDescent="0.25">
      <c r="A73" s="36" t="s">
        <v>699</v>
      </c>
      <c r="B73" s="31"/>
      <c r="C73" s="31"/>
      <c r="D73" s="31"/>
      <c r="E73" s="31"/>
      <c r="F73" s="31"/>
      <c r="G73" s="31"/>
      <c r="H73" s="31"/>
      <c r="I73" s="31"/>
      <c r="J73" s="31"/>
      <c r="K73" s="31"/>
      <c r="L73" s="31"/>
      <c r="M73" s="31"/>
      <c r="N73" s="31"/>
      <c r="O73" s="31"/>
      <c r="P73" s="31"/>
      <c r="Q73" s="31"/>
      <c r="R73" s="31"/>
    </row>
    <row r="74" spans="1:18" ht="36" customHeight="1" x14ac:dyDescent="0.25">
      <c r="A74" s="37" t="s">
        <v>743</v>
      </c>
      <c r="B74" s="31"/>
      <c r="C74" s="31"/>
      <c r="D74" s="31"/>
      <c r="E74" s="31"/>
      <c r="F74" s="31"/>
      <c r="G74" s="31"/>
      <c r="H74" s="31"/>
      <c r="I74" s="31"/>
      <c r="J74" s="31"/>
      <c r="K74" s="31"/>
      <c r="L74" s="31"/>
      <c r="M74" s="31"/>
      <c r="N74" s="31"/>
      <c r="O74" s="31"/>
      <c r="P74" s="31"/>
      <c r="Q74" s="31"/>
      <c r="R74" s="31"/>
    </row>
    <row r="75" spans="1:18" ht="6" customHeight="1" x14ac:dyDescent="0.25"/>
    <row r="78" spans="1:18" x14ac:dyDescent="0.25">
      <c r="A78" s="40" t="s">
        <v>744</v>
      </c>
      <c r="B78" s="31"/>
      <c r="C78" s="31"/>
      <c r="D78" s="31"/>
      <c r="E78" s="31"/>
      <c r="F78" s="31"/>
      <c r="G78" s="31"/>
      <c r="H78" s="31"/>
      <c r="I78" s="31"/>
      <c r="J78" s="31"/>
      <c r="K78" s="31"/>
      <c r="L78" s="31"/>
      <c r="M78" s="31"/>
      <c r="N78" s="31"/>
      <c r="O78" s="31"/>
      <c r="P78" s="31"/>
      <c r="Q78" s="31"/>
      <c r="R78" s="31"/>
    </row>
  </sheetData>
  <mergeCells count="28">
    <mergeCell ref="A33:R33"/>
    <mergeCell ref="A71:R71"/>
    <mergeCell ref="A42:R42"/>
    <mergeCell ref="A62:R62"/>
    <mergeCell ref="A53:R53"/>
    <mergeCell ref="A43:R43"/>
    <mergeCell ref="A52:R52"/>
    <mergeCell ref="A68:R68"/>
    <mergeCell ref="A67:R67"/>
    <mergeCell ref="A58:R58"/>
    <mergeCell ref="A40:R40"/>
    <mergeCell ref="A34:R34"/>
    <mergeCell ref="A39:R39"/>
    <mergeCell ref="A64:R64"/>
    <mergeCell ref="A59:R59"/>
    <mergeCell ref="A36:R36"/>
    <mergeCell ref="A78:R78"/>
    <mergeCell ref="A65:R65"/>
    <mergeCell ref="A46:R46"/>
    <mergeCell ref="A37:R37"/>
    <mergeCell ref="A74:R74"/>
    <mergeCell ref="A56:R56"/>
    <mergeCell ref="A50:R50"/>
    <mergeCell ref="A55:R55"/>
    <mergeCell ref="A73:R73"/>
    <mergeCell ref="A45:R45"/>
    <mergeCell ref="A70:R70"/>
    <mergeCell ref="A61:R61"/>
  </mergeCells>
  <dataValidations count="8">
    <dataValidation type="list" allowBlank="1" errorTitle="Valore non valido" error="Seleziona dalla lista." promptTitle="Author" prompt="Autore della codifica." sqref="B5:B30" xr:uid="{00000000-0002-0000-0800-000000000000}">
      <formula1>Author_Name</formula1>
    </dataValidation>
    <dataValidation type="list" allowBlank="1" errorTitle="Valore non valido" error="Seleziona dalla lista, oppure lascia vuoto." promptTitle="In Place" sqref="D5:D30" xr:uid="{00000000-0002-0000-0800-000001000000}">
      <formula1>InPl_Name</formula1>
    </dataValidation>
    <dataValidation type="list" allowBlank="1" errorTitle="Valore non valido" error="Seleziona dalla lista." promptTitle="Famiglia di sistema" prompt="Famiglia di sistema Revit." sqref="F5:F30" xr:uid="{00000000-0002-0000-0800-000002000000}">
      <formula1>ST_Cat_Name</formula1>
    </dataValidation>
    <dataValidation type="list" allowBlank="1" errorTitle="Non disponibile" error="Seleziona prima la famiglia di sistema su questa riga." promptTitle="Group1" prompt="Sistema portante. Le opzioni cambiano con la famiglia scelta sulla riga. Coincide con il Group1 delle Run annidate." sqref="H5:H30" xr:uid="{00000000-0002-0000-0800-000003000000}">
      <formula1>INDIRECT($S5)</formula1>
    </dataValidation>
    <dataValidation type="list" allowBlank="1" errorTitle="Valore non valido" error="Seleziona dalla lista." promptTitle="Group2" prompt="Ruolo della scala nell’edificio." sqref="K5:K30" xr:uid="{00000000-0002-0000-0800-000004000000}">
      <formula1>ST_G2_Name</formula1>
    </dataValidation>
    <dataValidation type="custom" allowBlank="1" errorTitle="Non valido" error="Inserisci un intero tra 0 e 99, oppure XX se i tipi non sono ancora definiti. Se Group1 è Other compila il Type Mark manuale." promptTitle="TM sequenza" prompt="Due cifre da 0 a 99. Distingue le varianti di stesso Group1 e stesso Group2. Tipo non ancora definito → XX. Non si compila con Group1 = OT." sqref="M5:M30" xr:uid="{00000000-0002-0000-0800-000005000000}">
      <formula1>AND($I5&lt;&gt;"OT",OR(UPPER($M5)="XX",AND(ISNUMBER($M5),$M5&gt;=0,$M5&lt;=99,$M5=INT($M5))))</formula1>
    </dataValidation>
    <dataValidation type="custom" allowBlank="1" errorTitle="Non ammesso qui" error="Si usa solo quando Group1 è Other." promptTitle="Type Mark manuale" prompt="Solo con Group1 = OT. Sostituisce tutto il Type Mark, prefisso di categoria compreso. Finiture → prefisso materiale + tre cifre: PT-001, WD-001, MT-001." sqref="N5:N30" xr:uid="{00000000-0002-0000-0800-000006000000}">
      <formula1>$I5="OT"</formula1>
    </dataValidation>
    <dataValidation type="textLength" operator="lessThanOrEqual" allowBlank="1" errorTitle="Troppo lunga" error="Massimo 40 caratteri." promptTitle="Description" prompt="Facoltativa. Solo se aggiunge un’informazione non già nei codici: destinazione, posizione, o ciò che distingue due tipi altrimenti identici. Senza spazi, iniziali maiuscole, massimo 40 caratteri, senza accenti." sqref="P5:P30" xr:uid="{00000000-0002-0000-0800-000007000000}">
      <formula1>40</formula1>
    </dataValidation>
  </dataValidations>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U81"/>
  <sheetViews>
    <sheetView showGridLines="0" workbookViewId="0">
      <pane ySplit="4" topLeftCell="A5" activePane="bottomLeft" state="frozen"/>
      <selection pane="bottomLeft"/>
    </sheetView>
  </sheetViews>
  <sheetFormatPr defaultRowHeight="15" x14ac:dyDescent="0.25"/>
  <cols>
    <col min="1" max="1" width="3" customWidth="1"/>
    <col min="2" max="2" width="15" customWidth="1"/>
    <col min="3" max="3" width="5" customWidth="1"/>
    <col min="4" max="4" width="10" customWidth="1"/>
    <col min="5" max="5" width="4" customWidth="1"/>
    <col min="6" max="6" width="17" customWidth="1"/>
    <col min="7" max="7" width="4" customWidth="1"/>
    <col min="8" max="8" width="15" customWidth="1"/>
    <col min="9" max="9" width="4" customWidth="1"/>
    <col min="10" max="10" width="6" customWidth="1"/>
    <col min="11" max="11" width="15" customWidth="1"/>
    <col min="12" max="12" width="4" customWidth="1"/>
    <col min="13" max="13" width="12" customWidth="1"/>
    <col min="14" max="14" width="19" customWidth="1"/>
    <col min="15" max="15" width="12" customWidth="1"/>
    <col min="16" max="16" width="10" customWidth="1"/>
    <col min="17" max="17" width="13" customWidth="1"/>
    <col min="18" max="18" width="4" customWidth="1"/>
    <col min="19" max="19" width="22" customWidth="1"/>
    <col min="20" max="20" width="12" customWidth="1"/>
    <col min="21" max="21" width="40" customWidth="1"/>
  </cols>
  <sheetData>
    <row r="1" spans="1:21" ht="19.5" x14ac:dyDescent="0.3">
      <c r="A1" s="6" t="s">
        <v>821</v>
      </c>
    </row>
    <row r="2" spans="1:21" x14ac:dyDescent="0.25">
      <c r="A2" s="7" t="s">
        <v>680</v>
      </c>
    </row>
    <row r="3" spans="1:21" x14ac:dyDescent="0.25">
      <c r="A3" s="8" t="s">
        <v>822</v>
      </c>
    </row>
    <row r="4" spans="1:21" ht="30" customHeight="1" x14ac:dyDescent="0.25">
      <c r="A4" s="9" t="s">
        <v>682</v>
      </c>
      <c r="B4" s="9" t="s">
        <v>70</v>
      </c>
      <c r="C4" s="9" t="s">
        <v>683</v>
      </c>
      <c r="D4" s="10" t="s">
        <v>84</v>
      </c>
      <c r="E4" s="9" t="s">
        <v>83</v>
      </c>
      <c r="F4" s="9" t="s">
        <v>684</v>
      </c>
      <c r="G4" s="9" t="s">
        <v>685</v>
      </c>
      <c r="H4" s="9" t="s">
        <v>686</v>
      </c>
      <c r="I4" s="9" t="s">
        <v>687</v>
      </c>
      <c r="J4" s="9" t="s">
        <v>688</v>
      </c>
      <c r="K4" s="9" t="s">
        <v>689</v>
      </c>
      <c r="L4" s="9" t="s">
        <v>690</v>
      </c>
      <c r="M4" s="9" t="s">
        <v>692</v>
      </c>
      <c r="N4" s="9" t="s">
        <v>693</v>
      </c>
      <c r="O4" s="9" t="s">
        <v>694</v>
      </c>
      <c r="P4" s="9" t="s">
        <v>695</v>
      </c>
      <c r="Q4" s="10" t="s">
        <v>823</v>
      </c>
      <c r="R4" s="9" t="s">
        <v>805</v>
      </c>
      <c r="S4" s="10" t="s">
        <v>699</v>
      </c>
      <c r="T4" s="9" t="s">
        <v>700</v>
      </c>
      <c r="U4" s="9" t="s">
        <v>701</v>
      </c>
    </row>
    <row r="5" spans="1:21" x14ac:dyDescent="0.25">
      <c r="A5" s="11" t="s">
        <v>704</v>
      </c>
      <c r="B5" s="12" t="s">
        <v>80</v>
      </c>
      <c r="C5" s="13" t="str">
        <f t="shared" ref="C5:C30" si="0">IFERROR(INDEX(Author_Code,MATCH($B5,Author_Name,0)),"")</f>
        <v>e</v>
      </c>
      <c r="D5" s="14"/>
      <c r="E5" s="13" t="str">
        <f t="shared" ref="E5:E30" si="1">IFERROR(INDEX(InPl_Code,MATCH($D5,InPl_Name,0)),"")</f>
        <v/>
      </c>
      <c r="F5" s="12" t="s">
        <v>447</v>
      </c>
      <c r="G5" s="13" t="str">
        <f t="shared" ref="G5:G30" si="2">IFERROR(INDEX(RM_Cat_Code,MATCH($F5,RM_Cat_Name,0)),"")</f>
        <v>RM</v>
      </c>
      <c r="H5" s="12" t="s">
        <v>172</v>
      </c>
      <c r="I5" s="13" t="str">
        <f t="shared" ref="I5:I30" si="3">IFERROR(INDEX(RM_G1_Code,MATCH($H5,RM_G1_Name,0)),"")</f>
        <v>MN</v>
      </c>
      <c r="J5" s="13" t="str">
        <f t="shared" ref="J5:J30" si="4">IFERROR(LEFT(INDEX(RM_G1_TM,MATCH($H5,RM_G1_Name,0)),1),"")</f>
        <v>1</v>
      </c>
      <c r="K5" s="12" t="s">
        <v>448</v>
      </c>
      <c r="L5" s="13" t="str">
        <f t="shared" ref="L5:L30" si="5">IFERROR(INDEX(RM_G2_Code,MATCH($K5,RM_G2_Name,0)),"")</f>
        <v>AC</v>
      </c>
      <c r="M5" s="12">
        <v>1</v>
      </c>
      <c r="N5" s="15"/>
      <c r="O5" s="13" t="str">
        <f t="shared" ref="O5:O30" si="6">IF($I5="OT",$N5,IF(OR($G5="",$J5="",$M5=""),"",$G5&amp;"-"&amp;$J5&amp;IF(UPPER($M5)="XX","XX",TEXT($M5,"00"))))</f>
        <v>RM-101</v>
      </c>
      <c r="P5" s="12">
        <v>200</v>
      </c>
      <c r="Q5" s="14" t="s">
        <v>135</v>
      </c>
      <c r="R5" s="13" t="str">
        <f t="shared" ref="R5:R30" si="7">IFERROR(INDEX(RMsh_Code,MATCH($Q5,RMsh_Name,0))&amp;"","")</f>
        <v/>
      </c>
      <c r="S5" s="16"/>
      <c r="T5" s="13" t="str">
        <f t="shared" ref="T5:T30" si="8">$G5&amp;IF($I5&lt;&gt;"","."&amp;$I5,"")&amp;IF($L5&lt;&gt;"","."&amp;$L5,"")</f>
        <v>RM.MN.AC</v>
      </c>
      <c r="U5" s="17" t="str">
        <f t="shared" ref="U5:U30" si="9">IF(AND($F5&lt;&gt;"",$H5&lt;&gt;"",$O5&lt;&gt;"",OR($R5&lt;&gt;"",AND($P5&lt;&gt;""))),$C5&amp;"_"&amp;$O5&amp;"_"&amp;$E5&amp;$T5&amp;"_"&amp;IF($R5&lt;&gt;"",$R5,"T"&amp;TEXT($P5,"0"))&amp;IF($S5&lt;&gt;"","_"&amp;$S5,""),"")</f>
        <v>e_RM-101_RM.MN.AC_T200</v>
      </c>
    </row>
    <row r="6" spans="1:21" x14ac:dyDescent="0.25">
      <c r="A6" s="11" t="s">
        <v>705</v>
      </c>
      <c r="B6" s="12" t="s">
        <v>80</v>
      </c>
      <c r="C6" s="13" t="str">
        <f t="shared" si="0"/>
        <v>e</v>
      </c>
      <c r="D6" s="14"/>
      <c r="E6" s="13" t="str">
        <f t="shared" si="1"/>
        <v/>
      </c>
      <c r="F6" s="12" t="s">
        <v>447</v>
      </c>
      <c r="G6" s="13" t="str">
        <f t="shared" si="2"/>
        <v>RM</v>
      </c>
      <c r="H6" s="12" t="s">
        <v>172</v>
      </c>
      <c r="I6" s="13" t="str">
        <f t="shared" si="3"/>
        <v>MN</v>
      </c>
      <c r="J6" s="13" t="str">
        <f t="shared" si="4"/>
        <v>1</v>
      </c>
      <c r="K6" s="12" t="s">
        <v>452</v>
      </c>
      <c r="L6" s="13" t="str">
        <f t="shared" si="5"/>
        <v>PD</v>
      </c>
      <c r="M6" s="12">
        <v>2</v>
      </c>
      <c r="N6" s="15"/>
      <c r="O6" s="13" t="str">
        <f t="shared" si="6"/>
        <v>RM-102</v>
      </c>
      <c r="P6" s="12">
        <v>180</v>
      </c>
      <c r="Q6" s="14" t="s">
        <v>135</v>
      </c>
      <c r="R6" s="13" t="str">
        <f t="shared" si="7"/>
        <v/>
      </c>
      <c r="S6" s="16"/>
      <c r="T6" s="13" t="str">
        <f t="shared" si="8"/>
        <v>RM.MN.PD</v>
      </c>
      <c r="U6" s="17" t="str">
        <f t="shared" si="9"/>
        <v>e_RM-102_RM.MN.PD_T180</v>
      </c>
    </row>
    <row r="7" spans="1:21" x14ac:dyDescent="0.25">
      <c r="A7" s="11" t="s">
        <v>707</v>
      </c>
      <c r="B7" s="12" t="s">
        <v>80</v>
      </c>
      <c r="C7" s="13" t="str">
        <f t="shared" si="0"/>
        <v>e</v>
      </c>
      <c r="D7" s="14"/>
      <c r="E7" s="13" t="str">
        <f t="shared" si="1"/>
        <v/>
      </c>
      <c r="F7" s="12" t="s">
        <v>447</v>
      </c>
      <c r="G7" s="13" t="str">
        <f t="shared" si="2"/>
        <v>RM</v>
      </c>
      <c r="H7" s="12" t="s">
        <v>172</v>
      </c>
      <c r="I7" s="13" t="str">
        <f t="shared" si="3"/>
        <v>MN</v>
      </c>
      <c r="J7" s="13" t="str">
        <f t="shared" si="4"/>
        <v>1</v>
      </c>
      <c r="K7" s="12" t="s">
        <v>456</v>
      </c>
      <c r="L7" s="13" t="str">
        <f t="shared" si="5"/>
        <v>VH</v>
      </c>
      <c r="M7" s="12">
        <v>3</v>
      </c>
      <c r="N7" s="15"/>
      <c r="O7" s="13" t="str">
        <f t="shared" si="6"/>
        <v>RM-103</v>
      </c>
      <c r="P7" s="12"/>
      <c r="Q7" s="14" t="s">
        <v>137</v>
      </c>
      <c r="R7" s="13" t="str">
        <f t="shared" si="7"/>
        <v>SL</v>
      </c>
      <c r="S7" s="16" t="s">
        <v>824</v>
      </c>
      <c r="T7" s="13" t="str">
        <f t="shared" si="8"/>
        <v>RM.MN.VH</v>
      </c>
      <c r="U7" s="17" t="str">
        <f t="shared" si="9"/>
        <v>e_RM-103_RM.MN.VH_SL_Garage</v>
      </c>
    </row>
    <row r="8" spans="1:21" x14ac:dyDescent="0.25">
      <c r="A8" s="11" t="s">
        <v>709</v>
      </c>
      <c r="B8" s="12" t="s">
        <v>80</v>
      </c>
      <c r="C8" s="13" t="str">
        <f t="shared" si="0"/>
        <v>e</v>
      </c>
      <c r="D8" s="14"/>
      <c r="E8" s="13" t="str">
        <f t="shared" si="1"/>
        <v/>
      </c>
      <c r="F8" s="12" t="s">
        <v>447</v>
      </c>
      <c r="G8" s="13" t="str">
        <f t="shared" si="2"/>
        <v>RM</v>
      </c>
      <c r="H8" s="12" t="s">
        <v>172</v>
      </c>
      <c r="I8" s="13" t="str">
        <f t="shared" si="3"/>
        <v>MN</v>
      </c>
      <c r="J8" s="13" t="str">
        <f t="shared" si="4"/>
        <v>1</v>
      </c>
      <c r="K8" s="12" t="s">
        <v>459</v>
      </c>
      <c r="L8" s="13" t="str">
        <f t="shared" si="5"/>
        <v>LD</v>
      </c>
      <c r="M8" s="12">
        <v>4</v>
      </c>
      <c r="N8" s="15"/>
      <c r="O8" s="13" t="str">
        <f t="shared" si="6"/>
        <v>RM-104</v>
      </c>
      <c r="P8" s="12">
        <v>250</v>
      </c>
      <c r="Q8" s="14" t="s">
        <v>135</v>
      </c>
      <c r="R8" s="13" t="str">
        <f t="shared" si="7"/>
        <v/>
      </c>
      <c r="S8" s="16"/>
      <c r="T8" s="13" t="str">
        <f t="shared" si="8"/>
        <v>RM.MN.LD</v>
      </c>
      <c r="U8" s="17" t="str">
        <f t="shared" si="9"/>
        <v>e_RM-104_RM.MN.LD_T250</v>
      </c>
    </row>
    <row r="9" spans="1:21" x14ac:dyDescent="0.25">
      <c r="A9" s="11" t="s">
        <v>711</v>
      </c>
      <c r="B9" s="12" t="s">
        <v>80</v>
      </c>
      <c r="C9" s="13" t="str">
        <f t="shared" si="0"/>
        <v>e</v>
      </c>
      <c r="D9" s="14"/>
      <c r="E9" s="13" t="str">
        <f t="shared" si="1"/>
        <v/>
      </c>
      <c r="F9" s="12" t="s">
        <v>447</v>
      </c>
      <c r="G9" s="13" t="str">
        <f t="shared" si="2"/>
        <v>RM</v>
      </c>
      <c r="H9" s="12" t="s">
        <v>172</v>
      </c>
      <c r="I9" s="13" t="str">
        <f t="shared" si="3"/>
        <v>MN</v>
      </c>
      <c r="J9" s="13" t="str">
        <f t="shared" si="4"/>
        <v>1</v>
      </c>
      <c r="K9" s="12" t="s">
        <v>448</v>
      </c>
      <c r="L9" s="13" t="str">
        <f t="shared" si="5"/>
        <v>AC</v>
      </c>
      <c r="M9" s="12">
        <v>5</v>
      </c>
      <c r="N9" s="15"/>
      <c r="O9" s="13" t="str">
        <f t="shared" si="6"/>
        <v>RM-105</v>
      </c>
      <c r="P9" s="12">
        <v>220</v>
      </c>
      <c r="Q9" s="14" t="s">
        <v>135</v>
      </c>
      <c r="R9" s="13" t="str">
        <f t="shared" si="7"/>
        <v/>
      </c>
      <c r="S9" s="16" t="s">
        <v>825</v>
      </c>
      <c r="T9" s="13" t="str">
        <f t="shared" si="8"/>
        <v>RM.MN.AC</v>
      </c>
      <c r="U9" s="17" t="str">
        <f t="shared" si="9"/>
        <v>e_RM-105_RM.MN.AC_T220_Outdoor</v>
      </c>
    </row>
    <row r="10" spans="1:21" x14ac:dyDescent="0.25">
      <c r="A10" s="11" t="s">
        <v>712</v>
      </c>
      <c r="B10" s="12" t="s">
        <v>80</v>
      </c>
      <c r="C10" s="13" t="str">
        <f t="shared" si="0"/>
        <v>e</v>
      </c>
      <c r="D10" s="14"/>
      <c r="E10" s="13" t="str">
        <f t="shared" si="1"/>
        <v/>
      </c>
      <c r="F10" s="12" t="s">
        <v>447</v>
      </c>
      <c r="G10" s="13" t="str">
        <f t="shared" si="2"/>
        <v>RM</v>
      </c>
      <c r="H10" s="12" t="s">
        <v>223</v>
      </c>
      <c r="I10" s="13" t="str">
        <f t="shared" si="3"/>
        <v>PC</v>
      </c>
      <c r="J10" s="13" t="str">
        <f t="shared" si="4"/>
        <v>2</v>
      </c>
      <c r="K10" s="12" t="s">
        <v>456</v>
      </c>
      <c r="L10" s="13" t="str">
        <f t="shared" si="5"/>
        <v>VH</v>
      </c>
      <c r="M10" s="12">
        <v>1</v>
      </c>
      <c r="N10" s="15"/>
      <c r="O10" s="13" t="str">
        <f t="shared" si="6"/>
        <v>RM-201</v>
      </c>
      <c r="P10" s="12">
        <v>280</v>
      </c>
      <c r="Q10" s="14" t="s">
        <v>135</v>
      </c>
      <c r="R10" s="13" t="str">
        <f t="shared" si="7"/>
        <v/>
      </c>
      <c r="S10" s="16"/>
      <c r="T10" s="13" t="str">
        <f t="shared" si="8"/>
        <v>RM.PC.VH</v>
      </c>
      <c r="U10" s="17" t="str">
        <f t="shared" si="9"/>
        <v>e_RM-201_RM.PC.VH_T280</v>
      </c>
    </row>
    <row r="11" spans="1:21" x14ac:dyDescent="0.25">
      <c r="A11" s="11" t="s">
        <v>713</v>
      </c>
      <c r="B11" s="12" t="s">
        <v>80</v>
      </c>
      <c r="C11" s="13" t="str">
        <f t="shared" si="0"/>
        <v>e</v>
      </c>
      <c r="D11" s="14"/>
      <c r="E11" s="13" t="str">
        <f t="shared" si="1"/>
        <v/>
      </c>
      <c r="F11" s="12" t="s">
        <v>447</v>
      </c>
      <c r="G11" s="13" t="str">
        <f t="shared" si="2"/>
        <v>RM</v>
      </c>
      <c r="H11" s="12" t="s">
        <v>223</v>
      </c>
      <c r="I11" s="13" t="str">
        <f t="shared" si="3"/>
        <v>PC</v>
      </c>
      <c r="J11" s="13" t="str">
        <f t="shared" si="4"/>
        <v>2</v>
      </c>
      <c r="K11" s="12" t="s">
        <v>448</v>
      </c>
      <c r="L11" s="13" t="str">
        <f t="shared" si="5"/>
        <v>AC</v>
      </c>
      <c r="M11" s="12">
        <v>2</v>
      </c>
      <c r="N11" s="15"/>
      <c r="O11" s="13" t="str">
        <f t="shared" si="6"/>
        <v>RM-202</v>
      </c>
      <c r="P11" s="12">
        <v>200</v>
      </c>
      <c r="Q11" s="14" t="s">
        <v>135</v>
      </c>
      <c r="R11" s="13" t="str">
        <f t="shared" si="7"/>
        <v/>
      </c>
      <c r="S11" s="16"/>
      <c r="T11" s="13" t="str">
        <f t="shared" si="8"/>
        <v>RM.PC.AC</v>
      </c>
      <c r="U11" s="17" t="str">
        <f t="shared" si="9"/>
        <v>e_RM-202_RM.PC.AC_T200</v>
      </c>
    </row>
    <row r="12" spans="1:21" x14ac:dyDescent="0.25">
      <c r="A12" s="11" t="s">
        <v>715</v>
      </c>
      <c r="B12" s="12" t="s">
        <v>80</v>
      </c>
      <c r="C12" s="13" t="str">
        <f t="shared" si="0"/>
        <v>e</v>
      </c>
      <c r="D12" s="14"/>
      <c r="E12" s="13" t="str">
        <f t="shared" si="1"/>
        <v/>
      </c>
      <c r="F12" s="12" t="s">
        <v>447</v>
      </c>
      <c r="G12" s="13" t="str">
        <f t="shared" si="2"/>
        <v>RM</v>
      </c>
      <c r="H12" s="12" t="s">
        <v>158</v>
      </c>
      <c r="I12" s="13" t="str">
        <f t="shared" si="3"/>
        <v>FR</v>
      </c>
      <c r="J12" s="13" t="str">
        <f t="shared" si="4"/>
        <v>3</v>
      </c>
      <c r="K12" s="12" t="s">
        <v>452</v>
      </c>
      <c r="L12" s="13" t="str">
        <f t="shared" si="5"/>
        <v>PD</v>
      </c>
      <c r="M12" s="12">
        <v>1</v>
      </c>
      <c r="N12" s="15"/>
      <c r="O12" s="13" t="str">
        <f t="shared" si="6"/>
        <v>RM-301</v>
      </c>
      <c r="P12" s="12">
        <v>120</v>
      </c>
      <c r="Q12" s="14" t="s">
        <v>135</v>
      </c>
      <c r="R12" s="13" t="str">
        <f t="shared" si="7"/>
        <v/>
      </c>
      <c r="S12" s="16"/>
      <c r="T12" s="13" t="str">
        <f t="shared" si="8"/>
        <v>RM.FR.PD</v>
      </c>
      <c r="U12" s="17" t="str">
        <f t="shared" si="9"/>
        <v>e_RM-301_RM.FR.PD_T120</v>
      </c>
    </row>
    <row r="13" spans="1:21" x14ac:dyDescent="0.25">
      <c r="A13" s="11" t="s">
        <v>716</v>
      </c>
      <c r="B13" s="12" t="s">
        <v>80</v>
      </c>
      <c r="C13" s="13" t="str">
        <f t="shared" si="0"/>
        <v>e</v>
      </c>
      <c r="D13" s="14"/>
      <c r="E13" s="13" t="str">
        <f t="shared" si="1"/>
        <v/>
      </c>
      <c r="F13" s="12" t="s">
        <v>447</v>
      </c>
      <c r="G13" s="13" t="str">
        <f t="shared" si="2"/>
        <v>RM</v>
      </c>
      <c r="H13" s="12" t="s">
        <v>158</v>
      </c>
      <c r="I13" s="13" t="str">
        <f t="shared" si="3"/>
        <v>FR</v>
      </c>
      <c r="J13" s="13" t="str">
        <f t="shared" si="4"/>
        <v>3</v>
      </c>
      <c r="K13" s="12" t="s">
        <v>448</v>
      </c>
      <c r="L13" s="13" t="str">
        <f t="shared" si="5"/>
        <v>AC</v>
      </c>
      <c r="M13" s="12">
        <v>2</v>
      </c>
      <c r="N13" s="15"/>
      <c r="O13" s="13" t="str">
        <f t="shared" si="6"/>
        <v>RM-302</v>
      </c>
      <c r="P13" s="12">
        <v>140</v>
      </c>
      <c r="Q13" s="14" t="s">
        <v>135</v>
      </c>
      <c r="R13" s="13" t="str">
        <f t="shared" si="7"/>
        <v/>
      </c>
      <c r="S13" s="16"/>
      <c r="T13" s="13" t="str">
        <f t="shared" si="8"/>
        <v>RM.FR.AC</v>
      </c>
      <c r="U13" s="17" t="str">
        <f t="shared" si="9"/>
        <v>e_RM-302_RM.FR.AC_T140</v>
      </c>
    </row>
    <row r="14" spans="1:21" x14ac:dyDescent="0.25">
      <c r="A14" s="11" t="s">
        <v>717</v>
      </c>
      <c r="B14" s="12" t="s">
        <v>80</v>
      </c>
      <c r="C14" s="13" t="str">
        <f t="shared" si="0"/>
        <v>e</v>
      </c>
      <c r="D14" s="14"/>
      <c r="E14" s="13" t="str">
        <f t="shared" si="1"/>
        <v/>
      </c>
      <c r="F14" s="12" t="s">
        <v>447</v>
      </c>
      <c r="G14" s="13" t="str">
        <f t="shared" si="2"/>
        <v>RM</v>
      </c>
      <c r="H14" s="12" t="s">
        <v>151</v>
      </c>
      <c r="I14" s="13" t="str">
        <f t="shared" si="3"/>
        <v>GN</v>
      </c>
      <c r="J14" s="13" t="str">
        <f t="shared" si="4"/>
        <v>0</v>
      </c>
      <c r="K14" s="12" t="s">
        <v>452</v>
      </c>
      <c r="L14" s="13" t="str">
        <f t="shared" si="5"/>
        <v>PD</v>
      </c>
      <c r="M14" s="12">
        <v>1</v>
      </c>
      <c r="N14" s="15"/>
      <c r="O14" s="13" t="str">
        <f t="shared" si="6"/>
        <v>RM-001</v>
      </c>
      <c r="P14" s="12">
        <v>200</v>
      </c>
      <c r="Q14" s="14" t="s">
        <v>135</v>
      </c>
      <c r="R14" s="13" t="str">
        <f t="shared" si="7"/>
        <v/>
      </c>
      <c r="S14" s="16"/>
      <c r="T14" s="13" t="str">
        <f t="shared" si="8"/>
        <v>RM.GN.PD</v>
      </c>
      <c r="U14" s="17" t="str">
        <f t="shared" si="9"/>
        <v>e_RM-001_RM.GN.PD_T200</v>
      </c>
    </row>
    <row r="15" spans="1:21" x14ac:dyDescent="0.25">
      <c r="A15" s="11" t="s">
        <v>719</v>
      </c>
      <c r="B15" s="12" t="s">
        <v>80</v>
      </c>
      <c r="C15" s="13" t="str">
        <f t="shared" si="0"/>
        <v>e</v>
      </c>
      <c r="D15" s="14" t="s">
        <v>84</v>
      </c>
      <c r="E15" s="13" t="str">
        <f t="shared" si="1"/>
        <v>(I)</v>
      </c>
      <c r="F15" s="12" t="s">
        <v>447</v>
      </c>
      <c r="G15" s="13" t="str">
        <f t="shared" si="2"/>
        <v>RM</v>
      </c>
      <c r="H15" s="12" t="s">
        <v>172</v>
      </c>
      <c r="I15" s="13" t="str">
        <f t="shared" si="3"/>
        <v>MN</v>
      </c>
      <c r="J15" s="13" t="str">
        <f t="shared" si="4"/>
        <v>1</v>
      </c>
      <c r="K15" s="12" t="s">
        <v>448</v>
      </c>
      <c r="L15" s="13" t="str">
        <f t="shared" si="5"/>
        <v>AC</v>
      </c>
      <c r="M15" s="12">
        <v>1</v>
      </c>
      <c r="N15" s="15"/>
      <c r="O15" s="13" t="str">
        <f t="shared" si="6"/>
        <v>RM-101</v>
      </c>
      <c r="P15" s="12">
        <v>200</v>
      </c>
      <c r="Q15" s="14" t="s">
        <v>135</v>
      </c>
      <c r="R15" s="13" t="str">
        <f t="shared" si="7"/>
        <v/>
      </c>
      <c r="S15" s="16"/>
      <c r="T15" s="13" t="str">
        <f t="shared" si="8"/>
        <v>RM.MN.AC</v>
      </c>
      <c r="U15" s="17" t="str">
        <f t="shared" si="9"/>
        <v>e_RM-101_(I)RM.MN.AC_T200</v>
      </c>
    </row>
    <row r="16" spans="1:21" x14ac:dyDescent="0.25">
      <c r="A16" s="19">
        <v>1</v>
      </c>
      <c r="B16" s="20"/>
      <c r="C16" s="21" t="str">
        <f t="shared" si="0"/>
        <v/>
      </c>
      <c r="D16" s="22"/>
      <c r="E16" s="21" t="str">
        <f t="shared" si="1"/>
        <v/>
      </c>
      <c r="F16" s="20"/>
      <c r="G16" s="21" t="str">
        <f t="shared" si="2"/>
        <v/>
      </c>
      <c r="H16" s="20"/>
      <c r="I16" s="21" t="str">
        <f t="shared" si="3"/>
        <v/>
      </c>
      <c r="J16" s="21" t="str">
        <f t="shared" si="4"/>
        <v/>
      </c>
      <c r="K16" s="20"/>
      <c r="L16" s="21" t="str">
        <f t="shared" si="5"/>
        <v/>
      </c>
      <c r="M16" s="20"/>
      <c r="N16" s="23"/>
      <c r="O16" s="21" t="str">
        <f t="shared" si="6"/>
        <v/>
      </c>
      <c r="P16" s="20"/>
      <c r="Q16" s="22"/>
      <c r="R16" s="21" t="str">
        <f t="shared" si="7"/>
        <v/>
      </c>
      <c r="S16" s="24"/>
      <c r="T16" s="21" t="str">
        <f t="shared" si="8"/>
        <v/>
      </c>
      <c r="U16" s="25" t="str">
        <f t="shared" si="9"/>
        <v/>
      </c>
    </row>
    <row r="17" spans="1:21" x14ac:dyDescent="0.25">
      <c r="A17" s="19">
        <v>2</v>
      </c>
      <c r="B17" s="20"/>
      <c r="C17" s="21" t="str">
        <f t="shared" si="0"/>
        <v/>
      </c>
      <c r="D17" s="22"/>
      <c r="E17" s="21" t="str">
        <f t="shared" si="1"/>
        <v/>
      </c>
      <c r="F17" s="20"/>
      <c r="G17" s="21" t="str">
        <f t="shared" si="2"/>
        <v/>
      </c>
      <c r="H17" s="20"/>
      <c r="I17" s="21" t="str">
        <f t="shared" si="3"/>
        <v/>
      </c>
      <c r="J17" s="21" t="str">
        <f t="shared" si="4"/>
        <v/>
      </c>
      <c r="K17" s="20"/>
      <c r="L17" s="21" t="str">
        <f t="shared" si="5"/>
        <v/>
      </c>
      <c r="M17" s="20"/>
      <c r="N17" s="23"/>
      <c r="O17" s="21" t="str">
        <f t="shared" si="6"/>
        <v/>
      </c>
      <c r="P17" s="20"/>
      <c r="Q17" s="22"/>
      <c r="R17" s="21" t="str">
        <f t="shared" si="7"/>
        <v/>
      </c>
      <c r="S17" s="24"/>
      <c r="T17" s="21" t="str">
        <f t="shared" si="8"/>
        <v/>
      </c>
      <c r="U17" s="25" t="str">
        <f t="shared" si="9"/>
        <v/>
      </c>
    </row>
    <row r="18" spans="1:21" x14ac:dyDescent="0.25">
      <c r="A18" s="19">
        <v>3</v>
      </c>
      <c r="B18" s="20"/>
      <c r="C18" s="21" t="str">
        <f t="shared" si="0"/>
        <v/>
      </c>
      <c r="D18" s="22"/>
      <c r="E18" s="21" t="str">
        <f t="shared" si="1"/>
        <v/>
      </c>
      <c r="F18" s="20"/>
      <c r="G18" s="21" t="str">
        <f t="shared" si="2"/>
        <v/>
      </c>
      <c r="H18" s="20"/>
      <c r="I18" s="21" t="str">
        <f t="shared" si="3"/>
        <v/>
      </c>
      <c r="J18" s="21" t="str">
        <f t="shared" si="4"/>
        <v/>
      </c>
      <c r="K18" s="20"/>
      <c r="L18" s="21" t="str">
        <f t="shared" si="5"/>
        <v/>
      </c>
      <c r="M18" s="20"/>
      <c r="N18" s="23"/>
      <c r="O18" s="21" t="str">
        <f t="shared" si="6"/>
        <v/>
      </c>
      <c r="P18" s="20"/>
      <c r="Q18" s="22"/>
      <c r="R18" s="21" t="str">
        <f t="shared" si="7"/>
        <v/>
      </c>
      <c r="S18" s="24"/>
      <c r="T18" s="21" t="str">
        <f t="shared" si="8"/>
        <v/>
      </c>
      <c r="U18" s="25" t="str">
        <f t="shared" si="9"/>
        <v/>
      </c>
    </row>
    <row r="19" spans="1:21" x14ac:dyDescent="0.25">
      <c r="A19" s="19">
        <v>4</v>
      </c>
      <c r="B19" s="20"/>
      <c r="C19" s="21" t="str">
        <f t="shared" si="0"/>
        <v/>
      </c>
      <c r="D19" s="22"/>
      <c r="E19" s="21" t="str">
        <f t="shared" si="1"/>
        <v/>
      </c>
      <c r="F19" s="20"/>
      <c r="G19" s="21" t="str">
        <f t="shared" si="2"/>
        <v/>
      </c>
      <c r="H19" s="20"/>
      <c r="I19" s="21" t="str">
        <f t="shared" si="3"/>
        <v/>
      </c>
      <c r="J19" s="21" t="str">
        <f t="shared" si="4"/>
        <v/>
      </c>
      <c r="K19" s="20"/>
      <c r="L19" s="21" t="str">
        <f t="shared" si="5"/>
        <v/>
      </c>
      <c r="M19" s="20"/>
      <c r="N19" s="23"/>
      <c r="O19" s="21" t="str">
        <f t="shared" si="6"/>
        <v/>
      </c>
      <c r="P19" s="20"/>
      <c r="Q19" s="22"/>
      <c r="R19" s="21" t="str">
        <f t="shared" si="7"/>
        <v/>
      </c>
      <c r="S19" s="24"/>
      <c r="T19" s="21" t="str">
        <f t="shared" si="8"/>
        <v/>
      </c>
      <c r="U19" s="25" t="str">
        <f t="shared" si="9"/>
        <v/>
      </c>
    </row>
    <row r="20" spans="1:21" x14ac:dyDescent="0.25">
      <c r="A20" s="19">
        <v>5</v>
      </c>
      <c r="B20" s="20"/>
      <c r="C20" s="21" t="str">
        <f t="shared" si="0"/>
        <v/>
      </c>
      <c r="D20" s="22"/>
      <c r="E20" s="21" t="str">
        <f t="shared" si="1"/>
        <v/>
      </c>
      <c r="F20" s="20"/>
      <c r="G20" s="21" t="str">
        <f t="shared" si="2"/>
        <v/>
      </c>
      <c r="H20" s="20"/>
      <c r="I20" s="21" t="str">
        <f t="shared" si="3"/>
        <v/>
      </c>
      <c r="J20" s="21" t="str">
        <f t="shared" si="4"/>
        <v/>
      </c>
      <c r="K20" s="20"/>
      <c r="L20" s="21" t="str">
        <f t="shared" si="5"/>
        <v/>
      </c>
      <c r="M20" s="20"/>
      <c r="N20" s="23"/>
      <c r="O20" s="21" t="str">
        <f t="shared" si="6"/>
        <v/>
      </c>
      <c r="P20" s="20"/>
      <c r="Q20" s="22"/>
      <c r="R20" s="21" t="str">
        <f t="shared" si="7"/>
        <v/>
      </c>
      <c r="S20" s="24"/>
      <c r="T20" s="21" t="str">
        <f t="shared" si="8"/>
        <v/>
      </c>
      <c r="U20" s="25" t="str">
        <f t="shared" si="9"/>
        <v/>
      </c>
    </row>
    <row r="21" spans="1:21" x14ac:dyDescent="0.25">
      <c r="A21" s="19">
        <v>6</v>
      </c>
      <c r="B21" s="20"/>
      <c r="C21" s="21" t="str">
        <f t="shared" si="0"/>
        <v/>
      </c>
      <c r="D21" s="22"/>
      <c r="E21" s="21" t="str">
        <f t="shared" si="1"/>
        <v/>
      </c>
      <c r="F21" s="20"/>
      <c r="G21" s="21" t="str">
        <f t="shared" si="2"/>
        <v/>
      </c>
      <c r="H21" s="20"/>
      <c r="I21" s="21" t="str">
        <f t="shared" si="3"/>
        <v/>
      </c>
      <c r="J21" s="21" t="str">
        <f t="shared" si="4"/>
        <v/>
      </c>
      <c r="K21" s="20"/>
      <c r="L21" s="21" t="str">
        <f t="shared" si="5"/>
        <v/>
      </c>
      <c r="M21" s="20"/>
      <c r="N21" s="23"/>
      <c r="O21" s="21" t="str">
        <f t="shared" si="6"/>
        <v/>
      </c>
      <c r="P21" s="20"/>
      <c r="Q21" s="22"/>
      <c r="R21" s="21" t="str">
        <f t="shared" si="7"/>
        <v/>
      </c>
      <c r="S21" s="24"/>
      <c r="T21" s="21" t="str">
        <f t="shared" si="8"/>
        <v/>
      </c>
      <c r="U21" s="25" t="str">
        <f t="shared" si="9"/>
        <v/>
      </c>
    </row>
    <row r="22" spans="1:21" x14ac:dyDescent="0.25">
      <c r="A22" s="19">
        <v>7</v>
      </c>
      <c r="B22" s="20"/>
      <c r="C22" s="21" t="str">
        <f t="shared" si="0"/>
        <v/>
      </c>
      <c r="D22" s="22"/>
      <c r="E22" s="21" t="str">
        <f t="shared" si="1"/>
        <v/>
      </c>
      <c r="F22" s="20"/>
      <c r="G22" s="21" t="str">
        <f t="shared" si="2"/>
        <v/>
      </c>
      <c r="H22" s="20"/>
      <c r="I22" s="21" t="str">
        <f t="shared" si="3"/>
        <v/>
      </c>
      <c r="J22" s="21" t="str">
        <f t="shared" si="4"/>
        <v/>
      </c>
      <c r="K22" s="20"/>
      <c r="L22" s="21" t="str">
        <f t="shared" si="5"/>
        <v/>
      </c>
      <c r="M22" s="20"/>
      <c r="N22" s="23"/>
      <c r="O22" s="21" t="str">
        <f t="shared" si="6"/>
        <v/>
      </c>
      <c r="P22" s="20"/>
      <c r="Q22" s="22"/>
      <c r="R22" s="21" t="str">
        <f t="shared" si="7"/>
        <v/>
      </c>
      <c r="S22" s="24"/>
      <c r="T22" s="21" t="str">
        <f t="shared" si="8"/>
        <v/>
      </c>
      <c r="U22" s="25" t="str">
        <f t="shared" si="9"/>
        <v/>
      </c>
    </row>
    <row r="23" spans="1:21" x14ac:dyDescent="0.25">
      <c r="A23" s="19">
        <v>8</v>
      </c>
      <c r="B23" s="20"/>
      <c r="C23" s="21" t="str">
        <f t="shared" si="0"/>
        <v/>
      </c>
      <c r="D23" s="22"/>
      <c r="E23" s="21" t="str">
        <f t="shared" si="1"/>
        <v/>
      </c>
      <c r="F23" s="20"/>
      <c r="G23" s="21" t="str">
        <f t="shared" si="2"/>
        <v/>
      </c>
      <c r="H23" s="20"/>
      <c r="I23" s="21" t="str">
        <f t="shared" si="3"/>
        <v/>
      </c>
      <c r="J23" s="21" t="str">
        <f t="shared" si="4"/>
        <v/>
      </c>
      <c r="K23" s="20"/>
      <c r="L23" s="21" t="str">
        <f t="shared" si="5"/>
        <v/>
      </c>
      <c r="M23" s="20"/>
      <c r="N23" s="23"/>
      <c r="O23" s="21" t="str">
        <f t="shared" si="6"/>
        <v/>
      </c>
      <c r="P23" s="20"/>
      <c r="Q23" s="22"/>
      <c r="R23" s="21" t="str">
        <f t="shared" si="7"/>
        <v/>
      </c>
      <c r="S23" s="24"/>
      <c r="T23" s="21" t="str">
        <f t="shared" si="8"/>
        <v/>
      </c>
      <c r="U23" s="25" t="str">
        <f t="shared" si="9"/>
        <v/>
      </c>
    </row>
    <row r="24" spans="1:21" x14ac:dyDescent="0.25">
      <c r="A24" s="19">
        <v>9</v>
      </c>
      <c r="B24" s="20"/>
      <c r="C24" s="21" t="str">
        <f t="shared" si="0"/>
        <v/>
      </c>
      <c r="D24" s="22"/>
      <c r="E24" s="21" t="str">
        <f t="shared" si="1"/>
        <v/>
      </c>
      <c r="F24" s="20"/>
      <c r="G24" s="21" t="str">
        <f t="shared" si="2"/>
        <v/>
      </c>
      <c r="H24" s="20"/>
      <c r="I24" s="21" t="str">
        <f t="shared" si="3"/>
        <v/>
      </c>
      <c r="J24" s="21" t="str">
        <f t="shared" si="4"/>
        <v/>
      </c>
      <c r="K24" s="20"/>
      <c r="L24" s="21" t="str">
        <f t="shared" si="5"/>
        <v/>
      </c>
      <c r="M24" s="20"/>
      <c r="N24" s="23"/>
      <c r="O24" s="21" t="str">
        <f t="shared" si="6"/>
        <v/>
      </c>
      <c r="P24" s="20"/>
      <c r="Q24" s="22"/>
      <c r="R24" s="21" t="str">
        <f t="shared" si="7"/>
        <v/>
      </c>
      <c r="S24" s="24"/>
      <c r="T24" s="21" t="str">
        <f t="shared" si="8"/>
        <v/>
      </c>
      <c r="U24" s="25" t="str">
        <f t="shared" si="9"/>
        <v/>
      </c>
    </row>
    <row r="25" spans="1:21" x14ac:dyDescent="0.25">
      <c r="A25" s="19">
        <v>10</v>
      </c>
      <c r="B25" s="20"/>
      <c r="C25" s="21" t="str">
        <f t="shared" si="0"/>
        <v/>
      </c>
      <c r="D25" s="22"/>
      <c r="E25" s="21" t="str">
        <f t="shared" si="1"/>
        <v/>
      </c>
      <c r="F25" s="20"/>
      <c r="G25" s="21" t="str">
        <f t="shared" si="2"/>
        <v/>
      </c>
      <c r="H25" s="20"/>
      <c r="I25" s="21" t="str">
        <f t="shared" si="3"/>
        <v/>
      </c>
      <c r="J25" s="21" t="str">
        <f t="shared" si="4"/>
        <v/>
      </c>
      <c r="K25" s="20"/>
      <c r="L25" s="21" t="str">
        <f t="shared" si="5"/>
        <v/>
      </c>
      <c r="M25" s="20"/>
      <c r="N25" s="23"/>
      <c r="O25" s="21" t="str">
        <f t="shared" si="6"/>
        <v/>
      </c>
      <c r="P25" s="20"/>
      <c r="Q25" s="22"/>
      <c r="R25" s="21" t="str">
        <f t="shared" si="7"/>
        <v/>
      </c>
      <c r="S25" s="24"/>
      <c r="T25" s="21" t="str">
        <f t="shared" si="8"/>
        <v/>
      </c>
      <c r="U25" s="25" t="str">
        <f t="shared" si="9"/>
        <v/>
      </c>
    </row>
    <row r="26" spans="1:21" x14ac:dyDescent="0.25">
      <c r="A26" s="19">
        <v>11</v>
      </c>
      <c r="B26" s="20"/>
      <c r="C26" s="21" t="str">
        <f t="shared" si="0"/>
        <v/>
      </c>
      <c r="D26" s="22"/>
      <c r="E26" s="21" t="str">
        <f t="shared" si="1"/>
        <v/>
      </c>
      <c r="F26" s="20"/>
      <c r="G26" s="21" t="str">
        <f t="shared" si="2"/>
        <v/>
      </c>
      <c r="H26" s="20"/>
      <c r="I26" s="21" t="str">
        <f t="shared" si="3"/>
        <v/>
      </c>
      <c r="J26" s="21" t="str">
        <f t="shared" si="4"/>
        <v/>
      </c>
      <c r="K26" s="20"/>
      <c r="L26" s="21" t="str">
        <f t="shared" si="5"/>
        <v/>
      </c>
      <c r="M26" s="20"/>
      <c r="N26" s="23"/>
      <c r="O26" s="21" t="str">
        <f t="shared" si="6"/>
        <v/>
      </c>
      <c r="P26" s="20"/>
      <c r="Q26" s="22"/>
      <c r="R26" s="21" t="str">
        <f t="shared" si="7"/>
        <v/>
      </c>
      <c r="S26" s="24"/>
      <c r="T26" s="21" t="str">
        <f t="shared" si="8"/>
        <v/>
      </c>
      <c r="U26" s="25" t="str">
        <f t="shared" si="9"/>
        <v/>
      </c>
    </row>
    <row r="27" spans="1:21" x14ac:dyDescent="0.25">
      <c r="A27" s="19">
        <v>12</v>
      </c>
      <c r="B27" s="20"/>
      <c r="C27" s="21" t="str">
        <f t="shared" si="0"/>
        <v/>
      </c>
      <c r="D27" s="22"/>
      <c r="E27" s="21" t="str">
        <f t="shared" si="1"/>
        <v/>
      </c>
      <c r="F27" s="20"/>
      <c r="G27" s="21" t="str">
        <f t="shared" si="2"/>
        <v/>
      </c>
      <c r="H27" s="20"/>
      <c r="I27" s="21" t="str">
        <f t="shared" si="3"/>
        <v/>
      </c>
      <c r="J27" s="21" t="str">
        <f t="shared" si="4"/>
        <v/>
      </c>
      <c r="K27" s="20"/>
      <c r="L27" s="21" t="str">
        <f t="shared" si="5"/>
        <v/>
      </c>
      <c r="M27" s="20"/>
      <c r="N27" s="23"/>
      <c r="O27" s="21" t="str">
        <f t="shared" si="6"/>
        <v/>
      </c>
      <c r="P27" s="20"/>
      <c r="Q27" s="22"/>
      <c r="R27" s="21" t="str">
        <f t="shared" si="7"/>
        <v/>
      </c>
      <c r="S27" s="24"/>
      <c r="T27" s="21" t="str">
        <f t="shared" si="8"/>
        <v/>
      </c>
      <c r="U27" s="25" t="str">
        <f t="shared" si="9"/>
        <v/>
      </c>
    </row>
    <row r="28" spans="1:21" x14ac:dyDescent="0.25">
      <c r="A28" s="19">
        <v>13</v>
      </c>
      <c r="B28" s="20"/>
      <c r="C28" s="21" t="str">
        <f t="shared" si="0"/>
        <v/>
      </c>
      <c r="D28" s="22"/>
      <c r="E28" s="21" t="str">
        <f t="shared" si="1"/>
        <v/>
      </c>
      <c r="F28" s="20"/>
      <c r="G28" s="21" t="str">
        <f t="shared" si="2"/>
        <v/>
      </c>
      <c r="H28" s="20"/>
      <c r="I28" s="21" t="str">
        <f t="shared" si="3"/>
        <v/>
      </c>
      <c r="J28" s="21" t="str">
        <f t="shared" si="4"/>
        <v/>
      </c>
      <c r="K28" s="20"/>
      <c r="L28" s="21" t="str">
        <f t="shared" si="5"/>
        <v/>
      </c>
      <c r="M28" s="20"/>
      <c r="N28" s="23"/>
      <c r="O28" s="21" t="str">
        <f t="shared" si="6"/>
        <v/>
      </c>
      <c r="P28" s="20"/>
      <c r="Q28" s="22"/>
      <c r="R28" s="21" t="str">
        <f t="shared" si="7"/>
        <v/>
      </c>
      <c r="S28" s="24"/>
      <c r="T28" s="21" t="str">
        <f t="shared" si="8"/>
        <v/>
      </c>
      <c r="U28" s="25" t="str">
        <f t="shared" si="9"/>
        <v/>
      </c>
    </row>
    <row r="29" spans="1:21" x14ac:dyDescent="0.25">
      <c r="A29" s="19">
        <v>14</v>
      </c>
      <c r="B29" s="20"/>
      <c r="C29" s="21" t="str">
        <f t="shared" si="0"/>
        <v/>
      </c>
      <c r="D29" s="22"/>
      <c r="E29" s="21" t="str">
        <f t="shared" si="1"/>
        <v/>
      </c>
      <c r="F29" s="20"/>
      <c r="G29" s="21" t="str">
        <f t="shared" si="2"/>
        <v/>
      </c>
      <c r="H29" s="20"/>
      <c r="I29" s="21" t="str">
        <f t="shared" si="3"/>
        <v/>
      </c>
      <c r="J29" s="21" t="str">
        <f t="shared" si="4"/>
        <v/>
      </c>
      <c r="K29" s="20"/>
      <c r="L29" s="21" t="str">
        <f t="shared" si="5"/>
        <v/>
      </c>
      <c r="M29" s="20"/>
      <c r="N29" s="23"/>
      <c r="O29" s="21" t="str">
        <f t="shared" si="6"/>
        <v/>
      </c>
      <c r="P29" s="20"/>
      <c r="Q29" s="22"/>
      <c r="R29" s="21" t="str">
        <f t="shared" si="7"/>
        <v/>
      </c>
      <c r="S29" s="24"/>
      <c r="T29" s="21" t="str">
        <f t="shared" si="8"/>
        <v/>
      </c>
      <c r="U29" s="25" t="str">
        <f t="shared" si="9"/>
        <v/>
      </c>
    </row>
    <row r="30" spans="1:21" x14ac:dyDescent="0.25">
      <c r="A30" s="19">
        <v>15</v>
      </c>
      <c r="B30" s="20"/>
      <c r="C30" s="21" t="str">
        <f t="shared" si="0"/>
        <v/>
      </c>
      <c r="D30" s="22"/>
      <c r="E30" s="21" t="str">
        <f t="shared" si="1"/>
        <v/>
      </c>
      <c r="F30" s="20"/>
      <c r="G30" s="21" t="str">
        <f t="shared" si="2"/>
        <v/>
      </c>
      <c r="H30" s="20"/>
      <c r="I30" s="21" t="str">
        <f t="shared" si="3"/>
        <v/>
      </c>
      <c r="J30" s="21" t="str">
        <f t="shared" si="4"/>
        <v/>
      </c>
      <c r="K30" s="20"/>
      <c r="L30" s="21" t="str">
        <f t="shared" si="5"/>
        <v/>
      </c>
      <c r="M30" s="20"/>
      <c r="N30" s="23"/>
      <c r="O30" s="21" t="str">
        <f t="shared" si="6"/>
        <v/>
      </c>
      <c r="P30" s="20"/>
      <c r="Q30" s="22"/>
      <c r="R30" s="21" t="str">
        <f t="shared" si="7"/>
        <v/>
      </c>
      <c r="S30" s="24"/>
      <c r="T30" s="21" t="str">
        <f t="shared" si="8"/>
        <v/>
      </c>
      <c r="U30" s="25" t="str">
        <f t="shared" si="9"/>
        <v/>
      </c>
    </row>
    <row r="33" spans="1:21" ht="21.95" customHeight="1" x14ac:dyDescent="0.25">
      <c r="A33" s="38" t="s">
        <v>826</v>
      </c>
      <c r="B33" s="39"/>
      <c r="C33" s="39"/>
      <c r="D33" s="39"/>
      <c r="E33" s="39"/>
      <c r="F33" s="39"/>
      <c r="G33" s="39"/>
      <c r="H33" s="39"/>
      <c r="I33" s="39"/>
      <c r="J33" s="39"/>
      <c r="K33" s="39"/>
      <c r="L33" s="39"/>
      <c r="M33" s="39"/>
      <c r="N33" s="39"/>
      <c r="O33" s="39"/>
      <c r="P33" s="39"/>
      <c r="Q33" s="39"/>
      <c r="R33" s="39"/>
      <c r="S33" s="39"/>
      <c r="T33" s="39"/>
      <c r="U33" s="39"/>
    </row>
    <row r="34" spans="1:21" ht="15.95" customHeight="1" x14ac:dyDescent="0.25">
      <c r="A34" s="40" t="s">
        <v>778</v>
      </c>
      <c r="B34" s="31"/>
      <c r="C34" s="31"/>
      <c r="D34" s="31"/>
      <c r="E34" s="31"/>
      <c r="F34" s="31"/>
      <c r="G34" s="31"/>
      <c r="H34" s="31"/>
      <c r="I34" s="31"/>
      <c r="J34" s="31"/>
      <c r="K34" s="31"/>
      <c r="L34" s="31"/>
      <c r="M34" s="31"/>
      <c r="N34" s="31"/>
      <c r="O34" s="31"/>
      <c r="P34" s="31"/>
      <c r="Q34" s="31"/>
      <c r="R34" s="31"/>
      <c r="S34" s="31"/>
      <c r="T34" s="31"/>
      <c r="U34" s="31"/>
    </row>
    <row r="36" spans="1:21" ht="18" customHeight="1" x14ac:dyDescent="0.25">
      <c r="A36" s="36" t="s">
        <v>827</v>
      </c>
      <c r="B36" s="31"/>
      <c r="C36" s="31"/>
      <c r="D36" s="31"/>
      <c r="E36" s="31"/>
      <c r="F36" s="31"/>
      <c r="G36" s="31"/>
      <c r="H36" s="31"/>
      <c r="I36" s="31"/>
      <c r="J36" s="31"/>
      <c r="K36" s="31"/>
      <c r="L36" s="31"/>
      <c r="M36" s="31"/>
      <c r="N36" s="31"/>
      <c r="O36" s="31"/>
      <c r="P36" s="31"/>
      <c r="Q36" s="31"/>
      <c r="R36" s="31"/>
      <c r="S36" s="31"/>
      <c r="T36" s="31"/>
      <c r="U36" s="31"/>
    </row>
    <row r="37" spans="1:21" ht="21" customHeight="1" x14ac:dyDescent="0.25">
      <c r="A37" s="37" t="s">
        <v>828</v>
      </c>
      <c r="B37" s="31"/>
      <c r="C37" s="31"/>
      <c r="D37" s="31"/>
      <c r="E37" s="31"/>
      <c r="F37" s="31"/>
      <c r="G37" s="31"/>
      <c r="H37" s="31"/>
      <c r="I37" s="31"/>
      <c r="J37" s="31"/>
      <c r="K37" s="31"/>
      <c r="L37" s="31"/>
      <c r="M37" s="31"/>
      <c r="N37" s="31"/>
      <c r="O37" s="31"/>
      <c r="P37" s="31"/>
      <c r="Q37" s="31"/>
      <c r="R37" s="31"/>
      <c r="S37" s="31"/>
      <c r="T37" s="31"/>
      <c r="U37" s="31"/>
    </row>
    <row r="38" spans="1:21" ht="6" customHeight="1" x14ac:dyDescent="0.25"/>
    <row r="39" spans="1:21" ht="18" customHeight="1" x14ac:dyDescent="0.25">
      <c r="A39" s="36" t="s">
        <v>829</v>
      </c>
      <c r="B39" s="31"/>
      <c r="C39" s="31"/>
      <c r="D39" s="31"/>
      <c r="E39" s="31"/>
      <c r="F39" s="31"/>
      <c r="G39" s="31"/>
      <c r="H39" s="31"/>
      <c r="I39" s="31"/>
      <c r="J39" s="31"/>
      <c r="K39" s="31"/>
      <c r="L39" s="31"/>
      <c r="M39" s="31"/>
      <c r="N39" s="31"/>
      <c r="O39" s="31"/>
      <c r="P39" s="31"/>
      <c r="Q39" s="31"/>
      <c r="R39" s="31"/>
      <c r="S39" s="31"/>
      <c r="T39" s="31"/>
      <c r="U39" s="31"/>
    </row>
    <row r="40" spans="1:21" ht="21" customHeight="1" x14ac:dyDescent="0.25">
      <c r="A40" s="37" t="s">
        <v>830</v>
      </c>
      <c r="B40" s="31"/>
      <c r="C40" s="31"/>
      <c r="D40" s="31"/>
      <c r="E40" s="31"/>
      <c r="F40" s="31"/>
      <c r="G40" s="31"/>
      <c r="H40" s="31"/>
      <c r="I40" s="31"/>
      <c r="J40" s="31"/>
      <c r="K40" s="31"/>
      <c r="L40" s="31"/>
      <c r="M40" s="31"/>
      <c r="N40" s="31"/>
      <c r="O40" s="31"/>
      <c r="P40" s="31"/>
      <c r="Q40" s="31"/>
      <c r="R40" s="31"/>
      <c r="S40" s="31"/>
      <c r="T40" s="31"/>
      <c r="U40" s="31"/>
    </row>
    <row r="41" spans="1:21" ht="6" customHeight="1" x14ac:dyDescent="0.25"/>
    <row r="42" spans="1:21" ht="18" customHeight="1" x14ac:dyDescent="0.25">
      <c r="A42" s="36" t="s">
        <v>728</v>
      </c>
      <c r="B42" s="31"/>
      <c r="C42" s="31"/>
      <c r="D42" s="31"/>
      <c r="E42" s="31"/>
      <c r="F42" s="31"/>
      <c r="G42" s="31"/>
      <c r="H42" s="31"/>
      <c r="I42" s="31"/>
      <c r="J42" s="31"/>
      <c r="K42" s="31"/>
      <c r="L42" s="31"/>
      <c r="M42" s="31"/>
      <c r="N42" s="31"/>
      <c r="O42" s="31"/>
      <c r="P42" s="31"/>
      <c r="Q42" s="31"/>
      <c r="R42" s="31"/>
      <c r="S42" s="31"/>
      <c r="T42" s="31"/>
      <c r="U42" s="31"/>
    </row>
    <row r="43" spans="1:21" ht="51" customHeight="1" x14ac:dyDescent="0.25">
      <c r="A43" s="37" t="s">
        <v>729</v>
      </c>
      <c r="B43" s="31"/>
      <c r="C43" s="31"/>
      <c r="D43" s="31"/>
      <c r="E43" s="31"/>
      <c r="F43" s="31"/>
      <c r="G43" s="31"/>
      <c r="H43" s="31"/>
      <c r="I43" s="31"/>
      <c r="J43" s="31"/>
      <c r="K43" s="31"/>
      <c r="L43" s="31"/>
      <c r="M43" s="31"/>
      <c r="N43" s="31"/>
      <c r="O43" s="31"/>
      <c r="P43" s="31"/>
      <c r="Q43" s="31"/>
      <c r="R43" s="31"/>
      <c r="S43" s="31"/>
      <c r="T43" s="31"/>
      <c r="U43" s="31"/>
    </row>
    <row r="44" spans="1:21" ht="6" customHeight="1" x14ac:dyDescent="0.25"/>
    <row r="47" spans="1:21" ht="21.95" customHeight="1" x14ac:dyDescent="0.25">
      <c r="A47" s="38" t="s">
        <v>730</v>
      </c>
      <c r="B47" s="39"/>
      <c r="C47" s="39"/>
      <c r="D47" s="39"/>
      <c r="E47" s="39"/>
      <c r="F47" s="39"/>
      <c r="G47" s="39"/>
      <c r="H47" s="39"/>
      <c r="I47" s="39"/>
      <c r="J47" s="39"/>
      <c r="K47" s="39"/>
      <c r="L47" s="39"/>
      <c r="M47" s="39"/>
      <c r="N47" s="39"/>
      <c r="O47" s="39"/>
      <c r="P47" s="39"/>
      <c r="Q47" s="39"/>
      <c r="R47" s="39"/>
      <c r="S47" s="39"/>
      <c r="T47" s="39"/>
      <c r="U47" s="39"/>
    </row>
    <row r="49" spans="1:21" ht="18" customHeight="1" x14ac:dyDescent="0.25">
      <c r="A49" s="36" t="s">
        <v>70</v>
      </c>
      <c r="B49" s="31"/>
      <c r="C49" s="31"/>
      <c r="D49" s="31"/>
      <c r="E49" s="31"/>
      <c r="F49" s="31"/>
      <c r="G49" s="31"/>
      <c r="H49" s="31"/>
      <c r="I49" s="31"/>
      <c r="J49" s="31"/>
      <c r="K49" s="31"/>
      <c r="L49" s="31"/>
      <c r="M49" s="31"/>
      <c r="N49" s="31"/>
      <c r="O49" s="31"/>
      <c r="P49" s="31"/>
      <c r="Q49" s="31"/>
      <c r="R49" s="31"/>
      <c r="S49" s="31"/>
      <c r="T49" s="31"/>
      <c r="U49" s="31"/>
    </row>
    <row r="50" spans="1:21" ht="21" customHeight="1" x14ac:dyDescent="0.25">
      <c r="A50" s="37" t="s">
        <v>731</v>
      </c>
      <c r="B50" s="31"/>
      <c r="C50" s="31"/>
      <c r="D50" s="31"/>
      <c r="E50" s="31"/>
      <c r="F50" s="31"/>
      <c r="G50" s="31"/>
      <c r="H50" s="31"/>
      <c r="I50" s="31"/>
      <c r="J50" s="31"/>
      <c r="K50" s="31"/>
      <c r="L50" s="31"/>
      <c r="M50" s="31"/>
      <c r="N50" s="31"/>
      <c r="O50" s="31"/>
      <c r="P50" s="31"/>
      <c r="Q50" s="31"/>
      <c r="R50" s="31"/>
      <c r="S50" s="31"/>
      <c r="T50" s="31"/>
      <c r="U50" s="31"/>
    </row>
    <row r="51" spans="1:21" ht="6" customHeight="1" x14ac:dyDescent="0.25"/>
    <row r="52" spans="1:21" ht="18" customHeight="1" x14ac:dyDescent="0.25">
      <c r="A52" s="36" t="s">
        <v>84</v>
      </c>
      <c r="B52" s="31"/>
      <c r="C52" s="31"/>
      <c r="D52" s="31"/>
      <c r="E52" s="31"/>
      <c r="F52" s="31"/>
      <c r="G52" s="31"/>
      <c r="H52" s="31"/>
      <c r="I52" s="31"/>
      <c r="J52" s="31"/>
      <c r="K52" s="31"/>
      <c r="L52" s="31"/>
      <c r="M52" s="31"/>
      <c r="N52" s="31"/>
      <c r="O52" s="31"/>
      <c r="P52" s="31"/>
      <c r="Q52" s="31"/>
      <c r="R52" s="31"/>
      <c r="S52" s="31"/>
      <c r="T52" s="31"/>
      <c r="U52" s="31"/>
    </row>
    <row r="53" spans="1:21" ht="36" customHeight="1" x14ac:dyDescent="0.25">
      <c r="A53" s="37" t="s">
        <v>732</v>
      </c>
      <c r="B53" s="31"/>
      <c r="C53" s="31"/>
      <c r="D53" s="31"/>
      <c r="E53" s="31"/>
      <c r="F53" s="31"/>
      <c r="G53" s="31"/>
      <c r="H53" s="31"/>
      <c r="I53" s="31"/>
      <c r="J53" s="31"/>
      <c r="K53" s="31"/>
      <c r="L53" s="31"/>
      <c r="M53" s="31"/>
      <c r="N53" s="31"/>
      <c r="O53" s="31"/>
      <c r="P53" s="31"/>
      <c r="Q53" s="31"/>
      <c r="R53" s="31"/>
      <c r="S53" s="31"/>
      <c r="T53" s="31"/>
      <c r="U53" s="31"/>
    </row>
    <row r="54" spans="1:21" ht="6" customHeight="1" x14ac:dyDescent="0.25"/>
    <row r="55" spans="1:21" ht="18" customHeight="1" x14ac:dyDescent="0.25">
      <c r="A55" s="36" t="s">
        <v>684</v>
      </c>
      <c r="B55" s="31"/>
      <c r="C55" s="31"/>
      <c r="D55" s="31"/>
      <c r="E55" s="31"/>
      <c r="F55" s="31"/>
      <c r="G55" s="31"/>
      <c r="H55" s="31"/>
      <c r="I55" s="31"/>
      <c r="J55" s="31"/>
      <c r="K55" s="31"/>
      <c r="L55" s="31"/>
      <c r="M55" s="31"/>
      <c r="N55" s="31"/>
      <c r="O55" s="31"/>
      <c r="P55" s="31"/>
      <c r="Q55" s="31"/>
      <c r="R55" s="31"/>
      <c r="S55" s="31"/>
      <c r="T55" s="31"/>
      <c r="U55" s="31"/>
    </row>
    <row r="56" spans="1:21" ht="21" customHeight="1" x14ac:dyDescent="0.25">
      <c r="A56" s="37" t="s">
        <v>733</v>
      </c>
      <c r="B56" s="31"/>
      <c r="C56" s="31"/>
      <c r="D56" s="31"/>
      <c r="E56" s="31"/>
      <c r="F56" s="31"/>
      <c r="G56" s="31"/>
      <c r="H56" s="31"/>
      <c r="I56" s="31"/>
      <c r="J56" s="31"/>
      <c r="K56" s="31"/>
      <c r="L56" s="31"/>
      <c r="M56" s="31"/>
      <c r="N56" s="31"/>
      <c r="O56" s="31"/>
      <c r="P56" s="31"/>
      <c r="Q56" s="31"/>
      <c r="R56" s="31"/>
      <c r="S56" s="31"/>
      <c r="T56" s="31"/>
      <c r="U56" s="31"/>
    </row>
    <row r="57" spans="1:21" ht="6" customHeight="1" x14ac:dyDescent="0.25"/>
    <row r="58" spans="1:21" ht="18" customHeight="1" x14ac:dyDescent="0.25">
      <c r="A58" s="36" t="s">
        <v>686</v>
      </c>
      <c r="B58" s="31"/>
      <c r="C58" s="31"/>
      <c r="D58" s="31"/>
      <c r="E58" s="31"/>
      <c r="F58" s="31"/>
      <c r="G58" s="31"/>
      <c r="H58" s="31"/>
      <c r="I58" s="31"/>
      <c r="J58" s="31"/>
      <c r="K58" s="31"/>
      <c r="L58" s="31"/>
      <c r="M58" s="31"/>
      <c r="N58" s="31"/>
      <c r="O58" s="31"/>
      <c r="P58" s="31"/>
      <c r="Q58" s="31"/>
      <c r="R58" s="31"/>
      <c r="S58" s="31"/>
      <c r="T58" s="31"/>
      <c r="U58" s="31"/>
    </row>
    <row r="59" spans="1:21" ht="21" customHeight="1" x14ac:dyDescent="0.25">
      <c r="A59" s="37" t="s">
        <v>831</v>
      </c>
      <c r="B59" s="31"/>
      <c r="C59" s="31"/>
      <c r="D59" s="31"/>
      <c r="E59" s="31"/>
      <c r="F59" s="31"/>
      <c r="G59" s="31"/>
      <c r="H59" s="31"/>
      <c r="I59" s="31"/>
      <c r="J59" s="31"/>
      <c r="K59" s="31"/>
      <c r="L59" s="31"/>
      <c r="M59" s="31"/>
      <c r="N59" s="31"/>
      <c r="O59" s="31"/>
      <c r="P59" s="31"/>
      <c r="Q59" s="31"/>
      <c r="R59" s="31"/>
      <c r="S59" s="31"/>
      <c r="T59" s="31"/>
      <c r="U59" s="31"/>
    </row>
    <row r="60" spans="1:21" ht="6" customHeight="1" x14ac:dyDescent="0.25"/>
    <row r="61" spans="1:21" ht="18" customHeight="1" x14ac:dyDescent="0.25">
      <c r="A61" s="36" t="s">
        <v>689</v>
      </c>
      <c r="B61" s="31"/>
      <c r="C61" s="31"/>
      <c r="D61" s="31"/>
      <c r="E61" s="31"/>
      <c r="F61" s="31"/>
      <c r="G61" s="31"/>
      <c r="H61" s="31"/>
      <c r="I61" s="31"/>
      <c r="J61" s="31"/>
      <c r="K61" s="31"/>
      <c r="L61" s="31"/>
      <c r="M61" s="31"/>
      <c r="N61" s="31"/>
      <c r="O61" s="31"/>
      <c r="P61" s="31"/>
      <c r="Q61" s="31"/>
      <c r="R61" s="31"/>
      <c r="S61" s="31"/>
      <c r="T61" s="31"/>
      <c r="U61" s="31"/>
    </row>
    <row r="62" spans="1:21" ht="21" customHeight="1" x14ac:dyDescent="0.25">
      <c r="A62" s="37" t="s">
        <v>832</v>
      </c>
      <c r="B62" s="31"/>
      <c r="C62" s="31"/>
      <c r="D62" s="31"/>
      <c r="E62" s="31"/>
      <c r="F62" s="31"/>
      <c r="G62" s="31"/>
      <c r="H62" s="31"/>
      <c r="I62" s="31"/>
      <c r="J62" s="31"/>
      <c r="K62" s="31"/>
      <c r="L62" s="31"/>
      <c r="M62" s="31"/>
      <c r="N62" s="31"/>
      <c r="O62" s="31"/>
      <c r="P62" s="31"/>
      <c r="Q62" s="31"/>
      <c r="R62" s="31"/>
      <c r="S62" s="31"/>
      <c r="T62" s="31"/>
      <c r="U62" s="31"/>
    </row>
    <row r="63" spans="1:21" ht="6" customHeight="1" x14ac:dyDescent="0.25"/>
    <row r="64" spans="1:21" ht="18" customHeight="1" x14ac:dyDescent="0.25">
      <c r="A64" s="36" t="s">
        <v>692</v>
      </c>
      <c r="B64" s="31"/>
      <c r="C64" s="31"/>
      <c r="D64" s="31"/>
      <c r="E64" s="31"/>
      <c r="F64" s="31"/>
      <c r="G64" s="31"/>
      <c r="H64" s="31"/>
      <c r="I64" s="31"/>
      <c r="J64" s="31"/>
      <c r="K64" s="31"/>
      <c r="L64" s="31"/>
      <c r="M64" s="31"/>
      <c r="N64" s="31"/>
      <c r="O64" s="31"/>
      <c r="P64" s="31"/>
      <c r="Q64" s="31"/>
      <c r="R64" s="31"/>
      <c r="S64" s="31"/>
      <c r="T64" s="31"/>
      <c r="U64" s="31"/>
    </row>
    <row r="65" spans="1:21" ht="21" customHeight="1" x14ac:dyDescent="0.25">
      <c r="A65" s="37" t="s">
        <v>737</v>
      </c>
      <c r="B65" s="31"/>
      <c r="C65" s="31"/>
      <c r="D65" s="31"/>
      <c r="E65" s="31"/>
      <c r="F65" s="31"/>
      <c r="G65" s="31"/>
      <c r="H65" s="31"/>
      <c r="I65" s="31"/>
      <c r="J65" s="31"/>
      <c r="K65" s="31"/>
      <c r="L65" s="31"/>
      <c r="M65" s="31"/>
      <c r="N65" s="31"/>
      <c r="O65" s="31"/>
      <c r="P65" s="31"/>
      <c r="Q65" s="31"/>
      <c r="R65" s="31"/>
      <c r="S65" s="31"/>
      <c r="T65" s="31"/>
      <c r="U65" s="31"/>
    </row>
    <row r="66" spans="1:21" ht="6" customHeight="1" x14ac:dyDescent="0.25"/>
    <row r="67" spans="1:21" ht="18" customHeight="1" x14ac:dyDescent="0.25">
      <c r="A67" s="36" t="s">
        <v>693</v>
      </c>
      <c r="B67" s="31"/>
      <c r="C67" s="31"/>
      <c r="D67" s="31"/>
      <c r="E67" s="31"/>
      <c r="F67" s="31"/>
      <c r="G67" s="31"/>
      <c r="H67" s="31"/>
      <c r="I67" s="31"/>
      <c r="J67" s="31"/>
      <c r="K67" s="31"/>
      <c r="L67" s="31"/>
      <c r="M67" s="31"/>
      <c r="N67" s="31"/>
      <c r="O67" s="31"/>
      <c r="P67" s="31"/>
      <c r="Q67" s="31"/>
      <c r="R67" s="31"/>
      <c r="S67" s="31"/>
      <c r="T67" s="31"/>
      <c r="U67" s="31"/>
    </row>
    <row r="68" spans="1:21" ht="21" customHeight="1" x14ac:dyDescent="0.25">
      <c r="A68" s="37" t="s">
        <v>738</v>
      </c>
      <c r="B68" s="31"/>
      <c r="C68" s="31"/>
      <c r="D68" s="31"/>
      <c r="E68" s="31"/>
      <c r="F68" s="31"/>
      <c r="G68" s="31"/>
      <c r="H68" s="31"/>
      <c r="I68" s="31"/>
      <c r="J68" s="31"/>
      <c r="K68" s="31"/>
      <c r="L68" s="31"/>
      <c r="M68" s="31"/>
      <c r="N68" s="31"/>
      <c r="O68" s="31"/>
      <c r="P68" s="31"/>
      <c r="Q68" s="31"/>
      <c r="R68" s="31"/>
      <c r="S68" s="31"/>
      <c r="T68" s="31"/>
      <c r="U68" s="31"/>
    </row>
    <row r="69" spans="1:21" ht="6" customHeight="1" x14ac:dyDescent="0.25"/>
    <row r="70" spans="1:21" ht="18" customHeight="1" x14ac:dyDescent="0.25">
      <c r="A70" s="36" t="s">
        <v>695</v>
      </c>
      <c r="B70" s="31"/>
      <c r="C70" s="31"/>
      <c r="D70" s="31"/>
      <c r="E70" s="31"/>
      <c r="F70" s="31"/>
      <c r="G70" s="31"/>
      <c r="H70" s="31"/>
      <c r="I70" s="31"/>
      <c r="J70" s="31"/>
      <c r="K70" s="31"/>
      <c r="L70" s="31"/>
      <c r="M70" s="31"/>
      <c r="N70" s="31"/>
      <c r="O70" s="31"/>
      <c r="P70" s="31"/>
      <c r="Q70" s="31"/>
      <c r="R70" s="31"/>
      <c r="S70" s="31"/>
      <c r="T70" s="31"/>
      <c r="U70" s="31"/>
    </row>
    <row r="71" spans="1:21" ht="21" customHeight="1" x14ac:dyDescent="0.25">
      <c r="A71" s="37" t="s">
        <v>739</v>
      </c>
      <c r="B71" s="31"/>
      <c r="C71" s="31"/>
      <c r="D71" s="31"/>
      <c r="E71" s="31"/>
      <c r="F71" s="31"/>
      <c r="G71" s="31"/>
      <c r="H71" s="31"/>
      <c r="I71" s="31"/>
      <c r="J71" s="31"/>
      <c r="K71" s="31"/>
      <c r="L71" s="31"/>
      <c r="M71" s="31"/>
      <c r="N71" s="31"/>
      <c r="O71" s="31"/>
      <c r="P71" s="31"/>
      <c r="Q71" s="31"/>
      <c r="R71" s="31"/>
      <c r="S71" s="31"/>
      <c r="T71" s="31"/>
      <c r="U71" s="31"/>
    </row>
    <row r="72" spans="1:21" ht="6" customHeight="1" x14ac:dyDescent="0.25"/>
    <row r="73" spans="1:21" ht="18" customHeight="1" x14ac:dyDescent="0.25">
      <c r="A73" s="36" t="s">
        <v>823</v>
      </c>
      <c r="B73" s="31"/>
      <c r="C73" s="31"/>
      <c r="D73" s="31"/>
      <c r="E73" s="31"/>
      <c r="F73" s="31"/>
      <c r="G73" s="31"/>
      <c r="H73" s="31"/>
      <c r="I73" s="31"/>
      <c r="J73" s="31"/>
      <c r="K73" s="31"/>
      <c r="L73" s="31"/>
      <c r="M73" s="31"/>
      <c r="N73" s="31"/>
      <c r="O73" s="31"/>
      <c r="P73" s="31"/>
      <c r="Q73" s="31"/>
      <c r="R73" s="31"/>
      <c r="S73" s="31"/>
      <c r="T73" s="31"/>
      <c r="U73" s="31"/>
    </row>
    <row r="74" spans="1:21" ht="21" customHeight="1" x14ac:dyDescent="0.25">
      <c r="A74" s="37" t="s">
        <v>833</v>
      </c>
      <c r="B74" s="31"/>
      <c r="C74" s="31"/>
      <c r="D74" s="31"/>
      <c r="E74" s="31"/>
      <c r="F74" s="31"/>
      <c r="G74" s="31"/>
      <c r="H74" s="31"/>
      <c r="I74" s="31"/>
      <c r="J74" s="31"/>
      <c r="K74" s="31"/>
      <c r="L74" s="31"/>
      <c r="M74" s="31"/>
      <c r="N74" s="31"/>
      <c r="O74" s="31"/>
      <c r="P74" s="31"/>
      <c r="Q74" s="31"/>
      <c r="R74" s="31"/>
      <c r="S74" s="31"/>
      <c r="T74" s="31"/>
      <c r="U74" s="31"/>
    </row>
    <row r="75" spans="1:21" ht="6" customHeight="1" x14ac:dyDescent="0.25"/>
    <row r="76" spans="1:21" ht="18" customHeight="1" x14ac:dyDescent="0.25">
      <c r="A76" s="36" t="s">
        <v>699</v>
      </c>
      <c r="B76" s="31"/>
      <c r="C76" s="31"/>
      <c r="D76" s="31"/>
      <c r="E76" s="31"/>
      <c r="F76" s="31"/>
      <c r="G76" s="31"/>
      <c r="H76" s="31"/>
      <c r="I76" s="31"/>
      <c r="J76" s="31"/>
      <c r="K76" s="31"/>
      <c r="L76" s="31"/>
      <c r="M76" s="31"/>
      <c r="N76" s="31"/>
      <c r="O76" s="31"/>
      <c r="P76" s="31"/>
      <c r="Q76" s="31"/>
      <c r="R76" s="31"/>
      <c r="S76" s="31"/>
      <c r="T76" s="31"/>
      <c r="U76" s="31"/>
    </row>
    <row r="77" spans="1:21" ht="21" customHeight="1" x14ac:dyDescent="0.25">
      <c r="A77" s="37" t="s">
        <v>743</v>
      </c>
      <c r="B77" s="31"/>
      <c r="C77" s="31"/>
      <c r="D77" s="31"/>
      <c r="E77" s="31"/>
      <c r="F77" s="31"/>
      <c r="G77" s="31"/>
      <c r="H77" s="31"/>
      <c r="I77" s="31"/>
      <c r="J77" s="31"/>
      <c r="K77" s="31"/>
      <c r="L77" s="31"/>
      <c r="M77" s="31"/>
      <c r="N77" s="31"/>
      <c r="O77" s="31"/>
      <c r="P77" s="31"/>
      <c r="Q77" s="31"/>
      <c r="R77" s="31"/>
      <c r="S77" s="31"/>
      <c r="T77" s="31"/>
      <c r="U77" s="31"/>
    </row>
    <row r="78" spans="1:21" ht="6" customHeight="1" x14ac:dyDescent="0.25"/>
    <row r="81" spans="1:21" x14ac:dyDescent="0.25">
      <c r="A81" s="40" t="s">
        <v>744</v>
      </c>
      <c r="B81" s="31"/>
      <c r="C81" s="31"/>
      <c r="D81" s="31"/>
      <c r="E81" s="31"/>
      <c r="F81" s="31"/>
      <c r="G81" s="31"/>
      <c r="H81" s="31"/>
      <c r="I81" s="31"/>
      <c r="J81" s="31"/>
      <c r="K81" s="31"/>
      <c r="L81" s="31"/>
      <c r="M81" s="31"/>
      <c r="N81" s="31"/>
      <c r="O81" s="31"/>
      <c r="P81" s="31"/>
      <c r="Q81" s="31"/>
      <c r="R81" s="31"/>
      <c r="S81" s="31"/>
      <c r="T81" s="31"/>
      <c r="U81" s="31"/>
    </row>
  </sheetData>
  <mergeCells count="30">
    <mergeCell ref="A81:U81"/>
    <mergeCell ref="A68:U68"/>
    <mergeCell ref="A58:U58"/>
    <mergeCell ref="A40:U40"/>
    <mergeCell ref="A67:U67"/>
    <mergeCell ref="A77:U77"/>
    <mergeCell ref="A64:U64"/>
    <mergeCell ref="A59:U59"/>
    <mergeCell ref="A73:U73"/>
    <mergeCell ref="A49:U49"/>
    <mergeCell ref="A70:U70"/>
    <mergeCell ref="A61:U61"/>
    <mergeCell ref="A76:U76"/>
    <mergeCell ref="A33:U33"/>
    <mergeCell ref="A71:U71"/>
    <mergeCell ref="A47:U47"/>
    <mergeCell ref="A42:U42"/>
    <mergeCell ref="A53:U53"/>
    <mergeCell ref="A62:U62"/>
    <mergeCell ref="A52:U52"/>
    <mergeCell ref="A43:U43"/>
    <mergeCell ref="A39:U39"/>
    <mergeCell ref="A34:U34"/>
    <mergeCell ref="A36:U36"/>
    <mergeCell ref="A65:U65"/>
    <mergeCell ref="A37:U37"/>
    <mergeCell ref="A74:U74"/>
    <mergeCell ref="A56:U56"/>
    <mergeCell ref="A55:U55"/>
    <mergeCell ref="A50:U50"/>
  </mergeCells>
  <dataValidations count="10">
    <dataValidation type="list" allowBlank="1" errorTitle="Valore non valido" error="Seleziona dalla lista." promptTitle="Author" prompt="Autore della codifica." sqref="B5:B30" xr:uid="{00000000-0002-0000-0900-000000000000}">
      <formula1>Author_Name</formula1>
    </dataValidation>
    <dataValidation type="list" allowBlank="1" errorTitle="Valore non valido" error="Seleziona dalla lista, oppure lascia vuoto." promptTitle="In Place" sqref="D5:D30" xr:uid="{00000000-0002-0000-0900-000001000000}">
      <formula1>InPl_Name</formula1>
    </dataValidation>
    <dataValidation type="list" allowBlank="1" errorTitle="Valore non valido" error="Seleziona dalla lista." promptTitle="Famiglia di sistema" prompt="Famiglia di sistema Revit." sqref="F5:F30" xr:uid="{00000000-0002-0000-0900-000002000000}">
      <formula1>RM_Cat_Name</formula1>
    </dataValidation>
    <dataValidation type="list" allowBlank="1" errorTitle="Valore non valido" error="Seleziona dalla lista." promptTitle="Group1" prompt="Sistema costruttivo della rampa inclinata." sqref="H5:H30" xr:uid="{00000000-0002-0000-0900-000003000000}">
      <formula1>RM_G1_Name</formula1>
    </dataValidation>
    <dataValidation type="list" allowBlank="1" errorTitle="Valore non valido" error="Seleziona dalla lista." promptTitle="Group2" prompt="Destinazione della rampa." sqref="K5:K30" xr:uid="{00000000-0002-0000-0900-000004000000}">
      <formula1>RM_G2_Name</formula1>
    </dataValidation>
    <dataValidation type="custom" allowBlank="1" errorTitle="Non valido" error="Inserisci un intero tra 0 e 99, oppure XX se i tipi non sono ancora definiti. Se Group1 è Other compila il Type Mark manuale." promptTitle="TM sequenza" prompt="Due cifre da 0 a 99. Distingue le varianti di stesso Group1 e stesso Group2. Tipo non ancora definito → XX. Non si compila con Group1 = OT." sqref="M5:M30" xr:uid="{00000000-0002-0000-0900-000005000000}">
      <formula1>AND($I5&lt;&gt;"OT",OR(UPPER($M5)="XX",AND(ISNUMBER($M5),$M5&gt;=0,$M5&lt;=99,$M5=INT($M5))))</formula1>
    </dataValidation>
    <dataValidation type="custom" allowBlank="1" errorTitle="Non ammesso qui" error="Si usa solo quando Group1 è Other." promptTitle="Type Mark manuale" prompt="Solo con Group1 = OT. Sostituisce tutto il Type Mark, prefisso di categoria compreso. Finiture → prefisso materiale + tre cifre: PT-001, WD-001, MT-001." sqref="N5:N30" xr:uid="{00000000-0002-0000-0900-000006000000}">
      <formula1>$I5="OT"</formula1>
    </dataValidation>
    <dataValidation type="decimal" operator="greaterThan" allowBlank="1" errorTitle="Non valido" error="Inserisci un valore maggiore di 0." promptTitle="Thickness mm" prompt="Spessore totale in mm." sqref="P5:P30" xr:uid="{00000000-0002-0000-0900-000007000000}">
      <formula1>0</formula1>
    </dataValidation>
    <dataValidation type="list" allowBlank="1" errorTitle="Valore non valido" error="Seleziona dalla lista." promptTitle="Shape" prompt="Parametro di tipo Shape. Thick ha uno spessore e si compila la colonna Spessore. Solid è piena fino a terra: il nome porta SL e la colonna Spessore resta vuota." sqref="Q5:Q30" xr:uid="{00000000-0002-0000-0900-000008000000}">
      <formula1>RMsh_Name</formula1>
    </dataValidation>
    <dataValidation type="textLength" operator="lessThanOrEqual" allowBlank="1" errorTitle="Troppo lunga" error="Massimo 40 caratteri." promptTitle="Description" prompt="Facoltativa. Solo se aggiunge un’informazione non già nei codici: destinazione, posizione, o ciò che distingue due tipi altrimenti identici. Senza spazi, iniziali maiuscole, massimo 40 caratteri, senza accenti." sqref="S5:S30" xr:uid="{00000000-0002-0000-0900-000009000000}">
      <formula1>40</formula1>
    </dataValidation>
  </dataValidations>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B99"/>
  <sheetViews>
    <sheetView showGridLines="0" workbookViewId="0">
      <pane ySplit="4" topLeftCell="A5" activePane="bottomLeft" state="frozen"/>
      <selection pane="bottomLeft"/>
    </sheetView>
  </sheetViews>
  <sheetFormatPr defaultRowHeight="15" x14ac:dyDescent="0.25"/>
  <cols>
    <col min="1" max="1" width="3" customWidth="1"/>
    <col min="2" max="2" width="15" customWidth="1"/>
    <col min="3" max="3" width="5" customWidth="1"/>
    <col min="4" max="4" width="10" customWidth="1"/>
    <col min="5" max="5" width="4" customWidth="1"/>
    <col min="6" max="6" width="17" customWidth="1"/>
    <col min="7" max="7" width="4" customWidth="1"/>
    <col min="8" max="8" width="15" customWidth="1"/>
    <col min="9" max="9" width="4" customWidth="1"/>
    <col min="10" max="10" width="6" customWidth="1"/>
    <col min="11" max="11" width="15" customWidth="1"/>
    <col min="12" max="12" width="4" customWidth="1"/>
    <col min="13" max="13" width="11" customWidth="1"/>
    <col min="14" max="14" width="5" customWidth="1"/>
    <col min="15" max="15" width="12" customWidth="1"/>
    <col min="16" max="16" width="19" customWidth="1"/>
    <col min="17" max="17" width="12" customWidth="1"/>
    <col min="18" max="18" width="10" customWidth="1"/>
    <col min="19" max="19" width="8" customWidth="1"/>
    <col min="20" max="21" width="11" customWidth="1"/>
    <col min="22" max="22" width="22" customWidth="1"/>
    <col min="23" max="23" width="12" customWidth="1"/>
    <col min="24" max="24" width="40" customWidth="1"/>
    <col min="25" max="26" width="26" hidden="1" customWidth="1"/>
    <col min="27" max="28" width="13" hidden="1" customWidth="1"/>
  </cols>
  <sheetData>
    <row r="1" spans="1:28" ht="19.5" x14ac:dyDescent="0.3">
      <c r="A1" s="6" t="s">
        <v>834</v>
      </c>
    </row>
    <row r="2" spans="1:28" x14ac:dyDescent="0.25">
      <c r="A2" s="7" t="s">
        <v>680</v>
      </c>
    </row>
    <row r="3" spans="1:28" x14ac:dyDescent="0.25">
      <c r="A3" s="8" t="s">
        <v>681</v>
      </c>
    </row>
    <row r="4" spans="1:28" ht="30" customHeight="1" x14ac:dyDescent="0.25">
      <c r="A4" s="9" t="s">
        <v>682</v>
      </c>
      <c r="B4" s="9" t="s">
        <v>70</v>
      </c>
      <c r="C4" s="9" t="s">
        <v>683</v>
      </c>
      <c r="D4" s="10" t="s">
        <v>84</v>
      </c>
      <c r="E4" s="9" t="s">
        <v>83</v>
      </c>
      <c r="F4" s="9" t="s">
        <v>684</v>
      </c>
      <c r="G4" s="9" t="s">
        <v>685</v>
      </c>
      <c r="H4" s="9" t="s">
        <v>686</v>
      </c>
      <c r="I4" s="9" t="s">
        <v>687</v>
      </c>
      <c r="J4" s="9" t="s">
        <v>688</v>
      </c>
      <c r="K4" s="9" t="s">
        <v>689</v>
      </c>
      <c r="L4" s="9" t="s">
        <v>690</v>
      </c>
      <c r="M4" s="9" t="s">
        <v>72</v>
      </c>
      <c r="N4" s="9" t="s">
        <v>691</v>
      </c>
      <c r="O4" s="9" t="s">
        <v>692</v>
      </c>
      <c r="P4" s="9" t="s">
        <v>693</v>
      </c>
      <c r="Q4" s="9" t="s">
        <v>694</v>
      </c>
      <c r="R4" s="9" t="s">
        <v>695</v>
      </c>
      <c r="S4" s="10" t="s">
        <v>696</v>
      </c>
      <c r="T4" s="10" t="s">
        <v>697</v>
      </c>
      <c r="U4" s="10" t="s">
        <v>698</v>
      </c>
      <c r="V4" s="10" t="s">
        <v>699</v>
      </c>
      <c r="W4" s="9" t="s">
        <v>700</v>
      </c>
      <c r="X4" s="9" t="s">
        <v>701</v>
      </c>
      <c r="Y4" s="9" t="s">
        <v>759</v>
      </c>
      <c r="Z4" s="9" t="s">
        <v>760</v>
      </c>
      <c r="AA4" s="9" t="s">
        <v>702</v>
      </c>
      <c r="AB4" s="9" t="s">
        <v>703</v>
      </c>
    </row>
    <row r="5" spans="1:28" x14ac:dyDescent="0.25">
      <c r="A5" s="11" t="s">
        <v>704</v>
      </c>
      <c r="B5" s="12" t="s">
        <v>80</v>
      </c>
      <c r="C5" s="13" t="str">
        <f t="shared" ref="C5:C30" si="0">IFERROR(INDEX(Author_Code,MATCH($B5,Author_Name,0)),"")</f>
        <v>e</v>
      </c>
      <c r="D5" s="14"/>
      <c r="E5" s="13" t="str">
        <f t="shared" ref="E5:E30" si="1">IFERROR(INDEX(InPl_Code,MATCH($D5,InPl_Name,0)),"")</f>
        <v/>
      </c>
      <c r="F5" s="12" t="s">
        <v>471</v>
      </c>
      <c r="G5" s="13" t="str">
        <f t="shared" ref="G5:G30" si="2">IFERROR(INDEX(WL_Cat_Code,MATCH($F5,WL_Cat_Name,0)),"")</f>
        <v>BW</v>
      </c>
      <c r="H5" s="12" t="s">
        <v>158</v>
      </c>
      <c r="I5" s="13" t="str">
        <f t="shared" ref="I5:I30" si="3">IFERROR(IF($G5="BW",INDEX(BW_G1_Code,MATCH($H5,BW_G1_Name,0)),IF($G5="CW",INDEX(CW_G1_Code,MATCH($H5,CW_G1_Name,0)),"")),"")</f>
        <v>FR</v>
      </c>
      <c r="J5" s="13" t="str">
        <f t="shared" ref="J5:J30" si="4">IFERROR(LEFT(IF($G5="BW",INDEX(BW_G1_TM,MATCH($H5,BW_G1_Name,0)),IF($G5="CW",INDEX(CW_G1_TM,MATCH($H5,CW_G1_Name,0)),"")),1),"")</f>
        <v>1</v>
      </c>
      <c r="K5" s="12" t="s">
        <v>155</v>
      </c>
      <c r="L5" s="13" t="str">
        <f t="shared" ref="L5:L30" si="5">IFERROR(IF($G5="BW",INDEX(BW_G2_Code,MATCH($K5,BW_G2_Name,0)),IF($G5="CW",INDEX(CW_G2_Code,MATCH($K5,CW_G2_Name,0)),"")),"")</f>
        <v>IN</v>
      </c>
      <c r="M5" s="12" t="s">
        <v>92</v>
      </c>
      <c r="N5" s="13" t="str">
        <f t="shared" ref="N5:N30" si="6">IFERROR(INDEX(Fin_Code,MATCH($M5,Fin_Name,0)),"")</f>
        <v>2F</v>
      </c>
      <c r="O5" s="12">
        <v>1</v>
      </c>
      <c r="P5" s="15"/>
      <c r="Q5" s="13" t="str">
        <f t="shared" ref="Q5:Q30" si="7">IF($I5="OT",$P5,IF(OR($G5="",$J5="",$O5=""),"",$G5&amp;"-"&amp;$J5&amp;IF(UPPER($O5)="XX","XX",TEXT($O5,"00"))))</f>
        <v>BW-101</v>
      </c>
      <c r="R5" s="12">
        <v>125</v>
      </c>
      <c r="S5" s="14"/>
      <c r="T5" s="14"/>
      <c r="U5" s="14"/>
      <c r="V5" s="16"/>
      <c r="W5" s="13" t="str">
        <f t="shared" ref="W5:W30" si="8">$G5&amp;IF($I5&lt;&gt;"","."&amp;$I5,"")&amp;IF($L5&lt;&gt;"","."&amp;$L5,"")</f>
        <v>BW.FR.IN</v>
      </c>
      <c r="X5" s="17" t="str">
        <f t="shared" ref="X5:X30" si="9">IF(AND($F5&lt;&gt;"",$H5&lt;&gt;"",$Q5&lt;&gt;"",AND($M5&lt;&gt;"",$R5&lt;&gt;"")),$C5&amp;"_"&amp;$Q5&amp;"_"&amp;$E5&amp;$W5&amp;"_"&amp;$N5&amp;"."&amp;TEXT($R5,"0")&amp;IF($S5&lt;&gt;"","_"&amp;$S5,"")&amp;IF($T5&amp;$U5&lt;&gt;"","_"&amp;$T5&amp;$U5,"")&amp;IF($V5&lt;&gt;"","_"&amp;$V5,""),"")</f>
        <v>e_BW-101_BW.FR.IN_2F.125</v>
      </c>
      <c r="Y5" s="18" t="str">
        <f>IF($G5="BW",ADDRESS(ROW(INDEX(Tbl_BW_G1[BW_Group1],1)),COLUMN(Tbl_BW_G1[BW_Group1]),1,1,"DV")&amp;":"&amp;ADDRESS(ROW(INDEX(Tbl_BW_G1[BW_Group1],1))+ROWS(Tbl_BW_G1[BW_Group1])-1,COLUMN(Tbl_BW_G1[BW_Group1]),1,1),IF($G5="CW",ADDRESS(ROW(INDEX(Tbl_CW_G1[CW_Group1],1)),COLUMN(Tbl_CW_G1[CW_Group1]),1,1,"DV")&amp;":"&amp;ADDRESS(ROW(INDEX(Tbl_CW_G1[CW_Group1],1))+ROWS(Tbl_CW_G1[CW_Group1])-1,COLUMN(Tbl_CW_G1[CW_Group1]),1,1),"_src!$A$1"))</f>
        <v>DV!$E$169:$E$174</v>
      </c>
      <c r="Z5" s="18" t="str">
        <f>IF($G5="BW",ADDRESS(ROW(INDEX(Tbl_BW_G2[BW_Group2],1)),COLUMN(Tbl_BW_G2[BW_Group2]),1,1,"DV")&amp;":"&amp;ADDRESS(ROW(INDEX(Tbl_BW_G2[BW_Group2],1))+ROWS(Tbl_BW_G2[BW_Group2])-1,COLUMN(Tbl_BW_G2[BW_Group2]),1,1),IF($G5="CW",ADDRESS(ROW(INDEX(Tbl_CW_G2[CW_Group2],1)),COLUMN(Tbl_CW_G2[CW_Group2]),1,1,"DV")&amp;":"&amp;ADDRESS(ROW(INDEX(Tbl_CW_G2[CW_Group2],1))+ROWS(Tbl_CW_G2[CW_Group2])-1,COLUMN(Tbl_CW_G2[CW_Group2]),1,1),"_src!$A$1"))</f>
        <v>DV!$J$169:$J$181</v>
      </c>
      <c r="AA5" s="18" t="str">
        <f t="shared" ref="AA5:AA30" si="10">IF(OR($L5="IN",$L5="SE",$L5="LN"),"_src!$B$1","_src!$B$2")</f>
        <v>_src!$B$1</v>
      </c>
      <c r="AB5" s="18" t="str">
        <f t="shared" ref="AB5:AB30" si="11">IF(OR($L5="IN",$L5="SE",$L5="LN"),"_src!$C$1","_src!$C$2")</f>
        <v>_src!$C$1</v>
      </c>
    </row>
    <row r="6" spans="1:28" x14ac:dyDescent="0.25">
      <c r="A6" s="11" t="s">
        <v>705</v>
      </c>
      <c r="B6" s="12" t="s">
        <v>80</v>
      </c>
      <c r="C6" s="13" t="str">
        <f t="shared" si="0"/>
        <v>e</v>
      </c>
      <c r="D6" s="14"/>
      <c r="E6" s="13" t="str">
        <f t="shared" si="1"/>
        <v/>
      </c>
      <c r="F6" s="12" t="s">
        <v>471</v>
      </c>
      <c r="G6" s="13" t="str">
        <f t="shared" si="2"/>
        <v>BW</v>
      </c>
      <c r="H6" s="12" t="s">
        <v>158</v>
      </c>
      <c r="I6" s="13" t="str">
        <f t="shared" si="3"/>
        <v>FR</v>
      </c>
      <c r="J6" s="13" t="str">
        <f t="shared" si="4"/>
        <v>1</v>
      </c>
      <c r="K6" s="12" t="s">
        <v>155</v>
      </c>
      <c r="L6" s="13" t="str">
        <f t="shared" si="5"/>
        <v>IN</v>
      </c>
      <c r="M6" s="12" t="s">
        <v>92</v>
      </c>
      <c r="N6" s="13" t="str">
        <f t="shared" si="6"/>
        <v>2F</v>
      </c>
      <c r="O6" s="12">
        <v>2</v>
      </c>
      <c r="P6" s="15"/>
      <c r="Q6" s="13" t="str">
        <f t="shared" si="7"/>
        <v>BW-102</v>
      </c>
      <c r="R6" s="12">
        <v>125</v>
      </c>
      <c r="S6" s="14" t="s">
        <v>706</v>
      </c>
      <c r="T6" s="14"/>
      <c r="U6" s="14"/>
      <c r="V6" s="16"/>
      <c r="W6" s="13" t="str">
        <f t="shared" si="8"/>
        <v>BW.FR.IN</v>
      </c>
      <c r="X6" s="17" t="str">
        <f t="shared" si="9"/>
        <v>e_BW-102_BW.FR.IN_2F.125_REI120</v>
      </c>
      <c r="Y6" s="18" t="str">
        <f>IF($G6="BW",ADDRESS(ROW(INDEX(Tbl_BW_G1[BW_Group1],1)),COLUMN(Tbl_BW_G1[BW_Group1]),1,1,"DV")&amp;":"&amp;ADDRESS(ROW(INDEX(Tbl_BW_G1[BW_Group1],1))+ROWS(Tbl_BW_G1[BW_Group1])-1,COLUMN(Tbl_BW_G1[BW_Group1]),1,1),IF($G6="CW",ADDRESS(ROW(INDEX(Tbl_CW_G1[CW_Group1],1)),COLUMN(Tbl_CW_G1[CW_Group1]),1,1,"DV")&amp;":"&amp;ADDRESS(ROW(INDEX(Tbl_CW_G1[CW_Group1],1))+ROWS(Tbl_CW_G1[CW_Group1])-1,COLUMN(Tbl_CW_G1[CW_Group1]),1,1),"_src!$A$1"))</f>
        <v>DV!$E$169:$E$174</v>
      </c>
      <c r="Z6" s="18" t="str">
        <f>IF($G6="BW",ADDRESS(ROW(INDEX(Tbl_BW_G2[BW_Group2],1)),COLUMN(Tbl_BW_G2[BW_Group2]),1,1,"DV")&amp;":"&amp;ADDRESS(ROW(INDEX(Tbl_BW_G2[BW_Group2],1))+ROWS(Tbl_BW_G2[BW_Group2])-1,COLUMN(Tbl_BW_G2[BW_Group2]),1,1),IF($G6="CW",ADDRESS(ROW(INDEX(Tbl_CW_G2[CW_Group2],1)),COLUMN(Tbl_CW_G2[CW_Group2]),1,1,"DV")&amp;":"&amp;ADDRESS(ROW(INDEX(Tbl_CW_G2[CW_Group2],1))+ROWS(Tbl_CW_G2[CW_Group2])-1,COLUMN(Tbl_CW_G2[CW_Group2]),1,1),"_src!$A$1"))</f>
        <v>DV!$J$169:$J$181</v>
      </c>
      <c r="AA6" s="18" t="str">
        <f t="shared" si="10"/>
        <v>_src!$B$1</v>
      </c>
      <c r="AB6" s="18" t="str">
        <f t="shared" si="11"/>
        <v>_src!$C$1</v>
      </c>
    </row>
    <row r="7" spans="1:28" x14ac:dyDescent="0.25">
      <c r="A7" s="11" t="s">
        <v>707</v>
      </c>
      <c r="B7" s="12" t="s">
        <v>80</v>
      </c>
      <c r="C7" s="13" t="str">
        <f t="shared" si="0"/>
        <v>e</v>
      </c>
      <c r="D7" s="14"/>
      <c r="E7" s="13" t="str">
        <f t="shared" si="1"/>
        <v/>
      </c>
      <c r="F7" s="12" t="s">
        <v>471</v>
      </c>
      <c r="G7" s="13" t="str">
        <f t="shared" si="2"/>
        <v>BW</v>
      </c>
      <c r="H7" s="12" t="s">
        <v>158</v>
      </c>
      <c r="I7" s="13" t="str">
        <f t="shared" si="3"/>
        <v>FR</v>
      </c>
      <c r="J7" s="13" t="str">
        <f t="shared" si="4"/>
        <v>1</v>
      </c>
      <c r="K7" s="12" t="s">
        <v>155</v>
      </c>
      <c r="L7" s="13" t="str">
        <f t="shared" si="5"/>
        <v>IN</v>
      </c>
      <c r="M7" s="12" t="s">
        <v>92</v>
      </c>
      <c r="N7" s="13" t="str">
        <f t="shared" si="6"/>
        <v>2F</v>
      </c>
      <c r="O7" s="12">
        <v>3</v>
      </c>
      <c r="P7" s="15"/>
      <c r="Q7" s="13" t="str">
        <f t="shared" si="7"/>
        <v>BW-103</v>
      </c>
      <c r="R7" s="12">
        <v>150</v>
      </c>
      <c r="S7" s="14"/>
      <c r="T7" s="14"/>
      <c r="U7" s="14" t="s">
        <v>708</v>
      </c>
      <c r="V7" s="16" t="s">
        <v>188</v>
      </c>
      <c r="W7" s="13" t="str">
        <f t="shared" si="8"/>
        <v>BW.FR.IN</v>
      </c>
      <c r="X7" s="17" t="str">
        <f t="shared" si="9"/>
        <v>e_BW-103_BW.FR.IN_2F.150_I_Acoustic</v>
      </c>
      <c r="Y7" s="18" t="str">
        <f>IF($G7="BW",ADDRESS(ROW(INDEX(Tbl_BW_G1[BW_Group1],1)),COLUMN(Tbl_BW_G1[BW_Group1]),1,1,"DV")&amp;":"&amp;ADDRESS(ROW(INDEX(Tbl_BW_G1[BW_Group1],1))+ROWS(Tbl_BW_G1[BW_Group1])-1,COLUMN(Tbl_BW_G1[BW_Group1]),1,1),IF($G7="CW",ADDRESS(ROW(INDEX(Tbl_CW_G1[CW_Group1],1)),COLUMN(Tbl_CW_G1[CW_Group1]),1,1,"DV")&amp;":"&amp;ADDRESS(ROW(INDEX(Tbl_CW_G1[CW_Group1],1))+ROWS(Tbl_CW_G1[CW_Group1])-1,COLUMN(Tbl_CW_G1[CW_Group1]),1,1),"_src!$A$1"))</f>
        <v>DV!$E$169:$E$174</v>
      </c>
      <c r="Z7" s="18" t="str">
        <f>IF($G7="BW",ADDRESS(ROW(INDEX(Tbl_BW_G2[BW_Group2],1)),COLUMN(Tbl_BW_G2[BW_Group2]),1,1,"DV")&amp;":"&amp;ADDRESS(ROW(INDEX(Tbl_BW_G2[BW_Group2],1))+ROWS(Tbl_BW_G2[BW_Group2])-1,COLUMN(Tbl_BW_G2[BW_Group2]),1,1),IF($G7="CW",ADDRESS(ROW(INDEX(Tbl_CW_G2[CW_Group2],1)),COLUMN(Tbl_CW_G2[CW_Group2]),1,1,"DV")&amp;":"&amp;ADDRESS(ROW(INDEX(Tbl_CW_G2[CW_Group2],1))+ROWS(Tbl_CW_G2[CW_Group2])-1,COLUMN(Tbl_CW_G2[CW_Group2]),1,1),"_src!$A$1"))</f>
        <v>DV!$J$169:$J$181</v>
      </c>
      <c r="AA7" s="18" t="str">
        <f t="shared" si="10"/>
        <v>_src!$B$1</v>
      </c>
      <c r="AB7" s="18" t="str">
        <f t="shared" si="11"/>
        <v>_src!$C$1</v>
      </c>
    </row>
    <row r="8" spans="1:28" x14ac:dyDescent="0.25">
      <c r="A8" s="11" t="s">
        <v>709</v>
      </c>
      <c r="B8" s="12" t="s">
        <v>80</v>
      </c>
      <c r="C8" s="13" t="str">
        <f t="shared" si="0"/>
        <v>e</v>
      </c>
      <c r="D8" s="14"/>
      <c r="E8" s="13" t="str">
        <f t="shared" si="1"/>
        <v/>
      </c>
      <c r="F8" s="12" t="s">
        <v>471</v>
      </c>
      <c r="G8" s="13" t="str">
        <f t="shared" si="2"/>
        <v>BW</v>
      </c>
      <c r="H8" s="12" t="s">
        <v>158</v>
      </c>
      <c r="I8" s="13" t="str">
        <f t="shared" si="3"/>
        <v>FR</v>
      </c>
      <c r="J8" s="13" t="str">
        <f t="shared" si="4"/>
        <v>1</v>
      </c>
      <c r="K8" s="12" t="s">
        <v>183</v>
      </c>
      <c r="L8" s="13" t="str">
        <f t="shared" si="5"/>
        <v>LN</v>
      </c>
      <c r="M8" s="12" t="s">
        <v>88</v>
      </c>
      <c r="N8" s="13" t="str">
        <f t="shared" si="6"/>
        <v>1F</v>
      </c>
      <c r="O8" s="12">
        <v>4</v>
      </c>
      <c r="P8" s="15"/>
      <c r="Q8" s="13" t="str">
        <f t="shared" si="7"/>
        <v>BW-104</v>
      </c>
      <c r="R8" s="12">
        <v>75</v>
      </c>
      <c r="S8" s="14"/>
      <c r="T8" s="14" t="s">
        <v>710</v>
      </c>
      <c r="U8" s="14"/>
      <c r="V8" s="16" t="s">
        <v>746</v>
      </c>
      <c r="W8" s="13" t="str">
        <f t="shared" si="8"/>
        <v>BW.FR.LN</v>
      </c>
      <c r="X8" s="17" t="str">
        <f t="shared" si="9"/>
        <v>e_BW-104_BW.FR.LN_1F.75_W_Bathroom</v>
      </c>
      <c r="Y8" s="18" t="str">
        <f>IF($G8="BW",ADDRESS(ROW(INDEX(Tbl_BW_G1[BW_Group1],1)),COLUMN(Tbl_BW_G1[BW_Group1]),1,1,"DV")&amp;":"&amp;ADDRESS(ROW(INDEX(Tbl_BW_G1[BW_Group1],1))+ROWS(Tbl_BW_G1[BW_Group1])-1,COLUMN(Tbl_BW_G1[BW_Group1]),1,1),IF($G8="CW",ADDRESS(ROW(INDEX(Tbl_CW_G1[CW_Group1],1)),COLUMN(Tbl_CW_G1[CW_Group1]),1,1,"DV")&amp;":"&amp;ADDRESS(ROW(INDEX(Tbl_CW_G1[CW_Group1],1))+ROWS(Tbl_CW_G1[CW_Group1])-1,COLUMN(Tbl_CW_G1[CW_Group1]),1,1),"_src!$A$1"))</f>
        <v>DV!$E$169:$E$174</v>
      </c>
      <c r="Z8" s="18" t="str">
        <f>IF($G8="BW",ADDRESS(ROW(INDEX(Tbl_BW_G2[BW_Group2],1)),COLUMN(Tbl_BW_G2[BW_Group2]),1,1,"DV")&amp;":"&amp;ADDRESS(ROW(INDEX(Tbl_BW_G2[BW_Group2],1))+ROWS(Tbl_BW_G2[BW_Group2])-1,COLUMN(Tbl_BW_G2[BW_Group2]),1,1),IF($G8="CW",ADDRESS(ROW(INDEX(Tbl_CW_G2[CW_Group2],1)),COLUMN(Tbl_CW_G2[CW_Group2]),1,1,"DV")&amp;":"&amp;ADDRESS(ROW(INDEX(Tbl_CW_G2[CW_Group2],1))+ROWS(Tbl_CW_G2[CW_Group2])-1,COLUMN(Tbl_CW_G2[CW_Group2]),1,1),"_src!$A$1"))</f>
        <v>DV!$J$169:$J$181</v>
      </c>
      <c r="AA8" s="18" t="str">
        <f t="shared" si="10"/>
        <v>_src!$B$1</v>
      </c>
      <c r="AB8" s="18" t="str">
        <f t="shared" si="11"/>
        <v>_src!$C$1</v>
      </c>
    </row>
    <row r="9" spans="1:28" x14ac:dyDescent="0.25">
      <c r="A9" s="11" t="s">
        <v>711</v>
      </c>
      <c r="B9" s="12" t="s">
        <v>80</v>
      </c>
      <c r="C9" s="13" t="str">
        <f t="shared" si="0"/>
        <v>e</v>
      </c>
      <c r="D9" s="14"/>
      <c r="E9" s="13" t="str">
        <f t="shared" si="1"/>
        <v/>
      </c>
      <c r="F9" s="12" t="s">
        <v>471</v>
      </c>
      <c r="G9" s="13" t="str">
        <f t="shared" si="2"/>
        <v>BW</v>
      </c>
      <c r="H9" s="12" t="s">
        <v>479</v>
      </c>
      <c r="I9" s="13" t="str">
        <f t="shared" si="3"/>
        <v>MS</v>
      </c>
      <c r="J9" s="13" t="str">
        <f t="shared" si="4"/>
        <v>2</v>
      </c>
      <c r="K9" s="12" t="s">
        <v>477</v>
      </c>
      <c r="L9" s="13" t="str">
        <f t="shared" si="5"/>
        <v>SE</v>
      </c>
      <c r="M9" s="12" t="s">
        <v>92</v>
      </c>
      <c r="N9" s="13" t="str">
        <f t="shared" si="6"/>
        <v>2F</v>
      </c>
      <c r="O9" s="12">
        <v>1</v>
      </c>
      <c r="P9" s="15"/>
      <c r="Q9" s="13" t="str">
        <f t="shared" si="7"/>
        <v>BW-201</v>
      </c>
      <c r="R9" s="12">
        <v>350</v>
      </c>
      <c r="S9" s="14" t="s">
        <v>714</v>
      </c>
      <c r="T9" s="14"/>
      <c r="U9" s="14"/>
      <c r="V9" s="16"/>
      <c r="W9" s="13" t="str">
        <f t="shared" si="8"/>
        <v>BW.MS.SE</v>
      </c>
      <c r="X9" s="17" t="str">
        <f t="shared" si="9"/>
        <v>e_BW-201_BW.MS.SE_2F.350_REI60</v>
      </c>
      <c r="Y9" s="18" t="str">
        <f>IF($G9="BW",ADDRESS(ROW(INDEX(Tbl_BW_G1[BW_Group1],1)),COLUMN(Tbl_BW_G1[BW_Group1]),1,1,"DV")&amp;":"&amp;ADDRESS(ROW(INDEX(Tbl_BW_G1[BW_Group1],1))+ROWS(Tbl_BW_G1[BW_Group1])-1,COLUMN(Tbl_BW_G1[BW_Group1]),1,1),IF($G9="CW",ADDRESS(ROW(INDEX(Tbl_CW_G1[CW_Group1],1)),COLUMN(Tbl_CW_G1[CW_Group1]),1,1,"DV")&amp;":"&amp;ADDRESS(ROW(INDEX(Tbl_CW_G1[CW_Group1],1))+ROWS(Tbl_CW_G1[CW_Group1])-1,COLUMN(Tbl_CW_G1[CW_Group1]),1,1),"_src!$A$1"))</f>
        <v>DV!$E$169:$E$174</v>
      </c>
      <c r="Z9" s="18" t="str">
        <f>IF($G9="BW",ADDRESS(ROW(INDEX(Tbl_BW_G2[BW_Group2],1)),COLUMN(Tbl_BW_G2[BW_Group2]),1,1,"DV")&amp;":"&amp;ADDRESS(ROW(INDEX(Tbl_BW_G2[BW_Group2],1))+ROWS(Tbl_BW_G2[BW_Group2])-1,COLUMN(Tbl_BW_G2[BW_Group2]),1,1),IF($G9="CW",ADDRESS(ROW(INDEX(Tbl_CW_G2[CW_Group2],1)),COLUMN(Tbl_CW_G2[CW_Group2]),1,1,"DV")&amp;":"&amp;ADDRESS(ROW(INDEX(Tbl_CW_G2[CW_Group2],1))+ROWS(Tbl_CW_G2[CW_Group2])-1,COLUMN(Tbl_CW_G2[CW_Group2]),1,1),"_src!$A$1"))</f>
        <v>DV!$J$169:$J$181</v>
      </c>
      <c r="AA9" s="18" t="str">
        <f t="shared" si="10"/>
        <v>_src!$B$1</v>
      </c>
      <c r="AB9" s="18" t="str">
        <f t="shared" si="11"/>
        <v>_src!$C$1</v>
      </c>
    </row>
    <row r="10" spans="1:28" x14ac:dyDescent="0.25">
      <c r="A10" s="11" t="s">
        <v>712</v>
      </c>
      <c r="B10" s="12" t="s">
        <v>80</v>
      </c>
      <c r="C10" s="13" t="str">
        <f t="shared" si="0"/>
        <v>e</v>
      </c>
      <c r="D10" s="14"/>
      <c r="E10" s="13" t="str">
        <f t="shared" si="1"/>
        <v/>
      </c>
      <c r="F10" s="12" t="s">
        <v>471</v>
      </c>
      <c r="G10" s="13" t="str">
        <f t="shared" si="2"/>
        <v>BW</v>
      </c>
      <c r="H10" s="12" t="s">
        <v>172</v>
      </c>
      <c r="I10" s="13" t="str">
        <f t="shared" si="3"/>
        <v>MN</v>
      </c>
      <c r="J10" s="13" t="str">
        <f t="shared" si="4"/>
        <v>3</v>
      </c>
      <c r="K10" s="12" t="s">
        <v>162</v>
      </c>
      <c r="L10" s="13" t="str">
        <f t="shared" si="5"/>
        <v>EX</v>
      </c>
      <c r="M10" s="12" t="s">
        <v>88</v>
      </c>
      <c r="N10" s="13" t="str">
        <f t="shared" si="6"/>
        <v>1F</v>
      </c>
      <c r="O10" s="12">
        <v>1</v>
      </c>
      <c r="P10" s="15"/>
      <c r="Q10" s="13" t="str">
        <f t="shared" si="7"/>
        <v>BW-301</v>
      </c>
      <c r="R10" s="12">
        <v>350</v>
      </c>
      <c r="S10" s="14"/>
      <c r="T10" s="14"/>
      <c r="U10" s="14"/>
      <c r="V10" s="16"/>
      <c r="W10" s="13" t="str">
        <f t="shared" si="8"/>
        <v>BW.MN.EX</v>
      </c>
      <c r="X10" s="17" t="str">
        <f t="shared" si="9"/>
        <v>e_BW-301_BW.MN.EX_1F.350</v>
      </c>
      <c r="Y10" s="18" t="str">
        <f>IF($G10="BW",ADDRESS(ROW(INDEX(Tbl_BW_G1[BW_Group1],1)),COLUMN(Tbl_BW_G1[BW_Group1]),1,1,"DV")&amp;":"&amp;ADDRESS(ROW(INDEX(Tbl_BW_G1[BW_Group1],1))+ROWS(Tbl_BW_G1[BW_Group1])-1,COLUMN(Tbl_BW_G1[BW_Group1]),1,1),IF($G10="CW",ADDRESS(ROW(INDEX(Tbl_CW_G1[CW_Group1],1)),COLUMN(Tbl_CW_G1[CW_Group1]),1,1,"DV")&amp;":"&amp;ADDRESS(ROW(INDEX(Tbl_CW_G1[CW_Group1],1))+ROWS(Tbl_CW_G1[CW_Group1])-1,COLUMN(Tbl_CW_G1[CW_Group1]),1,1),"_src!$A$1"))</f>
        <v>DV!$E$169:$E$174</v>
      </c>
      <c r="Z10" s="18" t="str">
        <f>IF($G10="BW",ADDRESS(ROW(INDEX(Tbl_BW_G2[BW_Group2],1)),COLUMN(Tbl_BW_G2[BW_Group2]),1,1,"DV")&amp;":"&amp;ADDRESS(ROW(INDEX(Tbl_BW_G2[BW_Group2],1))+ROWS(Tbl_BW_G2[BW_Group2])-1,COLUMN(Tbl_BW_G2[BW_Group2]),1,1),IF($G10="CW",ADDRESS(ROW(INDEX(Tbl_CW_G2[CW_Group2],1)),COLUMN(Tbl_CW_G2[CW_Group2]),1,1,"DV")&amp;":"&amp;ADDRESS(ROW(INDEX(Tbl_CW_G2[CW_Group2],1))+ROWS(Tbl_CW_G2[CW_Group2])-1,COLUMN(Tbl_CW_G2[CW_Group2]),1,1),"_src!$A$1"))</f>
        <v>DV!$J$169:$J$181</v>
      </c>
      <c r="AA10" s="18" t="str">
        <f t="shared" si="10"/>
        <v>_src!$B$2</v>
      </c>
      <c r="AB10" s="18" t="str">
        <f t="shared" si="11"/>
        <v>_src!$C$2</v>
      </c>
    </row>
    <row r="11" spans="1:28" x14ac:dyDescent="0.25">
      <c r="A11" s="11" t="s">
        <v>713</v>
      </c>
      <c r="B11" s="12" t="s">
        <v>80</v>
      </c>
      <c r="C11" s="13" t="str">
        <f t="shared" si="0"/>
        <v>e</v>
      </c>
      <c r="D11" s="14"/>
      <c r="E11" s="13" t="str">
        <f t="shared" si="1"/>
        <v/>
      </c>
      <c r="F11" s="12" t="s">
        <v>471</v>
      </c>
      <c r="G11" s="13" t="str">
        <f t="shared" si="2"/>
        <v>BW</v>
      </c>
      <c r="H11" s="12" t="s">
        <v>172</v>
      </c>
      <c r="I11" s="13" t="str">
        <f t="shared" si="3"/>
        <v>MN</v>
      </c>
      <c r="J11" s="13" t="str">
        <f t="shared" si="4"/>
        <v>3</v>
      </c>
      <c r="K11" s="12" t="s">
        <v>484</v>
      </c>
      <c r="L11" s="13" t="str">
        <f t="shared" si="5"/>
        <v>BG</v>
      </c>
      <c r="M11" s="12" t="s">
        <v>82</v>
      </c>
      <c r="N11" s="13" t="str">
        <f t="shared" si="6"/>
        <v>0F</v>
      </c>
      <c r="O11" s="12">
        <v>2</v>
      </c>
      <c r="P11" s="15"/>
      <c r="Q11" s="13" t="str">
        <f t="shared" si="7"/>
        <v>BW-302</v>
      </c>
      <c r="R11" s="12">
        <v>300</v>
      </c>
      <c r="S11" s="14"/>
      <c r="T11" s="14"/>
      <c r="U11" s="14"/>
      <c r="V11" s="16"/>
      <c r="W11" s="13" t="str">
        <f t="shared" si="8"/>
        <v>BW.MN.BG</v>
      </c>
      <c r="X11" s="17" t="str">
        <f t="shared" si="9"/>
        <v>e_BW-302_BW.MN.BG_0F.300</v>
      </c>
      <c r="Y11" s="18" t="str">
        <f>IF($G11="BW",ADDRESS(ROW(INDEX(Tbl_BW_G1[BW_Group1],1)),COLUMN(Tbl_BW_G1[BW_Group1]),1,1,"DV")&amp;":"&amp;ADDRESS(ROW(INDEX(Tbl_BW_G1[BW_Group1],1))+ROWS(Tbl_BW_G1[BW_Group1])-1,COLUMN(Tbl_BW_G1[BW_Group1]),1,1),IF($G11="CW",ADDRESS(ROW(INDEX(Tbl_CW_G1[CW_Group1],1)),COLUMN(Tbl_CW_G1[CW_Group1]),1,1,"DV")&amp;":"&amp;ADDRESS(ROW(INDEX(Tbl_CW_G1[CW_Group1],1))+ROWS(Tbl_CW_G1[CW_Group1])-1,COLUMN(Tbl_CW_G1[CW_Group1]),1,1),"_src!$A$1"))</f>
        <v>DV!$E$169:$E$174</v>
      </c>
      <c r="Z11" s="18" t="str">
        <f>IF($G11="BW",ADDRESS(ROW(INDEX(Tbl_BW_G2[BW_Group2],1)),COLUMN(Tbl_BW_G2[BW_Group2]),1,1,"DV")&amp;":"&amp;ADDRESS(ROW(INDEX(Tbl_BW_G2[BW_Group2],1))+ROWS(Tbl_BW_G2[BW_Group2])-1,COLUMN(Tbl_BW_G2[BW_Group2]),1,1),IF($G11="CW",ADDRESS(ROW(INDEX(Tbl_CW_G2[CW_Group2],1)),COLUMN(Tbl_CW_G2[CW_Group2]),1,1,"DV")&amp;":"&amp;ADDRESS(ROW(INDEX(Tbl_CW_G2[CW_Group2],1))+ROWS(Tbl_CW_G2[CW_Group2])-1,COLUMN(Tbl_CW_G2[CW_Group2]),1,1),"_src!$A$1"))</f>
        <v>DV!$J$169:$J$181</v>
      </c>
      <c r="AA11" s="18" t="str">
        <f t="shared" si="10"/>
        <v>_src!$B$2</v>
      </c>
      <c r="AB11" s="18" t="str">
        <f t="shared" si="11"/>
        <v>_src!$C$2</v>
      </c>
    </row>
    <row r="12" spans="1:28" x14ac:dyDescent="0.25">
      <c r="A12" s="11" t="s">
        <v>715</v>
      </c>
      <c r="B12" s="12" t="s">
        <v>80</v>
      </c>
      <c r="C12" s="13" t="str">
        <f t="shared" si="0"/>
        <v>e</v>
      </c>
      <c r="D12" s="14"/>
      <c r="E12" s="13" t="str">
        <f t="shared" si="1"/>
        <v/>
      </c>
      <c r="F12" s="12" t="s">
        <v>471</v>
      </c>
      <c r="G12" s="13" t="str">
        <f t="shared" si="2"/>
        <v>BW</v>
      </c>
      <c r="H12" s="12" t="s">
        <v>179</v>
      </c>
      <c r="I12" s="13" t="str">
        <f t="shared" si="3"/>
        <v>PN</v>
      </c>
      <c r="J12" s="13" t="str">
        <f t="shared" si="4"/>
        <v>4</v>
      </c>
      <c r="K12" s="12" t="s">
        <v>191</v>
      </c>
      <c r="L12" s="13" t="str">
        <f t="shared" si="5"/>
        <v>IS</v>
      </c>
      <c r="M12" s="12" t="s">
        <v>82</v>
      </c>
      <c r="N12" s="13" t="str">
        <f t="shared" si="6"/>
        <v>0F</v>
      </c>
      <c r="O12" s="12">
        <v>1</v>
      </c>
      <c r="P12" s="15"/>
      <c r="Q12" s="13" t="str">
        <f t="shared" si="7"/>
        <v>BW-401</v>
      </c>
      <c r="R12" s="12">
        <v>100</v>
      </c>
      <c r="S12" s="14"/>
      <c r="T12" s="14"/>
      <c r="U12" s="14"/>
      <c r="V12" s="16"/>
      <c r="W12" s="13" t="str">
        <f t="shared" si="8"/>
        <v>BW.PN.IS</v>
      </c>
      <c r="X12" s="17" t="str">
        <f t="shared" si="9"/>
        <v>e_BW-401_BW.PN.IS_0F.100</v>
      </c>
      <c r="Y12" s="18" t="str">
        <f>IF($G12="BW",ADDRESS(ROW(INDEX(Tbl_BW_G1[BW_Group1],1)),COLUMN(Tbl_BW_G1[BW_Group1]),1,1,"DV")&amp;":"&amp;ADDRESS(ROW(INDEX(Tbl_BW_G1[BW_Group1],1))+ROWS(Tbl_BW_G1[BW_Group1])-1,COLUMN(Tbl_BW_G1[BW_Group1]),1,1),IF($G12="CW",ADDRESS(ROW(INDEX(Tbl_CW_G1[CW_Group1],1)),COLUMN(Tbl_CW_G1[CW_Group1]),1,1,"DV")&amp;":"&amp;ADDRESS(ROW(INDEX(Tbl_CW_G1[CW_Group1],1))+ROWS(Tbl_CW_G1[CW_Group1])-1,COLUMN(Tbl_CW_G1[CW_Group1]),1,1),"_src!$A$1"))</f>
        <v>DV!$E$169:$E$174</v>
      </c>
      <c r="Z12" s="18" t="str">
        <f>IF($G12="BW",ADDRESS(ROW(INDEX(Tbl_BW_G2[BW_Group2],1)),COLUMN(Tbl_BW_G2[BW_Group2]),1,1,"DV")&amp;":"&amp;ADDRESS(ROW(INDEX(Tbl_BW_G2[BW_Group2],1))+ROWS(Tbl_BW_G2[BW_Group2])-1,COLUMN(Tbl_BW_G2[BW_Group2]),1,1),IF($G12="CW",ADDRESS(ROW(INDEX(Tbl_CW_G2[CW_Group2],1)),COLUMN(Tbl_CW_G2[CW_Group2]),1,1,"DV")&amp;":"&amp;ADDRESS(ROW(INDEX(Tbl_CW_G2[CW_Group2],1))+ROWS(Tbl_CW_G2[CW_Group2])-1,COLUMN(Tbl_CW_G2[CW_Group2]),1,1),"_src!$A$1"))</f>
        <v>DV!$J$169:$J$181</v>
      </c>
      <c r="AA12" s="18" t="str">
        <f t="shared" si="10"/>
        <v>_src!$B$2</v>
      </c>
      <c r="AB12" s="18" t="str">
        <f t="shared" si="11"/>
        <v>_src!$C$2</v>
      </c>
    </row>
    <row r="13" spans="1:28" x14ac:dyDescent="0.25">
      <c r="A13" s="11" t="s">
        <v>716</v>
      </c>
      <c r="B13" s="12" t="s">
        <v>80</v>
      </c>
      <c r="C13" s="13" t="str">
        <f t="shared" si="0"/>
        <v>e</v>
      </c>
      <c r="D13" s="14"/>
      <c r="E13" s="13" t="str">
        <f t="shared" si="1"/>
        <v/>
      </c>
      <c r="F13" s="12" t="s">
        <v>471</v>
      </c>
      <c r="G13" s="13" t="str">
        <f t="shared" si="2"/>
        <v>BW</v>
      </c>
      <c r="H13" s="12" t="s">
        <v>108</v>
      </c>
      <c r="I13" s="13" t="str">
        <f t="shared" si="3"/>
        <v>OT</v>
      </c>
      <c r="J13" s="13" t="str">
        <f t="shared" si="4"/>
        <v>9</v>
      </c>
      <c r="K13" s="12" t="s">
        <v>499</v>
      </c>
      <c r="L13" s="13" t="str">
        <f t="shared" si="5"/>
        <v>CL</v>
      </c>
      <c r="M13" s="12" t="s">
        <v>82</v>
      </c>
      <c r="N13" s="13" t="str">
        <f t="shared" si="6"/>
        <v>0F</v>
      </c>
      <c r="O13" s="12"/>
      <c r="P13" s="15" t="s">
        <v>835</v>
      </c>
      <c r="Q13" s="13" t="str">
        <f t="shared" si="7"/>
        <v>WD-001</v>
      </c>
      <c r="R13" s="12">
        <v>5</v>
      </c>
      <c r="S13" s="14"/>
      <c r="T13" s="14"/>
      <c r="U13" s="14"/>
      <c r="V13" s="16"/>
      <c r="W13" s="13" t="str">
        <f t="shared" si="8"/>
        <v>BW.OT.CL</v>
      </c>
      <c r="X13" s="17" t="str">
        <f t="shared" si="9"/>
        <v>e_WD-001_BW.OT.CL_0F.5</v>
      </c>
      <c r="Y13" s="18" t="str">
        <f>IF($G13="BW",ADDRESS(ROW(INDEX(Tbl_BW_G1[BW_Group1],1)),COLUMN(Tbl_BW_G1[BW_Group1]),1,1,"DV")&amp;":"&amp;ADDRESS(ROW(INDEX(Tbl_BW_G1[BW_Group1],1))+ROWS(Tbl_BW_G1[BW_Group1])-1,COLUMN(Tbl_BW_G1[BW_Group1]),1,1),IF($G13="CW",ADDRESS(ROW(INDEX(Tbl_CW_G1[CW_Group1],1)),COLUMN(Tbl_CW_G1[CW_Group1]),1,1,"DV")&amp;":"&amp;ADDRESS(ROW(INDEX(Tbl_CW_G1[CW_Group1],1))+ROWS(Tbl_CW_G1[CW_Group1])-1,COLUMN(Tbl_CW_G1[CW_Group1]),1,1),"_src!$A$1"))</f>
        <v>DV!$E$169:$E$174</v>
      </c>
      <c r="Z13" s="18" t="str">
        <f>IF($G13="BW",ADDRESS(ROW(INDEX(Tbl_BW_G2[BW_Group2],1)),COLUMN(Tbl_BW_G2[BW_Group2]),1,1,"DV")&amp;":"&amp;ADDRESS(ROW(INDEX(Tbl_BW_G2[BW_Group2],1))+ROWS(Tbl_BW_G2[BW_Group2])-1,COLUMN(Tbl_BW_G2[BW_Group2]),1,1),IF($G13="CW",ADDRESS(ROW(INDEX(Tbl_CW_G2[CW_Group2],1)),COLUMN(Tbl_CW_G2[CW_Group2]),1,1,"DV")&amp;":"&amp;ADDRESS(ROW(INDEX(Tbl_CW_G2[CW_Group2],1))+ROWS(Tbl_CW_G2[CW_Group2])-1,COLUMN(Tbl_CW_G2[CW_Group2]),1,1),"_src!$A$1"))</f>
        <v>DV!$J$169:$J$181</v>
      </c>
      <c r="AA13" s="18" t="str">
        <f t="shared" si="10"/>
        <v>_src!$B$2</v>
      </c>
      <c r="AB13" s="18" t="str">
        <f t="shared" si="11"/>
        <v>_src!$C$2</v>
      </c>
    </row>
    <row r="14" spans="1:28" x14ac:dyDescent="0.25">
      <c r="A14" s="11" t="s">
        <v>717</v>
      </c>
      <c r="B14" s="12" t="s">
        <v>80</v>
      </c>
      <c r="C14" s="13" t="str">
        <f t="shared" si="0"/>
        <v>e</v>
      </c>
      <c r="D14" s="14"/>
      <c r="E14" s="13" t="str">
        <f t="shared" si="1"/>
        <v/>
      </c>
      <c r="F14" s="12" t="s">
        <v>474</v>
      </c>
      <c r="G14" s="13" t="str">
        <f t="shared" si="2"/>
        <v>CW</v>
      </c>
      <c r="H14" s="12" t="s">
        <v>294</v>
      </c>
      <c r="I14" s="13" t="str">
        <f t="shared" si="3"/>
        <v>UN</v>
      </c>
      <c r="J14" s="13" t="str">
        <f t="shared" si="4"/>
        <v>2</v>
      </c>
      <c r="K14" s="12" t="s">
        <v>288</v>
      </c>
      <c r="L14" s="13" t="str">
        <f t="shared" si="5"/>
        <v>FC</v>
      </c>
      <c r="M14" s="12" t="s">
        <v>88</v>
      </c>
      <c r="N14" s="13" t="str">
        <f t="shared" si="6"/>
        <v>1F</v>
      </c>
      <c r="O14" s="12">
        <v>1</v>
      </c>
      <c r="P14" s="15"/>
      <c r="Q14" s="13" t="str">
        <f t="shared" si="7"/>
        <v>CW-201</v>
      </c>
      <c r="R14" s="12">
        <v>180</v>
      </c>
      <c r="S14" s="14"/>
      <c r="T14" s="14"/>
      <c r="U14" s="14"/>
      <c r="V14" s="16"/>
      <c r="W14" s="13" t="str">
        <f t="shared" si="8"/>
        <v>CW.UN.FC</v>
      </c>
      <c r="X14" s="17" t="str">
        <f t="shared" si="9"/>
        <v>e_CW-201_CW.UN.FC_1F.180</v>
      </c>
      <c r="Y14" s="18" t="str">
        <f>IF($G14="BW",ADDRESS(ROW(INDEX(Tbl_BW_G1[BW_Group1],1)),COLUMN(Tbl_BW_G1[BW_Group1]),1,1,"DV")&amp;":"&amp;ADDRESS(ROW(INDEX(Tbl_BW_G1[BW_Group1],1))+ROWS(Tbl_BW_G1[BW_Group1])-1,COLUMN(Tbl_BW_G1[BW_Group1]),1,1),IF($G14="CW",ADDRESS(ROW(INDEX(Tbl_CW_G1[CW_Group1],1)),COLUMN(Tbl_CW_G1[CW_Group1]),1,1,"DV")&amp;":"&amp;ADDRESS(ROW(INDEX(Tbl_CW_G1[CW_Group1],1))+ROWS(Tbl_CW_G1[CW_Group1])-1,COLUMN(Tbl_CW_G1[CW_Group1]),1,1),"_src!$A$1"))</f>
        <v>DV!$E$178:$E$184</v>
      </c>
      <c r="Z14" s="18" t="str">
        <f>IF($G14="BW",ADDRESS(ROW(INDEX(Tbl_BW_G2[BW_Group2],1)),COLUMN(Tbl_BW_G2[BW_Group2]),1,1,"DV")&amp;":"&amp;ADDRESS(ROW(INDEX(Tbl_BW_G2[BW_Group2],1))+ROWS(Tbl_BW_G2[BW_Group2])-1,COLUMN(Tbl_BW_G2[BW_Group2]),1,1),IF($G14="CW",ADDRESS(ROW(INDEX(Tbl_CW_G2[CW_Group2],1)),COLUMN(Tbl_CW_G2[CW_Group2]),1,1,"DV")&amp;":"&amp;ADDRESS(ROW(INDEX(Tbl_CW_G2[CW_Group2],1))+ROWS(Tbl_CW_G2[CW_Group2])-1,COLUMN(Tbl_CW_G2[CW_Group2]),1,1),"_src!$A$1"))</f>
        <v>DV!$J$185:$J$195</v>
      </c>
      <c r="AA14" s="18" t="str">
        <f t="shared" si="10"/>
        <v>_src!$B$2</v>
      </c>
      <c r="AB14" s="18" t="str">
        <f t="shared" si="11"/>
        <v>_src!$C$2</v>
      </c>
    </row>
    <row r="15" spans="1:28" x14ac:dyDescent="0.25">
      <c r="A15" s="11" t="s">
        <v>719</v>
      </c>
      <c r="B15" s="12" t="s">
        <v>80</v>
      </c>
      <c r="C15" s="13" t="str">
        <f t="shared" si="0"/>
        <v>e</v>
      </c>
      <c r="D15" s="14" t="s">
        <v>84</v>
      </c>
      <c r="E15" s="13" t="str">
        <f t="shared" si="1"/>
        <v>(I)</v>
      </c>
      <c r="F15" s="12" t="s">
        <v>471</v>
      </c>
      <c r="G15" s="13" t="str">
        <f t="shared" si="2"/>
        <v>BW</v>
      </c>
      <c r="H15" s="12" t="s">
        <v>158</v>
      </c>
      <c r="I15" s="13" t="str">
        <f t="shared" si="3"/>
        <v>FR</v>
      </c>
      <c r="J15" s="13" t="str">
        <f t="shared" si="4"/>
        <v>1</v>
      </c>
      <c r="K15" s="12" t="s">
        <v>155</v>
      </c>
      <c r="L15" s="13" t="str">
        <f t="shared" si="5"/>
        <v>IN</v>
      </c>
      <c r="M15" s="12" t="s">
        <v>92</v>
      </c>
      <c r="N15" s="13" t="str">
        <f t="shared" si="6"/>
        <v>2F</v>
      </c>
      <c r="O15" s="12">
        <v>1</v>
      </c>
      <c r="P15" s="15"/>
      <c r="Q15" s="13" t="str">
        <f t="shared" si="7"/>
        <v>BW-101</v>
      </c>
      <c r="R15" s="12">
        <v>125</v>
      </c>
      <c r="S15" s="14"/>
      <c r="T15" s="14"/>
      <c r="U15" s="14"/>
      <c r="V15" s="16"/>
      <c r="W15" s="13" t="str">
        <f t="shared" si="8"/>
        <v>BW.FR.IN</v>
      </c>
      <c r="X15" s="17" t="str">
        <f t="shared" si="9"/>
        <v>e_BW-101_(I)BW.FR.IN_2F.125</v>
      </c>
      <c r="Y15" s="18" t="str">
        <f>IF($G15="BW",ADDRESS(ROW(INDEX(Tbl_BW_G1[BW_Group1],1)),COLUMN(Tbl_BW_G1[BW_Group1]),1,1,"DV")&amp;":"&amp;ADDRESS(ROW(INDEX(Tbl_BW_G1[BW_Group1],1))+ROWS(Tbl_BW_G1[BW_Group1])-1,COLUMN(Tbl_BW_G1[BW_Group1]),1,1),IF($G15="CW",ADDRESS(ROW(INDEX(Tbl_CW_G1[CW_Group1],1)),COLUMN(Tbl_CW_G1[CW_Group1]),1,1,"DV")&amp;":"&amp;ADDRESS(ROW(INDEX(Tbl_CW_G1[CW_Group1],1))+ROWS(Tbl_CW_G1[CW_Group1])-1,COLUMN(Tbl_CW_G1[CW_Group1]),1,1),"_src!$A$1"))</f>
        <v>DV!$E$169:$E$174</v>
      </c>
      <c r="Z15" s="18" t="str">
        <f>IF($G15="BW",ADDRESS(ROW(INDEX(Tbl_BW_G2[BW_Group2],1)),COLUMN(Tbl_BW_G2[BW_Group2]),1,1,"DV")&amp;":"&amp;ADDRESS(ROW(INDEX(Tbl_BW_G2[BW_Group2],1))+ROWS(Tbl_BW_G2[BW_Group2])-1,COLUMN(Tbl_BW_G2[BW_Group2]),1,1),IF($G15="CW",ADDRESS(ROW(INDEX(Tbl_CW_G2[CW_Group2],1)),COLUMN(Tbl_CW_G2[CW_Group2]),1,1,"DV")&amp;":"&amp;ADDRESS(ROW(INDEX(Tbl_CW_G2[CW_Group2],1))+ROWS(Tbl_CW_G2[CW_Group2])-1,COLUMN(Tbl_CW_G2[CW_Group2]),1,1),"_src!$A$1"))</f>
        <v>DV!$J$169:$J$181</v>
      </c>
      <c r="AA15" s="18" t="str">
        <f t="shared" si="10"/>
        <v>_src!$B$1</v>
      </c>
      <c r="AB15" s="18" t="str">
        <f t="shared" si="11"/>
        <v>_src!$C$1</v>
      </c>
    </row>
    <row r="16" spans="1:28" x14ac:dyDescent="0.25">
      <c r="A16" s="19">
        <v>1</v>
      </c>
      <c r="B16" s="20"/>
      <c r="C16" s="21" t="str">
        <f t="shared" si="0"/>
        <v/>
      </c>
      <c r="D16" s="22"/>
      <c r="E16" s="21" t="str">
        <f t="shared" si="1"/>
        <v/>
      </c>
      <c r="F16" s="20"/>
      <c r="G16" s="21" t="str">
        <f t="shared" si="2"/>
        <v/>
      </c>
      <c r="H16" s="20"/>
      <c r="I16" s="21" t="str">
        <f t="shared" si="3"/>
        <v/>
      </c>
      <c r="J16" s="21" t="str">
        <f t="shared" si="4"/>
        <v/>
      </c>
      <c r="K16" s="20"/>
      <c r="L16" s="21" t="str">
        <f t="shared" si="5"/>
        <v/>
      </c>
      <c r="M16" s="20"/>
      <c r="N16" s="21" t="str">
        <f t="shared" si="6"/>
        <v/>
      </c>
      <c r="O16" s="20"/>
      <c r="P16" s="23"/>
      <c r="Q16" s="21" t="str">
        <f t="shared" si="7"/>
        <v/>
      </c>
      <c r="R16" s="20"/>
      <c r="S16" s="22"/>
      <c r="T16" s="22"/>
      <c r="U16" s="22"/>
      <c r="V16" s="24"/>
      <c r="W16" s="21" t="str">
        <f t="shared" si="8"/>
        <v/>
      </c>
      <c r="X16" s="25" t="str">
        <f t="shared" si="9"/>
        <v/>
      </c>
      <c r="Y16" s="18" t="str">
        <f>IF($G16="BW",ADDRESS(ROW(INDEX(Tbl_BW_G1[BW_Group1],1)),COLUMN(Tbl_BW_G1[BW_Group1]),1,1,"DV")&amp;":"&amp;ADDRESS(ROW(INDEX(Tbl_BW_G1[BW_Group1],1))+ROWS(Tbl_BW_G1[BW_Group1])-1,COLUMN(Tbl_BW_G1[BW_Group1]),1,1),IF($G16="CW",ADDRESS(ROW(INDEX(Tbl_CW_G1[CW_Group1],1)),COLUMN(Tbl_CW_G1[CW_Group1]),1,1,"DV")&amp;":"&amp;ADDRESS(ROW(INDEX(Tbl_CW_G1[CW_Group1],1))+ROWS(Tbl_CW_G1[CW_Group1])-1,COLUMN(Tbl_CW_G1[CW_Group1]),1,1),"_src!$A$1"))</f>
        <v>_src!$A$1</v>
      </c>
      <c r="Z16" s="18" t="str">
        <f>IF($G16="BW",ADDRESS(ROW(INDEX(Tbl_BW_G2[BW_Group2],1)),COLUMN(Tbl_BW_G2[BW_Group2]),1,1,"DV")&amp;":"&amp;ADDRESS(ROW(INDEX(Tbl_BW_G2[BW_Group2],1))+ROWS(Tbl_BW_G2[BW_Group2])-1,COLUMN(Tbl_BW_G2[BW_Group2]),1,1),IF($G16="CW",ADDRESS(ROW(INDEX(Tbl_CW_G2[CW_Group2],1)),COLUMN(Tbl_CW_G2[CW_Group2]),1,1,"DV")&amp;":"&amp;ADDRESS(ROW(INDEX(Tbl_CW_G2[CW_Group2],1))+ROWS(Tbl_CW_G2[CW_Group2])-1,COLUMN(Tbl_CW_G2[CW_Group2]),1,1),"_src!$A$1"))</f>
        <v>_src!$A$1</v>
      </c>
      <c r="AA16" s="18" t="str">
        <f t="shared" si="10"/>
        <v>_src!$B$2</v>
      </c>
      <c r="AB16" s="18" t="str">
        <f t="shared" si="11"/>
        <v>_src!$C$2</v>
      </c>
    </row>
    <row r="17" spans="1:28" x14ac:dyDescent="0.25">
      <c r="A17" s="19">
        <v>2</v>
      </c>
      <c r="B17" s="20"/>
      <c r="C17" s="21" t="str">
        <f t="shared" si="0"/>
        <v/>
      </c>
      <c r="D17" s="22"/>
      <c r="E17" s="21" t="str">
        <f t="shared" si="1"/>
        <v/>
      </c>
      <c r="F17" s="20"/>
      <c r="G17" s="21" t="str">
        <f t="shared" si="2"/>
        <v/>
      </c>
      <c r="H17" s="20"/>
      <c r="I17" s="21" t="str">
        <f t="shared" si="3"/>
        <v/>
      </c>
      <c r="J17" s="21" t="str">
        <f t="shared" si="4"/>
        <v/>
      </c>
      <c r="K17" s="20"/>
      <c r="L17" s="21" t="str">
        <f t="shared" si="5"/>
        <v/>
      </c>
      <c r="M17" s="20"/>
      <c r="N17" s="21" t="str">
        <f t="shared" si="6"/>
        <v/>
      </c>
      <c r="O17" s="20"/>
      <c r="P17" s="23"/>
      <c r="Q17" s="21" t="str">
        <f t="shared" si="7"/>
        <v/>
      </c>
      <c r="R17" s="20"/>
      <c r="S17" s="22"/>
      <c r="T17" s="22"/>
      <c r="U17" s="22"/>
      <c r="V17" s="24"/>
      <c r="W17" s="21" t="str">
        <f t="shared" si="8"/>
        <v/>
      </c>
      <c r="X17" s="25" t="str">
        <f t="shared" si="9"/>
        <v/>
      </c>
      <c r="Y17" s="18" t="str">
        <f>IF($G17="BW",ADDRESS(ROW(INDEX(Tbl_BW_G1[BW_Group1],1)),COLUMN(Tbl_BW_G1[BW_Group1]),1,1,"DV")&amp;":"&amp;ADDRESS(ROW(INDEX(Tbl_BW_G1[BW_Group1],1))+ROWS(Tbl_BW_G1[BW_Group1])-1,COLUMN(Tbl_BW_G1[BW_Group1]),1,1),IF($G17="CW",ADDRESS(ROW(INDEX(Tbl_CW_G1[CW_Group1],1)),COLUMN(Tbl_CW_G1[CW_Group1]),1,1,"DV")&amp;":"&amp;ADDRESS(ROW(INDEX(Tbl_CW_G1[CW_Group1],1))+ROWS(Tbl_CW_G1[CW_Group1])-1,COLUMN(Tbl_CW_G1[CW_Group1]),1,1),"_src!$A$1"))</f>
        <v>_src!$A$1</v>
      </c>
      <c r="Z17" s="18" t="str">
        <f>IF($G17="BW",ADDRESS(ROW(INDEX(Tbl_BW_G2[BW_Group2],1)),COLUMN(Tbl_BW_G2[BW_Group2]),1,1,"DV")&amp;":"&amp;ADDRESS(ROW(INDEX(Tbl_BW_G2[BW_Group2],1))+ROWS(Tbl_BW_G2[BW_Group2])-1,COLUMN(Tbl_BW_G2[BW_Group2]),1,1),IF($G17="CW",ADDRESS(ROW(INDEX(Tbl_CW_G2[CW_Group2],1)),COLUMN(Tbl_CW_G2[CW_Group2]),1,1,"DV")&amp;":"&amp;ADDRESS(ROW(INDEX(Tbl_CW_G2[CW_Group2],1))+ROWS(Tbl_CW_G2[CW_Group2])-1,COLUMN(Tbl_CW_G2[CW_Group2]),1,1),"_src!$A$1"))</f>
        <v>_src!$A$1</v>
      </c>
      <c r="AA17" s="18" t="str">
        <f t="shared" si="10"/>
        <v>_src!$B$2</v>
      </c>
      <c r="AB17" s="18" t="str">
        <f t="shared" si="11"/>
        <v>_src!$C$2</v>
      </c>
    </row>
    <row r="18" spans="1:28" x14ac:dyDescent="0.25">
      <c r="A18" s="19">
        <v>3</v>
      </c>
      <c r="B18" s="20"/>
      <c r="C18" s="21" t="str">
        <f t="shared" si="0"/>
        <v/>
      </c>
      <c r="D18" s="22"/>
      <c r="E18" s="21" t="str">
        <f t="shared" si="1"/>
        <v/>
      </c>
      <c r="F18" s="20"/>
      <c r="G18" s="21" t="str">
        <f t="shared" si="2"/>
        <v/>
      </c>
      <c r="H18" s="20"/>
      <c r="I18" s="21" t="str">
        <f t="shared" si="3"/>
        <v/>
      </c>
      <c r="J18" s="21" t="str">
        <f t="shared" si="4"/>
        <v/>
      </c>
      <c r="K18" s="20"/>
      <c r="L18" s="21" t="str">
        <f t="shared" si="5"/>
        <v/>
      </c>
      <c r="M18" s="20"/>
      <c r="N18" s="21" t="str">
        <f t="shared" si="6"/>
        <v/>
      </c>
      <c r="O18" s="20"/>
      <c r="P18" s="23"/>
      <c r="Q18" s="21" t="str">
        <f t="shared" si="7"/>
        <v/>
      </c>
      <c r="R18" s="20"/>
      <c r="S18" s="22"/>
      <c r="T18" s="22"/>
      <c r="U18" s="22"/>
      <c r="V18" s="24"/>
      <c r="W18" s="21" t="str">
        <f t="shared" si="8"/>
        <v/>
      </c>
      <c r="X18" s="25" t="str">
        <f t="shared" si="9"/>
        <v/>
      </c>
      <c r="Y18" s="18" t="str">
        <f>IF($G18="BW",ADDRESS(ROW(INDEX(Tbl_BW_G1[BW_Group1],1)),COLUMN(Tbl_BW_G1[BW_Group1]),1,1,"DV")&amp;":"&amp;ADDRESS(ROW(INDEX(Tbl_BW_G1[BW_Group1],1))+ROWS(Tbl_BW_G1[BW_Group1])-1,COLUMN(Tbl_BW_G1[BW_Group1]),1,1),IF($G18="CW",ADDRESS(ROW(INDEX(Tbl_CW_G1[CW_Group1],1)),COLUMN(Tbl_CW_G1[CW_Group1]),1,1,"DV")&amp;":"&amp;ADDRESS(ROW(INDEX(Tbl_CW_G1[CW_Group1],1))+ROWS(Tbl_CW_G1[CW_Group1])-1,COLUMN(Tbl_CW_G1[CW_Group1]),1,1),"_src!$A$1"))</f>
        <v>_src!$A$1</v>
      </c>
      <c r="Z18" s="18" t="str">
        <f>IF($G18="BW",ADDRESS(ROW(INDEX(Tbl_BW_G2[BW_Group2],1)),COLUMN(Tbl_BW_G2[BW_Group2]),1,1,"DV")&amp;":"&amp;ADDRESS(ROW(INDEX(Tbl_BW_G2[BW_Group2],1))+ROWS(Tbl_BW_G2[BW_Group2])-1,COLUMN(Tbl_BW_G2[BW_Group2]),1,1),IF($G18="CW",ADDRESS(ROW(INDEX(Tbl_CW_G2[CW_Group2],1)),COLUMN(Tbl_CW_G2[CW_Group2]),1,1,"DV")&amp;":"&amp;ADDRESS(ROW(INDEX(Tbl_CW_G2[CW_Group2],1))+ROWS(Tbl_CW_G2[CW_Group2])-1,COLUMN(Tbl_CW_G2[CW_Group2]),1,1),"_src!$A$1"))</f>
        <v>_src!$A$1</v>
      </c>
      <c r="AA18" s="18" t="str">
        <f t="shared" si="10"/>
        <v>_src!$B$2</v>
      </c>
      <c r="AB18" s="18" t="str">
        <f t="shared" si="11"/>
        <v>_src!$C$2</v>
      </c>
    </row>
    <row r="19" spans="1:28" x14ac:dyDescent="0.25">
      <c r="A19" s="19">
        <v>4</v>
      </c>
      <c r="B19" s="20"/>
      <c r="C19" s="21" t="str">
        <f t="shared" si="0"/>
        <v/>
      </c>
      <c r="D19" s="22"/>
      <c r="E19" s="21" t="str">
        <f t="shared" si="1"/>
        <v/>
      </c>
      <c r="F19" s="20"/>
      <c r="G19" s="21" t="str">
        <f t="shared" si="2"/>
        <v/>
      </c>
      <c r="H19" s="20"/>
      <c r="I19" s="21" t="str">
        <f t="shared" si="3"/>
        <v/>
      </c>
      <c r="J19" s="21" t="str">
        <f t="shared" si="4"/>
        <v/>
      </c>
      <c r="K19" s="20"/>
      <c r="L19" s="21" t="str">
        <f t="shared" si="5"/>
        <v/>
      </c>
      <c r="M19" s="20"/>
      <c r="N19" s="21" t="str">
        <f t="shared" si="6"/>
        <v/>
      </c>
      <c r="O19" s="20"/>
      <c r="P19" s="23"/>
      <c r="Q19" s="21" t="str">
        <f t="shared" si="7"/>
        <v/>
      </c>
      <c r="R19" s="20"/>
      <c r="S19" s="22"/>
      <c r="T19" s="22"/>
      <c r="U19" s="22"/>
      <c r="V19" s="24"/>
      <c r="W19" s="21" t="str">
        <f t="shared" si="8"/>
        <v/>
      </c>
      <c r="X19" s="25" t="str">
        <f t="shared" si="9"/>
        <v/>
      </c>
      <c r="Y19" s="18" t="str">
        <f>IF($G19="BW",ADDRESS(ROW(INDEX(Tbl_BW_G1[BW_Group1],1)),COLUMN(Tbl_BW_G1[BW_Group1]),1,1,"DV")&amp;":"&amp;ADDRESS(ROW(INDEX(Tbl_BW_G1[BW_Group1],1))+ROWS(Tbl_BW_G1[BW_Group1])-1,COLUMN(Tbl_BW_G1[BW_Group1]),1,1),IF($G19="CW",ADDRESS(ROW(INDEX(Tbl_CW_G1[CW_Group1],1)),COLUMN(Tbl_CW_G1[CW_Group1]),1,1,"DV")&amp;":"&amp;ADDRESS(ROW(INDEX(Tbl_CW_G1[CW_Group1],1))+ROWS(Tbl_CW_G1[CW_Group1])-1,COLUMN(Tbl_CW_G1[CW_Group1]),1,1),"_src!$A$1"))</f>
        <v>_src!$A$1</v>
      </c>
      <c r="Z19" s="18" t="str">
        <f>IF($G19="BW",ADDRESS(ROW(INDEX(Tbl_BW_G2[BW_Group2],1)),COLUMN(Tbl_BW_G2[BW_Group2]),1,1,"DV")&amp;":"&amp;ADDRESS(ROW(INDEX(Tbl_BW_G2[BW_Group2],1))+ROWS(Tbl_BW_G2[BW_Group2])-1,COLUMN(Tbl_BW_G2[BW_Group2]),1,1),IF($G19="CW",ADDRESS(ROW(INDEX(Tbl_CW_G2[CW_Group2],1)),COLUMN(Tbl_CW_G2[CW_Group2]),1,1,"DV")&amp;":"&amp;ADDRESS(ROW(INDEX(Tbl_CW_G2[CW_Group2],1))+ROWS(Tbl_CW_G2[CW_Group2])-1,COLUMN(Tbl_CW_G2[CW_Group2]),1,1),"_src!$A$1"))</f>
        <v>_src!$A$1</v>
      </c>
      <c r="AA19" s="18" t="str">
        <f t="shared" si="10"/>
        <v>_src!$B$2</v>
      </c>
      <c r="AB19" s="18" t="str">
        <f t="shared" si="11"/>
        <v>_src!$C$2</v>
      </c>
    </row>
    <row r="20" spans="1:28" x14ac:dyDescent="0.25">
      <c r="A20" s="19">
        <v>5</v>
      </c>
      <c r="B20" s="20"/>
      <c r="C20" s="21" t="str">
        <f t="shared" si="0"/>
        <v/>
      </c>
      <c r="D20" s="22"/>
      <c r="E20" s="21" t="str">
        <f t="shared" si="1"/>
        <v/>
      </c>
      <c r="F20" s="20"/>
      <c r="G20" s="21" t="str">
        <f t="shared" si="2"/>
        <v/>
      </c>
      <c r="H20" s="20"/>
      <c r="I20" s="21" t="str">
        <f t="shared" si="3"/>
        <v/>
      </c>
      <c r="J20" s="21" t="str">
        <f t="shared" si="4"/>
        <v/>
      </c>
      <c r="K20" s="20"/>
      <c r="L20" s="21" t="str">
        <f t="shared" si="5"/>
        <v/>
      </c>
      <c r="M20" s="20"/>
      <c r="N20" s="21" t="str">
        <f t="shared" si="6"/>
        <v/>
      </c>
      <c r="O20" s="20"/>
      <c r="P20" s="23"/>
      <c r="Q20" s="21" t="str">
        <f t="shared" si="7"/>
        <v/>
      </c>
      <c r="R20" s="20"/>
      <c r="S20" s="22"/>
      <c r="T20" s="22"/>
      <c r="U20" s="22"/>
      <c r="V20" s="24"/>
      <c r="W20" s="21" t="str">
        <f t="shared" si="8"/>
        <v/>
      </c>
      <c r="X20" s="25" t="str">
        <f t="shared" si="9"/>
        <v/>
      </c>
      <c r="Y20" s="18" t="str">
        <f>IF($G20="BW",ADDRESS(ROW(INDEX(Tbl_BW_G1[BW_Group1],1)),COLUMN(Tbl_BW_G1[BW_Group1]),1,1,"DV")&amp;":"&amp;ADDRESS(ROW(INDEX(Tbl_BW_G1[BW_Group1],1))+ROWS(Tbl_BW_G1[BW_Group1])-1,COLUMN(Tbl_BW_G1[BW_Group1]),1,1),IF($G20="CW",ADDRESS(ROW(INDEX(Tbl_CW_G1[CW_Group1],1)),COLUMN(Tbl_CW_G1[CW_Group1]),1,1,"DV")&amp;":"&amp;ADDRESS(ROW(INDEX(Tbl_CW_G1[CW_Group1],1))+ROWS(Tbl_CW_G1[CW_Group1])-1,COLUMN(Tbl_CW_G1[CW_Group1]),1,1),"_src!$A$1"))</f>
        <v>_src!$A$1</v>
      </c>
      <c r="Z20" s="18" t="str">
        <f>IF($G20="BW",ADDRESS(ROW(INDEX(Tbl_BW_G2[BW_Group2],1)),COLUMN(Tbl_BW_G2[BW_Group2]),1,1,"DV")&amp;":"&amp;ADDRESS(ROW(INDEX(Tbl_BW_G2[BW_Group2],1))+ROWS(Tbl_BW_G2[BW_Group2])-1,COLUMN(Tbl_BW_G2[BW_Group2]),1,1),IF($G20="CW",ADDRESS(ROW(INDEX(Tbl_CW_G2[CW_Group2],1)),COLUMN(Tbl_CW_G2[CW_Group2]),1,1,"DV")&amp;":"&amp;ADDRESS(ROW(INDEX(Tbl_CW_G2[CW_Group2],1))+ROWS(Tbl_CW_G2[CW_Group2])-1,COLUMN(Tbl_CW_G2[CW_Group2]),1,1),"_src!$A$1"))</f>
        <v>_src!$A$1</v>
      </c>
      <c r="AA20" s="18" t="str">
        <f t="shared" si="10"/>
        <v>_src!$B$2</v>
      </c>
      <c r="AB20" s="18" t="str">
        <f t="shared" si="11"/>
        <v>_src!$C$2</v>
      </c>
    </row>
    <row r="21" spans="1:28" x14ac:dyDescent="0.25">
      <c r="A21" s="19">
        <v>6</v>
      </c>
      <c r="B21" s="20"/>
      <c r="C21" s="21" t="str">
        <f t="shared" si="0"/>
        <v/>
      </c>
      <c r="D21" s="22"/>
      <c r="E21" s="21" t="str">
        <f t="shared" si="1"/>
        <v/>
      </c>
      <c r="F21" s="20"/>
      <c r="G21" s="21" t="str">
        <f t="shared" si="2"/>
        <v/>
      </c>
      <c r="H21" s="20"/>
      <c r="I21" s="21" t="str">
        <f t="shared" si="3"/>
        <v/>
      </c>
      <c r="J21" s="21" t="str">
        <f t="shared" si="4"/>
        <v/>
      </c>
      <c r="K21" s="20"/>
      <c r="L21" s="21" t="str">
        <f t="shared" si="5"/>
        <v/>
      </c>
      <c r="M21" s="20"/>
      <c r="N21" s="21" t="str">
        <f t="shared" si="6"/>
        <v/>
      </c>
      <c r="O21" s="20"/>
      <c r="P21" s="23"/>
      <c r="Q21" s="21" t="str">
        <f t="shared" si="7"/>
        <v/>
      </c>
      <c r="R21" s="20"/>
      <c r="S21" s="22"/>
      <c r="T21" s="22"/>
      <c r="U21" s="22"/>
      <c r="V21" s="24"/>
      <c r="W21" s="21" t="str">
        <f t="shared" si="8"/>
        <v/>
      </c>
      <c r="X21" s="25" t="str">
        <f t="shared" si="9"/>
        <v/>
      </c>
      <c r="Y21" s="18" t="str">
        <f>IF($G21="BW",ADDRESS(ROW(INDEX(Tbl_BW_G1[BW_Group1],1)),COLUMN(Tbl_BW_G1[BW_Group1]),1,1,"DV")&amp;":"&amp;ADDRESS(ROW(INDEX(Tbl_BW_G1[BW_Group1],1))+ROWS(Tbl_BW_G1[BW_Group1])-1,COLUMN(Tbl_BW_G1[BW_Group1]),1,1),IF($G21="CW",ADDRESS(ROW(INDEX(Tbl_CW_G1[CW_Group1],1)),COLUMN(Tbl_CW_G1[CW_Group1]),1,1,"DV")&amp;":"&amp;ADDRESS(ROW(INDEX(Tbl_CW_G1[CW_Group1],1))+ROWS(Tbl_CW_G1[CW_Group1])-1,COLUMN(Tbl_CW_G1[CW_Group1]),1,1),"_src!$A$1"))</f>
        <v>_src!$A$1</v>
      </c>
      <c r="Z21" s="18" t="str">
        <f>IF($G21="BW",ADDRESS(ROW(INDEX(Tbl_BW_G2[BW_Group2],1)),COLUMN(Tbl_BW_G2[BW_Group2]),1,1,"DV")&amp;":"&amp;ADDRESS(ROW(INDEX(Tbl_BW_G2[BW_Group2],1))+ROWS(Tbl_BW_G2[BW_Group2])-1,COLUMN(Tbl_BW_G2[BW_Group2]),1,1),IF($G21="CW",ADDRESS(ROW(INDEX(Tbl_CW_G2[CW_Group2],1)),COLUMN(Tbl_CW_G2[CW_Group2]),1,1,"DV")&amp;":"&amp;ADDRESS(ROW(INDEX(Tbl_CW_G2[CW_Group2],1))+ROWS(Tbl_CW_G2[CW_Group2])-1,COLUMN(Tbl_CW_G2[CW_Group2]),1,1),"_src!$A$1"))</f>
        <v>_src!$A$1</v>
      </c>
      <c r="AA21" s="18" t="str">
        <f t="shared" si="10"/>
        <v>_src!$B$2</v>
      </c>
      <c r="AB21" s="18" t="str">
        <f t="shared" si="11"/>
        <v>_src!$C$2</v>
      </c>
    </row>
    <row r="22" spans="1:28" x14ac:dyDescent="0.25">
      <c r="A22" s="19">
        <v>7</v>
      </c>
      <c r="B22" s="20"/>
      <c r="C22" s="21" t="str">
        <f t="shared" si="0"/>
        <v/>
      </c>
      <c r="D22" s="22"/>
      <c r="E22" s="21" t="str">
        <f t="shared" si="1"/>
        <v/>
      </c>
      <c r="F22" s="20"/>
      <c r="G22" s="21" t="str">
        <f t="shared" si="2"/>
        <v/>
      </c>
      <c r="H22" s="20"/>
      <c r="I22" s="21" t="str">
        <f t="shared" si="3"/>
        <v/>
      </c>
      <c r="J22" s="21" t="str">
        <f t="shared" si="4"/>
        <v/>
      </c>
      <c r="K22" s="20"/>
      <c r="L22" s="21" t="str">
        <f t="shared" si="5"/>
        <v/>
      </c>
      <c r="M22" s="20"/>
      <c r="N22" s="21" t="str">
        <f t="shared" si="6"/>
        <v/>
      </c>
      <c r="O22" s="20"/>
      <c r="P22" s="23"/>
      <c r="Q22" s="21" t="str">
        <f t="shared" si="7"/>
        <v/>
      </c>
      <c r="R22" s="20"/>
      <c r="S22" s="22"/>
      <c r="T22" s="22"/>
      <c r="U22" s="22"/>
      <c r="V22" s="24"/>
      <c r="W22" s="21" t="str">
        <f t="shared" si="8"/>
        <v/>
      </c>
      <c r="X22" s="25" t="str">
        <f t="shared" si="9"/>
        <v/>
      </c>
      <c r="Y22" s="18" t="str">
        <f>IF($G22="BW",ADDRESS(ROW(INDEX(Tbl_BW_G1[BW_Group1],1)),COLUMN(Tbl_BW_G1[BW_Group1]),1,1,"DV")&amp;":"&amp;ADDRESS(ROW(INDEX(Tbl_BW_G1[BW_Group1],1))+ROWS(Tbl_BW_G1[BW_Group1])-1,COLUMN(Tbl_BW_G1[BW_Group1]),1,1),IF($G22="CW",ADDRESS(ROW(INDEX(Tbl_CW_G1[CW_Group1],1)),COLUMN(Tbl_CW_G1[CW_Group1]),1,1,"DV")&amp;":"&amp;ADDRESS(ROW(INDEX(Tbl_CW_G1[CW_Group1],1))+ROWS(Tbl_CW_G1[CW_Group1])-1,COLUMN(Tbl_CW_G1[CW_Group1]),1,1),"_src!$A$1"))</f>
        <v>_src!$A$1</v>
      </c>
      <c r="Z22" s="18" t="str">
        <f>IF($G22="BW",ADDRESS(ROW(INDEX(Tbl_BW_G2[BW_Group2],1)),COLUMN(Tbl_BW_G2[BW_Group2]),1,1,"DV")&amp;":"&amp;ADDRESS(ROW(INDEX(Tbl_BW_G2[BW_Group2],1))+ROWS(Tbl_BW_G2[BW_Group2])-1,COLUMN(Tbl_BW_G2[BW_Group2]),1,1),IF($G22="CW",ADDRESS(ROW(INDEX(Tbl_CW_G2[CW_Group2],1)),COLUMN(Tbl_CW_G2[CW_Group2]),1,1,"DV")&amp;":"&amp;ADDRESS(ROW(INDEX(Tbl_CW_G2[CW_Group2],1))+ROWS(Tbl_CW_G2[CW_Group2])-1,COLUMN(Tbl_CW_G2[CW_Group2]),1,1),"_src!$A$1"))</f>
        <v>_src!$A$1</v>
      </c>
      <c r="AA22" s="18" t="str">
        <f t="shared" si="10"/>
        <v>_src!$B$2</v>
      </c>
      <c r="AB22" s="18" t="str">
        <f t="shared" si="11"/>
        <v>_src!$C$2</v>
      </c>
    </row>
    <row r="23" spans="1:28" x14ac:dyDescent="0.25">
      <c r="A23" s="19">
        <v>8</v>
      </c>
      <c r="B23" s="20"/>
      <c r="C23" s="21" t="str">
        <f t="shared" si="0"/>
        <v/>
      </c>
      <c r="D23" s="22"/>
      <c r="E23" s="21" t="str">
        <f t="shared" si="1"/>
        <v/>
      </c>
      <c r="F23" s="20"/>
      <c r="G23" s="21" t="str">
        <f t="shared" si="2"/>
        <v/>
      </c>
      <c r="H23" s="20"/>
      <c r="I23" s="21" t="str">
        <f t="shared" si="3"/>
        <v/>
      </c>
      <c r="J23" s="21" t="str">
        <f t="shared" si="4"/>
        <v/>
      </c>
      <c r="K23" s="20"/>
      <c r="L23" s="21" t="str">
        <f t="shared" si="5"/>
        <v/>
      </c>
      <c r="M23" s="20"/>
      <c r="N23" s="21" t="str">
        <f t="shared" si="6"/>
        <v/>
      </c>
      <c r="O23" s="20"/>
      <c r="P23" s="23"/>
      <c r="Q23" s="21" t="str">
        <f t="shared" si="7"/>
        <v/>
      </c>
      <c r="R23" s="20"/>
      <c r="S23" s="22"/>
      <c r="T23" s="22"/>
      <c r="U23" s="22"/>
      <c r="V23" s="24"/>
      <c r="W23" s="21" t="str">
        <f t="shared" si="8"/>
        <v/>
      </c>
      <c r="X23" s="25" t="str">
        <f t="shared" si="9"/>
        <v/>
      </c>
      <c r="Y23" s="18" t="str">
        <f>IF($G23="BW",ADDRESS(ROW(INDEX(Tbl_BW_G1[BW_Group1],1)),COLUMN(Tbl_BW_G1[BW_Group1]),1,1,"DV")&amp;":"&amp;ADDRESS(ROW(INDEX(Tbl_BW_G1[BW_Group1],1))+ROWS(Tbl_BW_G1[BW_Group1])-1,COLUMN(Tbl_BW_G1[BW_Group1]),1,1),IF($G23="CW",ADDRESS(ROW(INDEX(Tbl_CW_G1[CW_Group1],1)),COLUMN(Tbl_CW_G1[CW_Group1]),1,1,"DV")&amp;":"&amp;ADDRESS(ROW(INDEX(Tbl_CW_G1[CW_Group1],1))+ROWS(Tbl_CW_G1[CW_Group1])-1,COLUMN(Tbl_CW_G1[CW_Group1]),1,1),"_src!$A$1"))</f>
        <v>_src!$A$1</v>
      </c>
      <c r="Z23" s="18" t="str">
        <f>IF($G23="BW",ADDRESS(ROW(INDEX(Tbl_BW_G2[BW_Group2],1)),COLUMN(Tbl_BW_G2[BW_Group2]),1,1,"DV")&amp;":"&amp;ADDRESS(ROW(INDEX(Tbl_BW_G2[BW_Group2],1))+ROWS(Tbl_BW_G2[BW_Group2])-1,COLUMN(Tbl_BW_G2[BW_Group2]),1,1),IF($G23="CW",ADDRESS(ROW(INDEX(Tbl_CW_G2[CW_Group2],1)),COLUMN(Tbl_CW_G2[CW_Group2]),1,1,"DV")&amp;":"&amp;ADDRESS(ROW(INDEX(Tbl_CW_G2[CW_Group2],1))+ROWS(Tbl_CW_G2[CW_Group2])-1,COLUMN(Tbl_CW_G2[CW_Group2]),1,1),"_src!$A$1"))</f>
        <v>_src!$A$1</v>
      </c>
      <c r="AA23" s="18" t="str">
        <f t="shared" si="10"/>
        <v>_src!$B$2</v>
      </c>
      <c r="AB23" s="18" t="str">
        <f t="shared" si="11"/>
        <v>_src!$C$2</v>
      </c>
    </row>
    <row r="24" spans="1:28" x14ac:dyDescent="0.25">
      <c r="A24" s="19">
        <v>9</v>
      </c>
      <c r="B24" s="20"/>
      <c r="C24" s="21" t="str">
        <f t="shared" si="0"/>
        <v/>
      </c>
      <c r="D24" s="22"/>
      <c r="E24" s="21" t="str">
        <f t="shared" si="1"/>
        <v/>
      </c>
      <c r="F24" s="20"/>
      <c r="G24" s="21" t="str">
        <f t="shared" si="2"/>
        <v/>
      </c>
      <c r="H24" s="20"/>
      <c r="I24" s="21" t="str">
        <f t="shared" si="3"/>
        <v/>
      </c>
      <c r="J24" s="21" t="str">
        <f t="shared" si="4"/>
        <v/>
      </c>
      <c r="K24" s="20"/>
      <c r="L24" s="21" t="str">
        <f t="shared" si="5"/>
        <v/>
      </c>
      <c r="M24" s="20"/>
      <c r="N24" s="21" t="str">
        <f t="shared" si="6"/>
        <v/>
      </c>
      <c r="O24" s="20"/>
      <c r="P24" s="23"/>
      <c r="Q24" s="21" t="str">
        <f t="shared" si="7"/>
        <v/>
      </c>
      <c r="R24" s="20"/>
      <c r="S24" s="22"/>
      <c r="T24" s="22"/>
      <c r="U24" s="22"/>
      <c r="V24" s="24"/>
      <c r="W24" s="21" t="str">
        <f t="shared" si="8"/>
        <v/>
      </c>
      <c r="X24" s="25" t="str">
        <f t="shared" si="9"/>
        <v/>
      </c>
      <c r="Y24" s="18" t="str">
        <f>IF($G24="BW",ADDRESS(ROW(INDEX(Tbl_BW_G1[BW_Group1],1)),COLUMN(Tbl_BW_G1[BW_Group1]),1,1,"DV")&amp;":"&amp;ADDRESS(ROW(INDEX(Tbl_BW_G1[BW_Group1],1))+ROWS(Tbl_BW_G1[BW_Group1])-1,COLUMN(Tbl_BW_G1[BW_Group1]),1,1),IF($G24="CW",ADDRESS(ROW(INDEX(Tbl_CW_G1[CW_Group1],1)),COLUMN(Tbl_CW_G1[CW_Group1]),1,1,"DV")&amp;":"&amp;ADDRESS(ROW(INDEX(Tbl_CW_G1[CW_Group1],1))+ROWS(Tbl_CW_G1[CW_Group1])-1,COLUMN(Tbl_CW_G1[CW_Group1]),1,1),"_src!$A$1"))</f>
        <v>_src!$A$1</v>
      </c>
      <c r="Z24" s="18" t="str">
        <f>IF($G24="BW",ADDRESS(ROW(INDEX(Tbl_BW_G2[BW_Group2],1)),COLUMN(Tbl_BW_G2[BW_Group2]),1,1,"DV")&amp;":"&amp;ADDRESS(ROW(INDEX(Tbl_BW_G2[BW_Group2],1))+ROWS(Tbl_BW_G2[BW_Group2])-1,COLUMN(Tbl_BW_G2[BW_Group2]),1,1),IF($G24="CW",ADDRESS(ROW(INDEX(Tbl_CW_G2[CW_Group2],1)),COLUMN(Tbl_CW_G2[CW_Group2]),1,1,"DV")&amp;":"&amp;ADDRESS(ROW(INDEX(Tbl_CW_G2[CW_Group2],1))+ROWS(Tbl_CW_G2[CW_Group2])-1,COLUMN(Tbl_CW_G2[CW_Group2]),1,1),"_src!$A$1"))</f>
        <v>_src!$A$1</v>
      </c>
      <c r="AA24" s="18" t="str">
        <f t="shared" si="10"/>
        <v>_src!$B$2</v>
      </c>
      <c r="AB24" s="18" t="str">
        <f t="shared" si="11"/>
        <v>_src!$C$2</v>
      </c>
    </row>
    <row r="25" spans="1:28" x14ac:dyDescent="0.25">
      <c r="A25" s="19">
        <v>10</v>
      </c>
      <c r="B25" s="20"/>
      <c r="C25" s="21" t="str">
        <f t="shared" si="0"/>
        <v/>
      </c>
      <c r="D25" s="22"/>
      <c r="E25" s="21" t="str">
        <f t="shared" si="1"/>
        <v/>
      </c>
      <c r="F25" s="20"/>
      <c r="G25" s="21" t="str">
        <f t="shared" si="2"/>
        <v/>
      </c>
      <c r="H25" s="20"/>
      <c r="I25" s="21" t="str">
        <f t="shared" si="3"/>
        <v/>
      </c>
      <c r="J25" s="21" t="str">
        <f t="shared" si="4"/>
        <v/>
      </c>
      <c r="K25" s="20"/>
      <c r="L25" s="21" t="str">
        <f t="shared" si="5"/>
        <v/>
      </c>
      <c r="M25" s="20"/>
      <c r="N25" s="21" t="str">
        <f t="shared" si="6"/>
        <v/>
      </c>
      <c r="O25" s="20"/>
      <c r="P25" s="23"/>
      <c r="Q25" s="21" t="str">
        <f t="shared" si="7"/>
        <v/>
      </c>
      <c r="R25" s="20"/>
      <c r="S25" s="22"/>
      <c r="T25" s="22"/>
      <c r="U25" s="22"/>
      <c r="V25" s="24"/>
      <c r="W25" s="21" t="str">
        <f t="shared" si="8"/>
        <v/>
      </c>
      <c r="X25" s="25" t="str">
        <f t="shared" si="9"/>
        <v/>
      </c>
      <c r="Y25" s="18" t="str">
        <f>IF($G25="BW",ADDRESS(ROW(INDEX(Tbl_BW_G1[BW_Group1],1)),COLUMN(Tbl_BW_G1[BW_Group1]),1,1,"DV")&amp;":"&amp;ADDRESS(ROW(INDEX(Tbl_BW_G1[BW_Group1],1))+ROWS(Tbl_BW_G1[BW_Group1])-1,COLUMN(Tbl_BW_G1[BW_Group1]),1,1),IF($G25="CW",ADDRESS(ROW(INDEX(Tbl_CW_G1[CW_Group1],1)),COLUMN(Tbl_CW_G1[CW_Group1]),1,1,"DV")&amp;":"&amp;ADDRESS(ROW(INDEX(Tbl_CW_G1[CW_Group1],1))+ROWS(Tbl_CW_G1[CW_Group1])-1,COLUMN(Tbl_CW_G1[CW_Group1]),1,1),"_src!$A$1"))</f>
        <v>_src!$A$1</v>
      </c>
      <c r="Z25" s="18" t="str">
        <f>IF($G25="BW",ADDRESS(ROW(INDEX(Tbl_BW_G2[BW_Group2],1)),COLUMN(Tbl_BW_G2[BW_Group2]),1,1,"DV")&amp;":"&amp;ADDRESS(ROW(INDEX(Tbl_BW_G2[BW_Group2],1))+ROWS(Tbl_BW_G2[BW_Group2])-1,COLUMN(Tbl_BW_G2[BW_Group2]),1,1),IF($G25="CW",ADDRESS(ROW(INDEX(Tbl_CW_G2[CW_Group2],1)),COLUMN(Tbl_CW_G2[CW_Group2]),1,1,"DV")&amp;":"&amp;ADDRESS(ROW(INDEX(Tbl_CW_G2[CW_Group2],1))+ROWS(Tbl_CW_G2[CW_Group2])-1,COLUMN(Tbl_CW_G2[CW_Group2]),1,1),"_src!$A$1"))</f>
        <v>_src!$A$1</v>
      </c>
      <c r="AA25" s="18" t="str">
        <f t="shared" si="10"/>
        <v>_src!$B$2</v>
      </c>
      <c r="AB25" s="18" t="str">
        <f t="shared" si="11"/>
        <v>_src!$C$2</v>
      </c>
    </row>
    <row r="26" spans="1:28" x14ac:dyDescent="0.25">
      <c r="A26" s="19">
        <v>11</v>
      </c>
      <c r="B26" s="20"/>
      <c r="C26" s="21" t="str">
        <f t="shared" si="0"/>
        <v/>
      </c>
      <c r="D26" s="22"/>
      <c r="E26" s="21" t="str">
        <f t="shared" si="1"/>
        <v/>
      </c>
      <c r="F26" s="20"/>
      <c r="G26" s="21" t="str">
        <f t="shared" si="2"/>
        <v/>
      </c>
      <c r="H26" s="20"/>
      <c r="I26" s="21" t="str">
        <f t="shared" si="3"/>
        <v/>
      </c>
      <c r="J26" s="21" t="str">
        <f t="shared" si="4"/>
        <v/>
      </c>
      <c r="K26" s="20"/>
      <c r="L26" s="21" t="str">
        <f t="shared" si="5"/>
        <v/>
      </c>
      <c r="M26" s="20"/>
      <c r="N26" s="21" t="str">
        <f t="shared" si="6"/>
        <v/>
      </c>
      <c r="O26" s="20"/>
      <c r="P26" s="23"/>
      <c r="Q26" s="21" t="str">
        <f t="shared" si="7"/>
        <v/>
      </c>
      <c r="R26" s="20"/>
      <c r="S26" s="22"/>
      <c r="T26" s="22"/>
      <c r="U26" s="22"/>
      <c r="V26" s="24"/>
      <c r="W26" s="21" t="str">
        <f t="shared" si="8"/>
        <v/>
      </c>
      <c r="X26" s="25" t="str">
        <f t="shared" si="9"/>
        <v/>
      </c>
      <c r="Y26" s="18" t="str">
        <f>IF($G26="BW",ADDRESS(ROW(INDEX(Tbl_BW_G1[BW_Group1],1)),COLUMN(Tbl_BW_G1[BW_Group1]),1,1,"DV")&amp;":"&amp;ADDRESS(ROW(INDEX(Tbl_BW_G1[BW_Group1],1))+ROWS(Tbl_BW_G1[BW_Group1])-1,COLUMN(Tbl_BW_G1[BW_Group1]),1,1),IF($G26="CW",ADDRESS(ROW(INDEX(Tbl_CW_G1[CW_Group1],1)),COLUMN(Tbl_CW_G1[CW_Group1]),1,1,"DV")&amp;":"&amp;ADDRESS(ROW(INDEX(Tbl_CW_G1[CW_Group1],1))+ROWS(Tbl_CW_G1[CW_Group1])-1,COLUMN(Tbl_CW_G1[CW_Group1]),1,1),"_src!$A$1"))</f>
        <v>_src!$A$1</v>
      </c>
      <c r="Z26" s="18" t="str">
        <f>IF($G26="BW",ADDRESS(ROW(INDEX(Tbl_BW_G2[BW_Group2],1)),COLUMN(Tbl_BW_G2[BW_Group2]),1,1,"DV")&amp;":"&amp;ADDRESS(ROW(INDEX(Tbl_BW_G2[BW_Group2],1))+ROWS(Tbl_BW_G2[BW_Group2])-1,COLUMN(Tbl_BW_G2[BW_Group2]),1,1),IF($G26="CW",ADDRESS(ROW(INDEX(Tbl_CW_G2[CW_Group2],1)),COLUMN(Tbl_CW_G2[CW_Group2]),1,1,"DV")&amp;":"&amp;ADDRESS(ROW(INDEX(Tbl_CW_G2[CW_Group2],1))+ROWS(Tbl_CW_G2[CW_Group2])-1,COLUMN(Tbl_CW_G2[CW_Group2]),1,1),"_src!$A$1"))</f>
        <v>_src!$A$1</v>
      </c>
      <c r="AA26" s="18" t="str">
        <f t="shared" si="10"/>
        <v>_src!$B$2</v>
      </c>
      <c r="AB26" s="18" t="str">
        <f t="shared" si="11"/>
        <v>_src!$C$2</v>
      </c>
    </row>
    <row r="27" spans="1:28" x14ac:dyDescent="0.25">
      <c r="A27" s="19">
        <v>12</v>
      </c>
      <c r="B27" s="20"/>
      <c r="C27" s="21" t="str">
        <f t="shared" si="0"/>
        <v/>
      </c>
      <c r="D27" s="22"/>
      <c r="E27" s="21" t="str">
        <f t="shared" si="1"/>
        <v/>
      </c>
      <c r="F27" s="20"/>
      <c r="G27" s="21" t="str">
        <f t="shared" si="2"/>
        <v/>
      </c>
      <c r="H27" s="20"/>
      <c r="I27" s="21" t="str">
        <f t="shared" si="3"/>
        <v/>
      </c>
      <c r="J27" s="21" t="str">
        <f t="shared" si="4"/>
        <v/>
      </c>
      <c r="K27" s="20"/>
      <c r="L27" s="21" t="str">
        <f t="shared" si="5"/>
        <v/>
      </c>
      <c r="M27" s="20"/>
      <c r="N27" s="21" t="str">
        <f t="shared" si="6"/>
        <v/>
      </c>
      <c r="O27" s="20"/>
      <c r="P27" s="23"/>
      <c r="Q27" s="21" t="str">
        <f t="shared" si="7"/>
        <v/>
      </c>
      <c r="R27" s="20"/>
      <c r="S27" s="22"/>
      <c r="T27" s="22"/>
      <c r="U27" s="22"/>
      <c r="V27" s="24"/>
      <c r="W27" s="21" t="str">
        <f t="shared" si="8"/>
        <v/>
      </c>
      <c r="X27" s="25" t="str">
        <f t="shared" si="9"/>
        <v/>
      </c>
      <c r="Y27" s="18" t="str">
        <f>IF($G27="BW",ADDRESS(ROW(INDEX(Tbl_BW_G1[BW_Group1],1)),COLUMN(Tbl_BW_G1[BW_Group1]),1,1,"DV")&amp;":"&amp;ADDRESS(ROW(INDEX(Tbl_BW_G1[BW_Group1],1))+ROWS(Tbl_BW_G1[BW_Group1])-1,COLUMN(Tbl_BW_G1[BW_Group1]),1,1),IF($G27="CW",ADDRESS(ROW(INDEX(Tbl_CW_G1[CW_Group1],1)),COLUMN(Tbl_CW_G1[CW_Group1]),1,1,"DV")&amp;":"&amp;ADDRESS(ROW(INDEX(Tbl_CW_G1[CW_Group1],1))+ROWS(Tbl_CW_G1[CW_Group1])-1,COLUMN(Tbl_CW_G1[CW_Group1]),1,1),"_src!$A$1"))</f>
        <v>_src!$A$1</v>
      </c>
      <c r="Z27" s="18" t="str">
        <f>IF($G27="BW",ADDRESS(ROW(INDEX(Tbl_BW_G2[BW_Group2],1)),COLUMN(Tbl_BW_G2[BW_Group2]),1,1,"DV")&amp;":"&amp;ADDRESS(ROW(INDEX(Tbl_BW_G2[BW_Group2],1))+ROWS(Tbl_BW_G2[BW_Group2])-1,COLUMN(Tbl_BW_G2[BW_Group2]),1,1),IF($G27="CW",ADDRESS(ROW(INDEX(Tbl_CW_G2[CW_Group2],1)),COLUMN(Tbl_CW_G2[CW_Group2]),1,1,"DV")&amp;":"&amp;ADDRESS(ROW(INDEX(Tbl_CW_G2[CW_Group2],1))+ROWS(Tbl_CW_G2[CW_Group2])-1,COLUMN(Tbl_CW_G2[CW_Group2]),1,1),"_src!$A$1"))</f>
        <v>_src!$A$1</v>
      </c>
      <c r="AA27" s="18" t="str">
        <f t="shared" si="10"/>
        <v>_src!$B$2</v>
      </c>
      <c r="AB27" s="18" t="str">
        <f t="shared" si="11"/>
        <v>_src!$C$2</v>
      </c>
    </row>
    <row r="28" spans="1:28" x14ac:dyDescent="0.25">
      <c r="A28" s="19">
        <v>13</v>
      </c>
      <c r="B28" s="20"/>
      <c r="C28" s="21" t="str">
        <f t="shared" si="0"/>
        <v/>
      </c>
      <c r="D28" s="22"/>
      <c r="E28" s="21" t="str">
        <f t="shared" si="1"/>
        <v/>
      </c>
      <c r="F28" s="20"/>
      <c r="G28" s="21" t="str">
        <f t="shared" si="2"/>
        <v/>
      </c>
      <c r="H28" s="20"/>
      <c r="I28" s="21" t="str">
        <f t="shared" si="3"/>
        <v/>
      </c>
      <c r="J28" s="21" t="str">
        <f t="shared" si="4"/>
        <v/>
      </c>
      <c r="K28" s="20"/>
      <c r="L28" s="21" t="str">
        <f t="shared" si="5"/>
        <v/>
      </c>
      <c r="M28" s="20"/>
      <c r="N28" s="21" t="str">
        <f t="shared" si="6"/>
        <v/>
      </c>
      <c r="O28" s="20"/>
      <c r="P28" s="23"/>
      <c r="Q28" s="21" t="str">
        <f t="shared" si="7"/>
        <v/>
      </c>
      <c r="R28" s="20"/>
      <c r="S28" s="22"/>
      <c r="T28" s="22"/>
      <c r="U28" s="22"/>
      <c r="V28" s="24"/>
      <c r="W28" s="21" t="str">
        <f t="shared" si="8"/>
        <v/>
      </c>
      <c r="X28" s="25" t="str">
        <f t="shared" si="9"/>
        <v/>
      </c>
      <c r="Y28" s="18" t="str">
        <f>IF($G28="BW",ADDRESS(ROW(INDEX(Tbl_BW_G1[BW_Group1],1)),COLUMN(Tbl_BW_G1[BW_Group1]),1,1,"DV")&amp;":"&amp;ADDRESS(ROW(INDEX(Tbl_BW_G1[BW_Group1],1))+ROWS(Tbl_BW_G1[BW_Group1])-1,COLUMN(Tbl_BW_G1[BW_Group1]),1,1),IF($G28="CW",ADDRESS(ROW(INDEX(Tbl_CW_G1[CW_Group1],1)),COLUMN(Tbl_CW_G1[CW_Group1]),1,1,"DV")&amp;":"&amp;ADDRESS(ROW(INDEX(Tbl_CW_G1[CW_Group1],1))+ROWS(Tbl_CW_G1[CW_Group1])-1,COLUMN(Tbl_CW_G1[CW_Group1]),1,1),"_src!$A$1"))</f>
        <v>_src!$A$1</v>
      </c>
      <c r="Z28" s="18" t="str">
        <f>IF($G28="BW",ADDRESS(ROW(INDEX(Tbl_BW_G2[BW_Group2],1)),COLUMN(Tbl_BW_G2[BW_Group2]),1,1,"DV")&amp;":"&amp;ADDRESS(ROW(INDEX(Tbl_BW_G2[BW_Group2],1))+ROWS(Tbl_BW_G2[BW_Group2])-1,COLUMN(Tbl_BW_G2[BW_Group2]),1,1),IF($G28="CW",ADDRESS(ROW(INDEX(Tbl_CW_G2[CW_Group2],1)),COLUMN(Tbl_CW_G2[CW_Group2]),1,1,"DV")&amp;":"&amp;ADDRESS(ROW(INDEX(Tbl_CW_G2[CW_Group2],1))+ROWS(Tbl_CW_G2[CW_Group2])-1,COLUMN(Tbl_CW_G2[CW_Group2]),1,1),"_src!$A$1"))</f>
        <v>_src!$A$1</v>
      </c>
      <c r="AA28" s="18" t="str">
        <f t="shared" si="10"/>
        <v>_src!$B$2</v>
      </c>
      <c r="AB28" s="18" t="str">
        <f t="shared" si="11"/>
        <v>_src!$C$2</v>
      </c>
    </row>
    <row r="29" spans="1:28" x14ac:dyDescent="0.25">
      <c r="A29" s="19">
        <v>14</v>
      </c>
      <c r="B29" s="20"/>
      <c r="C29" s="21" t="str">
        <f t="shared" si="0"/>
        <v/>
      </c>
      <c r="D29" s="22"/>
      <c r="E29" s="21" t="str">
        <f t="shared" si="1"/>
        <v/>
      </c>
      <c r="F29" s="20"/>
      <c r="G29" s="21" t="str">
        <f t="shared" si="2"/>
        <v/>
      </c>
      <c r="H29" s="20"/>
      <c r="I29" s="21" t="str">
        <f t="shared" si="3"/>
        <v/>
      </c>
      <c r="J29" s="21" t="str">
        <f t="shared" si="4"/>
        <v/>
      </c>
      <c r="K29" s="20"/>
      <c r="L29" s="21" t="str">
        <f t="shared" si="5"/>
        <v/>
      </c>
      <c r="M29" s="20"/>
      <c r="N29" s="21" t="str">
        <f t="shared" si="6"/>
        <v/>
      </c>
      <c r="O29" s="20"/>
      <c r="P29" s="23"/>
      <c r="Q29" s="21" t="str">
        <f t="shared" si="7"/>
        <v/>
      </c>
      <c r="R29" s="20"/>
      <c r="S29" s="22"/>
      <c r="T29" s="22"/>
      <c r="U29" s="22"/>
      <c r="V29" s="24"/>
      <c r="W29" s="21" t="str">
        <f t="shared" si="8"/>
        <v/>
      </c>
      <c r="X29" s="25" t="str">
        <f t="shared" si="9"/>
        <v/>
      </c>
      <c r="Y29" s="18" t="str">
        <f>IF($G29="BW",ADDRESS(ROW(INDEX(Tbl_BW_G1[BW_Group1],1)),COLUMN(Tbl_BW_G1[BW_Group1]),1,1,"DV")&amp;":"&amp;ADDRESS(ROW(INDEX(Tbl_BW_G1[BW_Group1],1))+ROWS(Tbl_BW_G1[BW_Group1])-1,COLUMN(Tbl_BW_G1[BW_Group1]),1,1),IF($G29="CW",ADDRESS(ROW(INDEX(Tbl_CW_G1[CW_Group1],1)),COLUMN(Tbl_CW_G1[CW_Group1]),1,1,"DV")&amp;":"&amp;ADDRESS(ROW(INDEX(Tbl_CW_G1[CW_Group1],1))+ROWS(Tbl_CW_G1[CW_Group1])-1,COLUMN(Tbl_CW_G1[CW_Group1]),1,1),"_src!$A$1"))</f>
        <v>_src!$A$1</v>
      </c>
      <c r="Z29" s="18" t="str">
        <f>IF($G29="BW",ADDRESS(ROW(INDEX(Tbl_BW_G2[BW_Group2],1)),COLUMN(Tbl_BW_G2[BW_Group2]),1,1,"DV")&amp;":"&amp;ADDRESS(ROW(INDEX(Tbl_BW_G2[BW_Group2],1))+ROWS(Tbl_BW_G2[BW_Group2])-1,COLUMN(Tbl_BW_G2[BW_Group2]),1,1),IF($G29="CW",ADDRESS(ROW(INDEX(Tbl_CW_G2[CW_Group2],1)),COLUMN(Tbl_CW_G2[CW_Group2]),1,1,"DV")&amp;":"&amp;ADDRESS(ROW(INDEX(Tbl_CW_G2[CW_Group2],1))+ROWS(Tbl_CW_G2[CW_Group2])-1,COLUMN(Tbl_CW_G2[CW_Group2]),1,1),"_src!$A$1"))</f>
        <v>_src!$A$1</v>
      </c>
      <c r="AA29" s="18" t="str">
        <f t="shared" si="10"/>
        <v>_src!$B$2</v>
      </c>
      <c r="AB29" s="18" t="str">
        <f t="shared" si="11"/>
        <v>_src!$C$2</v>
      </c>
    </row>
    <row r="30" spans="1:28" x14ac:dyDescent="0.25">
      <c r="A30" s="19">
        <v>15</v>
      </c>
      <c r="B30" s="20"/>
      <c r="C30" s="21" t="str">
        <f t="shared" si="0"/>
        <v/>
      </c>
      <c r="D30" s="22"/>
      <c r="E30" s="21" t="str">
        <f t="shared" si="1"/>
        <v/>
      </c>
      <c r="F30" s="20"/>
      <c r="G30" s="21" t="str">
        <f t="shared" si="2"/>
        <v/>
      </c>
      <c r="H30" s="20"/>
      <c r="I30" s="21" t="str">
        <f t="shared" si="3"/>
        <v/>
      </c>
      <c r="J30" s="21" t="str">
        <f t="shared" si="4"/>
        <v/>
      </c>
      <c r="K30" s="20"/>
      <c r="L30" s="21" t="str">
        <f t="shared" si="5"/>
        <v/>
      </c>
      <c r="M30" s="20"/>
      <c r="N30" s="21" t="str">
        <f t="shared" si="6"/>
        <v/>
      </c>
      <c r="O30" s="20"/>
      <c r="P30" s="23"/>
      <c r="Q30" s="21" t="str">
        <f t="shared" si="7"/>
        <v/>
      </c>
      <c r="R30" s="20"/>
      <c r="S30" s="22"/>
      <c r="T30" s="22"/>
      <c r="U30" s="22"/>
      <c r="V30" s="24"/>
      <c r="W30" s="21" t="str">
        <f t="shared" si="8"/>
        <v/>
      </c>
      <c r="X30" s="25" t="str">
        <f t="shared" si="9"/>
        <v/>
      </c>
      <c r="Y30" s="18" t="str">
        <f>IF($G30="BW",ADDRESS(ROW(INDEX(Tbl_BW_G1[BW_Group1],1)),COLUMN(Tbl_BW_G1[BW_Group1]),1,1,"DV")&amp;":"&amp;ADDRESS(ROW(INDEX(Tbl_BW_G1[BW_Group1],1))+ROWS(Tbl_BW_G1[BW_Group1])-1,COLUMN(Tbl_BW_G1[BW_Group1]),1,1),IF($G30="CW",ADDRESS(ROW(INDEX(Tbl_CW_G1[CW_Group1],1)),COLUMN(Tbl_CW_G1[CW_Group1]),1,1,"DV")&amp;":"&amp;ADDRESS(ROW(INDEX(Tbl_CW_G1[CW_Group1],1))+ROWS(Tbl_CW_G1[CW_Group1])-1,COLUMN(Tbl_CW_G1[CW_Group1]),1,1),"_src!$A$1"))</f>
        <v>_src!$A$1</v>
      </c>
      <c r="Z30" s="18" t="str">
        <f>IF($G30="BW",ADDRESS(ROW(INDEX(Tbl_BW_G2[BW_Group2],1)),COLUMN(Tbl_BW_G2[BW_Group2]),1,1,"DV")&amp;":"&amp;ADDRESS(ROW(INDEX(Tbl_BW_G2[BW_Group2],1))+ROWS(Tbl_BW_G2[BW_Group2])-1,COLUMN(Tbl_BW_G2[BW_Group2]),1,1),IF($G30="CW",ADDRESS(ROW(INDEX(Tbl_CW_G2[CW_Group2],1)),COLUMN(Tbl_CW_G2[CW_Group2]),1,1,"DV")&amp;":"&amp;ADDRESS(ROW(INDEX(Tbl_CW_G2[CW_Group2],1))+ROWS(Tbl_CW_G2[CW_Group2])-1,COLUMN(Tbl_CW_G2[CW_Group2]),1,1),"_src!$A$1"))</f>
        <v>_src!$A$1</v>
      </c>
      <c r="AA30" s="18" t="str">
        <f t="shared" si="10"/>
        <v>_src!$B$2</v>
      </c>
      <c r="AB30" s="18" t="str">
        <f t="shared" si="11"/>
        <v>_src!$C$2</v>
      </c>
    </row>
    <row r="33" spans="1:24" ht="21.95" customHeight="1" x14ac:dyDescent="0.25">
      <c r="A33" s="38" t="s">
        <v>836</v>
      </c>
      <c r="B33" s="39"/>
      <c r="C33" s="39"/>
      <c r="D33" s="39"/>
      <c r="E33" s="39"/>
      <c r="F33" s="39"/>
      <c r="G33" s="39"/>
      <c r="H33" s="39"/>
      <c r="I33" s="39"/>
      <c r="J33" s="39"/>
      <c r="K33" s="39"/>
      <c r="L33" s="39"/>
      <c r="M33" s="39"/>
      <c r="N33" s="39"/>
      <c r="O33" s="39"/>
      <c r="P33" s="39"/>
      <c r="Q33" s="39"/>
      <c r="R33" s="39"/>
      <c r="S33" s="39"/>
      <c r="T33" s="39"/>
      <c r="U33" s="39"/>
      <c r="V33" s="39"/>
      <c r="W33" s="39"/>
      <c r="X33" s="39"/>
    </row>
    <row r="34" spans="1:24" ht="15.95" customHeight="1" x14ac:dyDescent="0.25">
      <c r="A34" s="40" t="s">
        <v>721</v>
      </c>
      <c r="B34" s="31"/>
      <c r="C34" s="31"/>
      <c r="D34" s="31"/>
      <c r="E34" s="31"/>
      <c r="F34" s="31"/>
      <c r="G34" s="31"/>
      <c r="H34" s="31"/>
      <c r="I34" s="31"/>
      <c r="J34" s="31"/>
      <c r="K34" s="31"/>
      <c r="L34" s="31"/>
      <c r="M34" s="31"/>
      <c r="N34" s="31"/>
      <c r="O34" s="31"/>
      <c r="P34" s="31"/>
      <c r="Q34" s="31"/>
      <c r="R34" s="31"/>
      <c r="S34" s="31"/>
      <c r="T34" s="31"/>
      <c r="U34" s="31"/>
      <c r="V34" s="31"/>
      <c r="W34" s="31"/>
      <c r="X34" s="31"/>
    </row>
    <row r="36" spans="1:24" ht="18" customHeight="1" x14ac:dyDescent="0.25">
      <c r="A36" s="36" t="s">
        <v>764</v>
      </c>
      <c r="B36" s="31"/>
      <c r="C36" s="31"/>
      <c r="D36" s="31"/>
      <c r="E36" s="31"/>
      <c r="F36" s="31"/>
      <c r="G36" s="31"/>
      <c r="H36" s="31"/>
      <c r="I36" s="31"/>
      <c r="J36" s="31"/>
      <c r="K36" s="31"/>
      <c r="L36" s="31"/>
      <c r="M36" s="31"/>
      <c r="N36" s="31"/>
      <c r="O36" s="31"/>
      <c r="P36" s="31"/>
      <c r="Q36" s="31"/>
      <c r="R36" s="31"/>
      <c r="S36" s="31"/>
      <c r="T36" s="31"/>
      <c r="U36" s="31"/>
      <c r="V36" s="31"/>
      <c r="W36" s="31"/>
      <c r="X36" s="31"/>
    </row>
    <row r="37" spans="1:24" ht="21" customHeight="1" x14ac:dyDescent="0.25">
      <c r="A37" s="37" t="s">
        <v>837</v>
      </c>
      <c r="B37" s="31"/>
      <c r="C37" s="31"/>
      <c r="D37" s="31"/>
      <c r="E37" s="31"/>
      <c r="F37" s="31"/>
      <c r="G37" s="31"/>
      <c r="H37" s="31"/>
      <c r="I37" s="31"/>
      <c r="J37" s="31"/>
      <c r="K37" s="31"/>
      <c r="L37" s="31"/>
      <c r="M37" s="31"/>
      <c r="N37" s="31"/>
      <c r="O37" s="31"/>
      <c r="P37" s="31"/>
      <c r="Q37" s="31"/>
      <c r="R37" s="31"/>
      <c r="S37" s="31"/>
      <c r="T37" s="31"/>
      <c r="U37" s="31"/>
      <c r="V37" s="31"/>
      <c r="W37" s="31"/>
      <c r="X37" s="31"/>
    </row>
    <row r="38" spans="1:24" ht="6" customHeight="1" x14ac:dyDescent="0.25"/>
    <row r="39" spans="1:24" ht="18" customHeight="1" x14ac:dyDescent="0.25">
      <c r="A39" s="36" t="s">
        <v>838</v>
      </c>
      <c r="B39" s="31"/>
      <c r="C39" s="31"/>
      <c r="D39" s="31"/>
      <c r="E39" s="31"/>
      <c r="F39" s="31"/>
      <c r="G39" s="31"/>
      <c r="H39" s="31"/>
      <c r="I39" s="31"/>
      <c r="J39" s="31"/>
      <c r="K39" s="31"/>
      <c r="L39" s="31"/>
      <c r="M39" s="31"/>
      <c r="N39" s="31"/>
      <c r="O39" s="31"/>
      <c r="P39" s="31"/>
      <c r="Q39" s="31"/>
      <c r="R39" s="31"/>
      <c r="S39" s="31"/>
      <c r="T39" s="31"/>
      <c r="U39" s="31"/>
      <c r="V39" s="31"/>
      <c r="W39" s="31"/>
      <c r="X39" s="31"/>
    </row>
    <row r="40" spans="1:24" ht="21" customHeight="1" x14ac:dyDescent="0.25">
      <c r="A40" s="37" t="s">
        <v>839</v>
      </c>
      <c r="B40" s="31"/>
      <c r="C40" s="31"/>
      <c r="D40" s="31"/>
      <c r="E40" s="31"/>
      <c r="F40" s="31"/>
      <c r="G40" s="31"/>
      <c r="H40" s="31"/>
      <c r="I40" s="31"/>
      <c r="J40" s="31"/>
      <c r="K40" s="31"/>
      <c r="L40" s="31"/>
      <c r="M40" s="31"/>
      <c r="N40" s="31"/>
      <c r="O40" s="31"/>
      <c r="P40" s="31"/>
      <c r="Q40" s="31"/>
      <c r="R40" s="31"/>
      <c r="S40" s="31"/>
      <c r="T40" s="31"/>
      <c r="U40" s="31"/>
      <c r="V40" s="31"/>
      <c r="W40" s="31"/>
      <c r="X40" s="31"/>
    </row>
    <row r="41" spans="1:24" ht="6" customHeight="1" x14ac:dyDescent="0.25"/>
    <row r="42" spans="1:24" ht="18" customHeight="1" x14ac:dyDescent="0.25">
      <c r="A42" s="36" t="s">
        <v>840</v>
      </c>
      <c r="B42" s="31"/>
      <c r="C42" s="31"/>
      <c r="D42" s="31"/>
      <c r="E42" s="31"/>
      <c r="F42" s="31"/>
      <c r="G42" s="31"/>
      <c r="H42" s="31"/>
      <c r="I42" s="31"/>
      <c r="J42" s="31"/>
      <c r="K42" s="31"/>
      <c r="L42" s="31"/>
      <c r="M42" s="31"/>
      <c r="N42" s="31"/>
      <c r="O42" s="31"/>
      <c r="P42" s="31"/>
      <c r="Q42" s="31"/>
      <c r="R42" s="31"/>
      <c r="S42" s="31"/>
      <c r="T42" s="31"/>
      <c r="U42" s="31"/>
      <c r="V42" s="31"/>
      <c r="W42" s="31"/>
      <c r="X42" s="31"/>
    </row>
    <row r="43" spans="1:24" ht="21" customHeight="1" x14ac:dyDescent="0.25">
      <c r="A43" s="37" t="s">
        <v>841</v>
      </c>
      <c r="B43" s="31"/>
      <c r="C43" s="31"/>
      <c r="D43" s="31"/>
      <c r="E43" s="31"/>
      <c r="F43" s="31"/>
      <c r="G43" s="31"/>
      <c r="H43" s="31"/>
      <c r="I43" s="31"/>
      <c r="J43" s="31"/>
      <c r="K43" s="31"/>
      <c r="L43" s="31"/>
      <c r="M43" s="31"/>
      <c r="N43" s="31"/>
      <c r="O43" s="31"/>
      <c r="P43" s="31"/>
      <c r="Q43" s="31"/>
      <c r="R43" s="31"/>
      <c r="S43" s="31"/>
      <c r="T43" s="31"/>
      <c r="U43" s="31"/>
      <c r="V43" s="31"/>
      <c r="W43" s="31"/>
      <c r="X43" s="31"/>
    </row>
    <row r="44" spans="1:24" ht="6" customHeight="1" x14ac:dyDescent="0.25"/>
    <row r="45" spans="1:24" ht="18" customHeight="1" x14ac:dyDescent="0.25">
      <c r="A45" s="36" t="s">
        <v>724</v>
      </c>
      <c r="B45" s="31"/>
      <c r="C45" s="31"/>
      <c r="D45" s="31"/>
      <c r="E45" s="31"/>
      <c r="F45" s="31"/>
      <c r="G45" s="31"/>
      <c r="H45" s="31"/>
      <c r="I45" s="31"/>
      <c r="J45" s="31"/>
      <c r="K45" s="31"/>
      <c r="L45" s="31"/>
      <c r="M45" s="31"/>
      <c r="N45" s="31"/>
      <c r="O45" s="31"/>
      <c r="P45" s="31"/>
      <c r="Q45" s="31"/>
      <c r="R45" s="31"/>
      <c r="S45" s="31"/>
      <c r="T45" s="31"/>
      <c r="U45" s="31"/>
      <c r="V45" s="31"/>
      <c r="W45" s="31"/>
      <c r="X45" s="31"/>
    </row>
    <row r="46" spans="1:24" ht="21" customHeight="1" x14ac:dyDescent="0.25">
      <c r="A46" s="37" t="s">
        <v>842</v>
      </c>
      <c r="B46" s="31"/>
      <c r="C46" s="31"/>
      <c r="D46" s="31"/>
      <c r="E46" s="31"/>
      <c r="F46" s="31"/>
      <c r="G46" s="31"/>
      <c r="H46" s="31"/>
      <c r="I46" s="31"/>
      <c r="J46" s="31"/>
      <c r="K46" s="31"/>
      <c r="L46" s="31"/>
      <c r="M46" s="31"/>
      <c r="N46" s="31"/>
      <c r="O46" s="31"/>
      <c r="P46" s="31"/>
      <c r="Q46" s="31"/>
      <c r="R46" s="31"/>
      <c r="S46" s="31"/>
      <c r="T46" s="31"/>
      <c r="U46" s="31"/>
      <c r="V46" s="31"/>
      <c r="W46" s="31"/>
      <c r="X46" s="31"/>
    </row>
    <row r="47" spans="1:24" ht="6" customHeight="1" x14ac:dyDescent="0.25"/>
    <row r="48" spans="1:24" ht="18" customHeight="1" x14ac:dyDescent="0.25">
      <c r="A48" s="36" t="s">
        <v>726</v>
      </c>
      <c r="B48" s="31"/>
      <c r="C48" s="31"/>
      <c r="D48" s="31"/>
      <c r="E48" s="31"/>
      <c r="F48" s="31"/>
      <c r="G48" s="31"/>
      <c r="H48" s="31"/>
      <c r="I48" s="31"/>
      <c r="J48" s="31"/>
      <c r="K48" s="31"/>
      <c r="L48" s="31"/>
      <c r="M48" s="31"/>
      <c r="N48" s="31"/>
      <c r="O48" s="31"/>
      <c r="P48" s="31"/>
      <c r="Q48" s="31"/>
      <c r="R48" s="31"/>
      <c r="S48" s="31"/>
      <c r="T48" s="31"/>
      <c r="U48" s="31"/>
      <c r="V48" s="31"/>
      <c r="W48" s="31"/>
      <c r="X48" s="31"/>
    </row>
    <row r="49" spans="1:24" ht="21" customHeight="1" x14ac:dyDescent="0.25">
      <c r="A49" s="37" t="s">
        <v>843</v>
      </c>
      <c r="B49" s="31"/>
      <c r="C49" s="31"/>
      <c r="D49" s="31"/>
      <c r="E49" s="31"/>
      <c r="F49" s="31"/>
      <c r="G49" s="31"/>
      <c r="H49" s="31"/>
      <c r="I49" s="31"/>
      <c r="J49" s="31"/>
      <c r="K49" s="31"/>
      <c r="L49" s="31"/>
      <c r="M49" s="31"/>
      <c r="N49" s="31"/>
      <c r="O49" s="31"/>
      <c r="P49" s="31"/>
      <c r="Q49" s="31"/>
      <c r="R49" s="31"/>
      <c r="S49" s="31"/>
      <c r="T49" s="31"/>
      <c r="U49" s="31"/>
      <c r="V49" s="31"/>
      <c r="W49" s="31"/>
      <c r="X49" s="31"/>
    </row>
    <row r="50" spans="1:24" ht="6" customHeight="1" x14ac:dyDescent="0.25"/>
    <row r="51" spans="1:24" ht="18" customHeight="1" x14ac:dyDescent="0.25">
      <c r="A51" s="36" t="s">
        <v>728</v>
      </c>
      <c r="B51" s="31"/>
      <c r="C51" s="31"/>
      <c r="D51" s="31"/>
      <c r="E51" s="31"/>
      <c r="F51" s="31"/>
      <c r="G51" s="31"/>
      <c r="H51" s="31"/>
      <c r="I51" s="31"/>
      <c r="J51" s="31"/>
      <c r="K51" s="31"/>
      <c r="L51" s="31"/>
      <c r="M51" s="31"/>
      <c r="N51" s="31"/>
      <c r="O51" s="31"/>
      <c r="P51" s="31"/>
      <c r="Q51" s="31"/>
      <c r="R51" s="31"/>
      <c r="S51" s="31"/>
      <c r="T51" s="31"/>
      <c r="U51" s="31"/>
      <c r="V51" s="31"/>
      <c r="W51" s="31"/>
      <c r="X51" s="31"/>
    </row>
    <row r="52" spans="1:24" ht="51" customHeight="1" x14ac:dyDescent="0.25">
      <c r="A52" s="37" t="s">
        <v>729</v>
      </c>
      <c r="B52" s="31"/>
      <c r="C52" s="31"/>
      <c r="D52" s="31"/>
      <c r="E52" s="31"/>
      <c r="F52" s="31"/>
      <c r="G52" s="31"/>
      <c r="H52" s="31"/>
      <c r="I52" s="31"/>
      <c r="J52" s="31"/>
      <c r="K52" s="31"/>
      <c r="L52" s="31"/>
      <c r="M52" s="31"/>
      <c r="N52" s="31"/>
      <c r="O52" s="31"/>
      <c r="P52" s="31"/>
      <c r="Q52" s="31"/>
      <c r="R52" s="31"/>
      <c r="S52" s="31"/>
      <c r="T52" s="31"/>
      <c r="U52" s="31"/>
      <c r="V52" s="31"/>
      <c r="W52" s="31"/>
      <c r="X52" s="31"/>
    </row>
    <row r="53" spans="1:24" ht="6" customHeight="1" x14ac:dyDescent="0.25"/>
    <row r="56" spans="1:24" ht="21.95" customHeight="1" x14ac:dyDescent="0.25">
      <c r="A56" s="38" t="s">
        <v>730</v>
      </c>
      <c r="B56" s="39"/>
      <c r="C56" s="39"/>
      <c r="D56" s="39"/>
      <c r="E56" s="39"/>
      <c r="F56" s="39"/>
      <c r="G56" s="39"/>
      <c r="H56" s="39"/>
      <c r="I56" s="39"/>
      <c r="J56" s="39"/>
      <c r="K56" s="39"/>
      <c r="L56" s="39"/>
      <c r="M56" s="39"/>
      <c r="N56" s="39"/>
      <c r="O56" s="39"/>
      <c r="P56" s="39"/>
      <c r="Q56" s="39"/>
      <c r="R56" s="39"/>
      <c r="S56" s="39"/>
      <c r="T56" s="39"/>
      <c r="U56" s="39"/>
      <c r="V56" s="39"/>
      <c r="W56" s="39"/>
      <c r="X56" s="39"/>
    </row>
    <row r="58" spans="1:24" ht="18" customHeight="1" x14ac:dyDescent="0.25">
      <c r="A58" s="36" t="s">
        <v>70</v>
      </c>
      <c r="B58" s="31"/>
      <c r="C58" s="31"/>
      <c r="D58" s="31"/>
      <c r="E58" s="31"/>
      <c r="F58" s="31"/>
      <c r="G58" s="31"/>
      <c r="H58" s="31"/>
      <c r="I58" s="31"/>
      <c r="J58" s="31"/>
      <c r="K58" s="31"/>
      <c r="L58" s="31"/>
      <c r="M58" s="31"/>
      <c r="N58" s="31"/>
      <c r="O58" s="31"/>
      <c r="P58" s="31"/>
      <c r="Q58" s="31"/>
      <c r="R58" s="31"/>
      <c r="S58" s="31"/>
      <c r="T58" s="31"/>
      <c r="U58" s="31"/>
      <c r="V58" s="31"/>
      <c r="W58" s="31"/>
      <c r="X58" s="31"/>
    </row>
    <row r="59" spans="1:24" ht="21" customHeight="1" x14ac:dyDescent="0.25">
      <c r="A59" s="37" t="s">
        <v>731</v>
      </c>
      <c r="B59" s="31"/>
      <c r="C59" s="31"/>
      <c r="D59" s="31"/>
      <c r="E59" s="31"/>
      <c r="F59" s="31"/>
      <c r="G59" s="31"/>
      <c r="H59" s="31"/>
      <c r="I59" s="31"/>
      <c r="J59" s="31"/>
      <c r="K59" s="31"/>
      <c r="L59" s="31"/>
      <c r="M59" s="31"/>
      <c r="N59" s="31"/>
      <c r="O59" s="31"/>
      <c r="P59" s="31"/>
      <c r="Q59" s="31"/>
      <c r="R59" s="31"/>
      <c r="S59" s="31"/>
      <c r="T59" s="31"/>
      <c r="U59" s="31"/>
      <c r="V59" s="31"/>
      <c r="W59" s="31"/>
      <c r="X59" s="31"/>
    </row>
    <row r="60" spans="1:24" ht="6" customHeight="1" x14ac:dyDescent="0.25"/>
    <row r="61" spans="1:24" ht="18" customHeight="1" x14ac:dyDescent="0.25">
      <c r="A61" s="36" t="s">
        <v>84</v>
      </c>
      <c r="B61" s="31"/>
      <c r="C61" s="31"/>
      <c r="D61" s="31"/>
      <c r="E61" s="31"/>
      <c r="F61" s="31"/>
      <c r="G61" s="31"/>
      <c r="H61" s="31"/>
      <c r="I61" s="31"/>
      <c r="J61" s="31"/>
      <c r="K61" s="31"/>
      <c r="L61" s="31"/>
      <c r="M61" s="31"/>
      <c r="N61" s="31"/>
      <c r="O61" s="31"/>
      <c r="P61" s="31"/>
      <c r="Q61" s="31"/>
      <c r="R61" s="31"/>
      <c r="S61" s="31"/>
      <c r="T61" s="31"/>
      <c r="U61" s="31"/>
      <c r="V61" s="31"/>
      <c r="W61" s="31"/>
      <c r="X61" s="31"/>
    </row>
    <row r="62" spans="1:24" ht="36" customHeight="1" x14ac:dyDescent="0.25">
      <c r="A62" s="37" t="s">
        <v>732</v>
      </c>
      <c r="B62" s="31"/>
      <c r="C62" s="31"/>
      <c r="D62" s="31"/>
      <c r="E62" s="31"/>
      <c r="F62" s="31"/>
      <c r="G62" s="31"/>
      <c r="H62" s="31"/>
      <c r="I62" s="31"/>
      <c r="J62" s="31"/>
      <c r="K62" s="31"/>
      <c r="L62" s="31"/>
      <c r="M62" s="31"/>
      <c r="N62" s="31"/>
      <c r="O62" s="31"/>
      <c r="P62" s="31"/>
      <c r="Q62" s="31"/>
      <c r="R62" s="31"/>
      <c r="S62" s="31"/>
      <c r="T62" s="31"/>
      <c r="U62" s="31"/>
      <c r="V62" s="31"/>
      <c r="W62" s="31"/>
      <c r="X62" s="31"/>
    </row>
    <row r="63" spans="1:24" ht="6" customHeight="1" x14ac:dyDescent="0.25"/>
    <row r="64" spans="1:24" ht="18" customHeight="1" x14ac:dyDescent="0.25">
      <c r="A64" s="36" t="s">
        <v>684</v>
      </c>
      <c r="B64" s="31"/>
      <c r="C64" s="31"/>
      <c r="D64" s="31"/>
      <c r="E64" s="31"/>
      <c r="F64" s="31"/>
      <c r="G64" s="31"/>
      <c r="H64" s="31"/>
      <c r="I64" s="31"/>
      <c r="J64" s="31"/>
      <c r="K64" s="31"/>
      <c r="L64" s="31"/>
      <c r="M64" s="31"/>
      <c r="N64" s="31"/>
      <c r="O64" s="31"/>
      <c r="P64" s="31"/>
      <c r="Q64" s="31"/>
      <c r="R64" s="31"/>
      <c r="S64" s="31"/>
      <c r="T64" s="31"/>
      <c r="U64" s="31"/>
      <c r="V64" s="31"/>
      <c r="W64" s="31"/>
      <c r="X64" s="31"/>
    </row>
    <row r="65" spans="1:24" ht="21" customHeight="1" x14ac:dyDescent="0.25">
      <c r="A65" s="37" t="s">
        <v>733</v>
      </c>
      <c r="B65" s="31"/>
      <c r="C65" s="31"/>
      <c r="D65" s="31"/>
      <c r="E65" s="31"/>
      <c r="F65" s="31"/>
      <c r="G65" s="31"/>
      <c r="H65" s="31"/>
      <c r="I65" s="31"/>
      <c r="J65" s="31"/>
      <c r="K65" s="31"/>
      <c r="L65" s="31"/>
      <c r="M65" s="31"/>
      <c r="N65" s="31"/>
      <c r="O65" s="31"/>
      <c r="P65" s="31"/>
      <c r="Q65" s="31"/>
      <c r="R65" s="31"/>
      <c r="S65" s="31"/>
      <c r="T65" s="31"/>
      <c r="U65" s="31"/>
      <c r="V65" s="31"/>
      <c r="W65" s="31"/>
      <c r="X65" s="31"/>
    </row>
    <row r="66" spans="1:24" ht="6" customHeight="1" x14ac:dyDescent="0.25"/>
    <row r="67" spans="1:24" ht="18" customHeight="1" x14ac:dyDescent="0.25">
      <c r="A67" s="36" t="s">
        <v>686</v>
      </c>
      <c r="B67" s="31"/>
      <c r="C67" s="31"/>
      <c r="D67" s="31"/>
      <c r="E67" s="31"/>
      <c r="F67" s="31"/>
      <c r="G67" s="31"/>
      <c r="H67" s="31"/>
      <c r="I67" s="31"/>
      <c r="J67" s="31"/>
      <c r="K67" s="31"/>
      <c r="L67" s="31"/>
      <c r="M67" s="31"/>
      <c r="N67" s="31"/>
      <c r="O67" s="31"/>
      <c r="P67" s="31"/>
      <c r="Q67" s="31"/>
      <c r="R67" s="31"/>
      <c r="S67" s="31"/>
      <c r="T67" s="31"/>
      <c r="U67" s="31"/>
      <c r="V67" s="31"/>
      <c r="W67" s="31"/>
      <c r="X67" s="31"/>
    </row>
    <row r="68" spans="1:24" ht="21" customHeight="1" x14ac:dyDescent="0.25">
      <c r="A68" s="37" t="s">
        <v>769</v>
      </c>
      <c r="B68" s="31"/>
      <c r="C68" s="31"/>
      <c r="D68" s="31"/>
      <c r="E68" s="31"/>
      <c r="F68" s="31"/>
      <c r="G68" s="31"/>
      <c r="H68" s="31"/>
      <c r="I68" s="31"/>
      <c r="J68" s="31"/>
      <c r="K68" s="31"/>
      <c r="L68" s="31"/>
      <c r="M68" s="31"/>
      <c r="N68" s="31"/>
      <c r="O68" s="31"/>
      <c r="P68" s="31"/>
      <c r="Q68" s="31"/>
      <c r="R68" s="31"/>
      <c r="S68" s="31"/>
      <c r="T68" s="31"/>
      <c r="U68" s="31"/>
      <c r="V68" s="31"/>
      <c r="W68" s="31"/>
      <c r="X68" s="31"/>
    </row>
    <row r="69" spans="1:24" ht="6" customHeight="1" x14ac:dyDescent="0.25"/>
    <row r="70" spans="1:24" ht="18" customHeight="1" x14ac:dyDescent="0.25">
      <c r="A70" s="36" t="s">
        <v>689</v>
      </c>
      <c r="B70" s="31"/>
      <c r="C70" s="31"/>
      <c r="D70" s="31"/>
      <c r="E70" s="31"/>
      <c r="F70" s="31"/>
      <c r="G70" s="31"/>
      <c r="H70" s="31"/>
      <c r="I70" s="31"/>
      <c r="J70" s="31"/>
      <c r="K70" s="31"/>
      <c r="L70" s="31"/>
      <c r="M70" s="31"/>
      <c r="N70" s="31"/>
      <c r="O70" s="31"/>
      <c r="P70" s="31"/>
      <c r="Q70" s="31"/>
      <c r="R70" s="31"/>
      <c r="S70" s="31"/>
      <c r="T70" s="31"/>
      <c r="U70" s="31"/>
      <c r="V70" s="31"/>
      <c r="W70" s="31"/>
      <c r="X70" s="31"/>
    </row>
    <row r="71" spans="1:24" ht="21" customHeight="1" x14ac:dyDescent="0.25">
      <c r="A71" s="37" t="s">
        <v>844</v>
      </c>
      <c r="B71" s="31"/>
      <c r="C71" s="31"/>
      <c r="D71" s="31"/>
      <c r="E71" s="31"/>
      <c r="F71" s="31"/>
      <c r="G71" s="31"/>
      <c r="H71" s="31"/>
      <c r="I71" s="31"/>
      <c r="J71" s="31"/>
      <c r="K71" s="31"/>
      <c r="L71" s="31"/>
      <c r="M71" s="31"/>
      <c r="N71" s="31"/>
      <c r="O71" s="31"/>
      <c r="P71" s="31"/>
      <c r="Q71" s="31"/>
      <c r="R71" s="31"/>
      <c r="S71" s="31"/>
      <c r="T71" s="31"/>
      <c r="U71" s="31"/>
      <c r="V71" s="31"/>
      <c r="W71" s="31"/>
      <c r="X71" s="31"/>
    </row>
    <row r="72" spans="1:24" ht="6" customHeight="1" x14ac:dyDescent="0.25"/>
    <row r="73" spans="1:24" ht="18" customHeight="1" x14ac:dyDescent="0.25">
      <c r="A73" s="36" t="s">
        <v>72</v>
      </c>
      <c r="B73" s="31"/>
      <c r="C73" s="31"/>
      <c r="D73" s="31"/>
      <c r="E73" s="31"/>
      <c r="F73" s="31"/>
      <c r="G73" s="31"/>
      <c r="H73" s="31"/>
      <c r="I73" s="31"/>
      <c r="J73" s="31"/>
      <c r="K73" s="31"/>
      <c r="L73" s="31"/>
      <c r="M73" s="31"/>
      <c r="N73" s="31"/>
      <c r="O73" s="31"/>
      <c r="P73" s="31"/>
      <c r="Q73" s="31"/>
      <c r="R73" s="31"/>
      <c r="S73" s="31"/>
      <c r="T73" s="31"/>
      <c r="U73" s="31"/>
      <c r="V73" s="31"/>
      <c r="W73" s="31"/>
      <c r="X73" s="31"/>
    </row>
    <row r="74" spans="1:24" ht="21" customHeight="1" x14ac:dyDescent="0.25">
      <c r="A74" s="37" t="s">
        <v>736</v>
      </c>
      <c r="B74" s="31"/>
      <c r="C74" s="31"/>
      <c r="D74" s="31"/>
      <c r="E74" s="31"/>
      <c r="F74" s="31"/>
      <c r="G74" s="31"/>
      <c r="H74" s="31"/>
      <c r="I74" s="31"/>
      <c r="J74" s="31"/>
      <c r="K74" s="31"/>
      <c r="L74" s="31"/>
      <c r="M74" s="31"/>
      <c r="N74" s="31"/>
      <c r="O74" s="31"/>
      <c r="P74" s="31"/>
      <c r="Q74" s="31"/>
      <c r="R74" s="31"/>
      <c r="S74" s="31"/>
      <c r="T74" s="31"/>
      <c r="U74" s="31"/>
      <c r="V74" s="31"/>
      <c r="W74" s="31"/>
      <c r="X74" s="31"/>
    </row>
    <row r="75" spans="1:24" ht="6" customHeight="1" x14ac:dyDescent="0.25"/>
    <row r="76" spans="1:24" ht="18" customHeight="1" x14ac:dyDescent="0.25">
      <c r="A76" s="36" t="s">
        <v>692</v>
      </c>
      <c r="B76" s="31"/>
      <c r="C76" s="31"/>
      <c r="D76" s="31"/>
      <c r="E76" s="31"/>
      <c r="F76" s="31"/>
      <c r="G76" s="31"/>
      <c r="H76" s="31"/>
      <c r="I76" s="31"/>
      <c r="J76" s="31"/>
      <c r="K76" s="31"/>
      <c r="L76" s="31"/>
      <c r="M76" s="31"/>
      <c r="N76" s="31"/>
      <c r="O76" s="31"/>
      <c r="P76" s="31"/>
      <c r="Q76" s="31"/>
      <c r="R76" s="31"/>
      <c r="S76" s="31"/>
      <c r="T76" s="31"/>
      <c r="U76" s="31"/>
      <c r="V76" s="31"/>
      <c r="W76" s="31"/>
      <c r="X76" s="31"/>
    </row>
    <row r="77" spans="1:24" ht="21" customHeight="1" x14ac:dyDescent="0.25">
      <c r="A77" s="37" t="s">
        <v>737</v>
      </c>
      <c r="B77" s="31"/>
      <c r="C77" s="31"/>
      <c r="D77" s="31"/>
      <c r="E77" s="31"/>
      <c r="F77" s="31"/>
      <c r="G77" s="31"/>
      <c r="H77" s="31"/>
      <c r="I77" s="31"/>
      <c r="J77" s="31"/>
      <c r="K77" s="31"/>
      <c r="L77" s="31"/>
      <c r="M77" s="31"/>
      <c r="N77" s="31"/>
      <c r="O77" s="31"/>
      <c r="P77" s="31"/>
      <c r="Q77" s="31"/>
      <c r="R77" s="31"/>
      <c r="S77" s="31"/>
      <c r="T77" s="31"/>
      <c r="U77" s="31"/>
      <c r="V77" s="31"/>
      <c r="W77" s="31"/>
      <c r="X77" s="31"/>
    </row>
    <row r="78" spans="1:24" ht="6" customHeight="1" x14ac:dyDescent="0.25"/>
    <row r="79" spans="1:24" ht="18" customHeight="1" x14ac:dyDescent="0.25">
      <c r="A79" s="36" t="s">
        <v>693</v>
      </c>
      <c r="B79" s="31"/>
      <c r="C79" s="31"/>
      <c r="D79" s="31"/>
      <c r="E79" s="31"/>
      <c r="F79" s="31"/>
      <c r="G79" s="31"/>
      <c r="H79" s="31"/>
      <c r="I79" s="31"/>
      <c r="J79" s="31"/>
      <c r="K79" s="31"/>
      <c r="L79" s="31"/>
      <c r="M79" s="31"/>
      <c r="N79" s="31"/>
      <c r="O79" s="31"/>
      <c r="P79" s="31"/>
      <c r="Q79" s="31"/>
      <c r="R79" s="31"/>
      <c r="S79" s="31"/>
      <c r="T79" s="31"/>
      <c r="U79" s="31"/>
      <c r="V79" s="31"/>
      <c r="W79" s="31"/>
      <c r="X79" s="31"/>
    </row>
    <row r="80" spans="1:24" ht="21" customHeight="1" x14ac:dyDescent="0.25">
      <c r="A80" s="37" t="s">
        <v>738</v>
      </c>
      <c r="B80" s="31"/>
      <c r="C80" s="31"/>
      <c r="D80" s="31"/>
      <c r="E80" s="31"/>
      <c r="F80" s="31"/>
      <c r="G80" s="31"/>
      <c r="H80" s="31"/>
      <c r="I80" s="31"/>
      <c r="J80" s="31"/>
      <c r="K80" s="31"/>
      <c r="L80" s="31"/>
      <c r="M80" s="31"/>
      <c r="N80" s="31"/>
      <c r="O80" s="31"/>
      <c r="P80" s="31"/>
      <c r="Q80" s="31"/>
      <c r="R80" s="31"/>
      <c r="S80" s="31"/>
      <c r="T80" s="31"/>
      <c r="U80" s="31"/>
      <c r="V80" s="31"/>
      <c r="W80" s="31"/>
      <c r="X80" s="31"/>
    </row>
    <row r="81" spans="1:24" ht="6" customHeight="1" x14ac:dyDescent="0.25"/>
    <row r="82" spans="1:24" ht="18" customHeight="1" x14ac:dyDescent="0.25">
      <c r="A82" s="36" t="s">
        <v>695</v>
      </c>
      <c r="B82" s="31"/>
      <c r="C82" s="31"/>
      <c r="D82" s="31"/>
      <c r="E82" s="31"/>
      <c r="F82" s="31"/>
      <c r="G82" s="31"/>
      <c r="H82" s="31"/>
      <c r="I82" s="31"/>
      <c r="J82" s="31"/>
      <c r="K82" s="31"/>
      <c r="L82" s="31"/>
      <c r="M82" s="31"/>
      <c r="N82" s="31"/>
      <c r="O82" s="31"/>
      <c r="P82" s="31"/>
      <c r="Q82" s="31"/>
      <c r="R82" s="31"/>
      <c r="S82" s="31"/>
      <c r="T82" s="31"/>
      <c r="U82" s="31"/>
      <c r="V82" s="31"/>
      <c r="W82" s="31"/>
      <c r="X82" s="31"/>
    </row>
    <row r="83" spans="1:24" ht="21" customHeight="1" x14ac:dyDescent="0.25">
      <c r="A83" s="37" t="s">
        <v>739</v>
      </c>
      <c r="B83" s="31"/>
      <c r="C83" s="31"/>
      <c r="D83" s="31"/>
      <c r="E83" s="31"/>
      <c r="F83" s="31"/>
      <c r="G83" s="31"/>
      <c r="H83" s="31"/>
      <c r="I83" s="31"/>
      <c r="J83" s="31"/>
      <c r="K83" s="31"/>
      <c r="L83" s="31"/>
      <c r="M83" s="31"/>
      <c r="N83" s="31"/>
      <c r="O83" s="31"/>
      <c r="P83" s="31"/>
      <c r="Q83" s="31"/>
      <c r="R83" s="31"/>
      <c r="S83" s="31"/>
      <c r="T83" s="31"/>
      <c r="U83" s="31"/>
      <c r="V83" s="31"/>
      <c r="W83" s="31"/>
      <c r="X83" s="31"/>
    </row>
    <row r="84" spans="1:24" ht="6" customHeight="1" x14ac:dyDescent="0.25"/>
    <row r="85" spans="1:24" ht="18" customHeight="1" x14ac:dyDescent="0.25">
      <c r="A85" s="36" t="s">
        <v>696</v>
      </c>
      <c r="B85" s="31"/>
      <c r="C85" s="31"/>
      <c r="D85" s="31"/>
      <c r="E85" s="31"/>
      <c r="F85" s="31"/>
      <c r="G85" s="31"/>
      <c r="H85" s="31"/>
      <c r="I85" s="31"/>
      <c r="J85" s="31"/>
      <c r="K85" s="31"/>
      <c r="L85" s="31"/>
      <c r="M85" s="31"/>
      <c r="N85" s="31"/>
      <c r="O85" s="31"/>
      <c r="P85" s="31"/>
      <c r="Q85" s="31"/>
      <c r="R85" s="31"/>
      <c r="S85" s="31"/>
      <c r="T85" s="31"/>
      <c r="U85" s="31"/>
      <c r="V85" s="31"/>
      <c r="W85" s="31"/>
      <c r="X85" s="31"/>
    </row>
    <row r="86" spans="1:24" ht="21" customHeight="1" x14ac:dyDescent="0.25">
      <c r="A86" s="37" t="s">
        <v>740</v>
      </c>
      <c r="B86" s="31"/>
      <c r="C86" s="31"/>
      <c r="D86" s="31"/>
      <c r="E86" s="31"/>
      <c r="F86" s="31"/>
      <c r="G86" s="31"/>
      <c r="H86" s="31"/>
      <c r="I86" s="31"/>
      <c r="J86" s="31"/>
      <c r="K86" s="31"/>
      <c r="L86" s="31"/>
      <c r="M86" s="31"/>
      <c r="N86" s="31"/>
      <c r="O86" s="31"/>
      <c r="P86" s="31"/>
      <c r="Q86" s="31"/>
      <c r="R86" s="31"/>
      <c r="S86" s="31"/>
      <c r="T86" s="31"/>
      <c r="U86" s="31"/>
      <c r="V86" s="31"/>
      <c r="W86" s="31"/>
      <c r="X86" s="31"/>
    </row>
    <row r="87" spans="1:24" ht="6" customHeight="1" x14ac:dyDescent="0.25"/>
    <row r="88" spans="1:24" ht="18" customHeight="1" x14ac:dyDescent="0.25">
      <c r="A88" s="36" t="s">
        <v>697</v>
      </c>
      <c r="B88" s="31"/>
      <c r="C88" s="31"/>
      <c r="D88" s="31"/>
      <c r="E88" s="31"/>
      <c r="F88" s="31"/>
      <c r="G88" s="31"/>
      <c r="H88" s="31"/>
      <c r="I88" s="31"/>
      <c r="J88" s="31"/>
      <c r="K88" s="31"/>
      <c r="L88" s="31"/>
      <c r="M88" s="31"/>
      <c r="N88" s="31"/>
      <c r="O88" s="31"/>
      <c r="P88" s="31"/>
      <c r="Q88" s="31"/>
      <c r="R88" s="31"/>
      <c r="S88" s="31"/>
      <c r="T88" s="31"/>
      <c r="U88" s="31"/>
      <c r="V88" s="31"/>
      <c r="W88" s="31"/>
      <c r="X88" s="31"/>
    </row>
    <row r="89" spans="1:24" ht="21" customHeight="1" x14ac:dyDescent="0.25">
      <c r="A89" s="37" t="s">
        <v>845</v>
      </c>
      <c r="B89" s="31"/>
      <c r="C89" s="31"/>
      <c r="D89" s="31"/>
      <c r="E89" s="31"/>
      <c r="F89" s="31"/>
      <c r="G89" s="31"/>
      <c r="H89" s="31"/>
      <c r="I89" s="31"/>
      <c r="J89" s="31"/>
      <c r="K89" s="31"/>
      <c r="L89" s="31"/>
      <c r="M89" s="31"/>
      <c r="N89" s="31"/>
      <c r="O89" s="31"/>
      <c r="P89" s="31"/>
      <c r="Q89" s="31"/>
      <c r="R89" s="31"/>
      <c r="S89" s="31"/>
      <c r="T89" s="31"/>
      <c r="U89" s="31"/>
      <c r="V89" s="31"/>
      <c r="W89" s="31"/>
      <c r="X89" s="31"/>
    </row>
    <row r="90" spans="1:24" ht="6" customHeight="1" x14ac:dyDescent="0.25"/>
    <row r="91" spans="1:24" ht="18" customHeight="1" x14ac:dyDescent="0.25">
      <c r="A91" s="36" t="s">
        <v>698</v>
      </c>
      <c r="B91" s="31"/>
      <c r="C91" s="31"/>
      <c r="D91" s="31"/>
      <c r="E91" s="31"/>
      <c r="F91" s="31"/>
      <c r="G91" s="31"/>
      <c r="H91" s="31"/>
      <c r="I91" s="31"/>
      <c r="J91" s="31"/>
      <c r="K91" s="31"/>
      <c r="L91" s="31"/>
      <c r="M91" s="31"/>
      <c r="N91" s="31"/>
      <c r="O91" s="31"/>
      <c r="P91" s="31"/>
      <c r="Q91" s="31"/>
      <c r="R91" s="31"/>
      <c r="S91" s="31"/>
      <c r="T91" s="31"/>
      <c r="U91" s="31"/>
      <c r="V91" s="31"/>
      <c r="W91" s="31"/>
      <c r="X91" s="31"/>
    </row>
    <row r="92" spans="1:24" ht="21" customHeight="1" x14ac:dyDescent="0.25">
      <c r="A92" s="37" t="s">
        <v>846</v>
      </c>
      <c r="B92" s="31"/>
      <c r="C92" s="31"/>
      <c r="D92" s="31"/>
      <c r="E92" s="31"/>
      <c r="F92" s="31"/>
      <c r="G92" s="31"/>
      <c r="H92" s="31"/>
      <c r="I92" s="31"/>
      <c r="J92" s="31"/>
      <c r="K92" s="31"/>
      <c r="L92" s="31"/>
      <c r="M92" s="31"/>
      <c r="N92" s="31"/>
      <c r="O92" s="31"/>
      <c r="P92" s="31"/>
      <c r="Q92" s="31"/>
      <c r="R92" s="31"/>
      <c r="S92" s="31"/>
      <c r="T92" s="31"/>
      <c r="U92" s="31"/>
      <c r="V92" s="31"/>
      <c r="W92" s="31"/>
      <c r="X92" s="31"/>
    </row>
    <row r="93" spans="1:24" ht="6" customHeight="1" x14ac:dyDescent="0.25"/>
    <row r="94" spans="1:24" ht="18" customHeight="1" x14ac:dyDescent="0.25">
      <c r="A94" s="36" t="s">
        <v>699</v>
      </c>
      <c r="B94" s="31"/>
      <c r="C94" s="31"/>
      <c r="D94" s="31"/>
      <c r="E94" s="31"/>
      <c r="F94" s="31"/>
      <c r="G94" s="31"/>
      <c r="H94" s="31"/>
      <c r="I94" s="31"/>
      <c r="J94" s="31"/>
      <c r="K94" s="31"/>
      <c r="L94" s="31"/>
      <c r="M94" s="31"/>
      <c r="N94" s="31"/>
      <c r="O94" s="31"/>
      <c r="P94" s="31"/>
      <c r="Q94" s="31"/>
      <c r="R94" s="31"/>
      <c r="S94" s="31"/>
      <c r="T94" s="31"/>
      <c r="U94" s="31"/>
      <c r="V94" s="31"/>
      <c r="W94" s="31"/>
      <c r="X94" s="31"/>
    </row>
    <row r="95" spans="1:24" ht="21" customHeight="1" x14ac:dyDescent="0.25">
      <c r="A95" s="37" t="s">
        <v>743</v>
      </c>
      <c r="B95" s="31"/>
      <c r="C95" s="31"/>
      <c r="D95" s="31"/>
      <c r="E95" s="31"/>
      <c r="F95" s="31"/>
      <c r="G95" s="31"/>
      <c r="H95" s="31"/>
      <c r="I95" s="31"/>
      <c r="J95" s="31"/>
      <c r="K95" s="31"/>
      <c r="L95" s="31"/>
      <c r="M95" s="31"/>
      <c r="N95" s="31"/>
      <c r="O95" s="31"/>
      <c r="P95" s="31"/>
      <c r="Q95" s="31"/>
      <c r="R95" s="31"/>
      <c r="S95" s="31"/>
      <c r="T95" s="31"/>
      <c r="U95" s="31"/>
      <c r="V95" s="31"/>
      <c r="W95" s="31"/>
      <c r="X95" s="31"/>
    </row>
    <row r="96" spans="1:24" ht="6" customHeight="1" x14ac:dyDescent="0.25"/>
    <row r="99" spans="1:24" x14ac:dyDescent="0.25">
      <c r="A99" s="40" t="s">
        <v>744</v>
      </c>
      <c r="B99" s="31"/>
      <c r="C99" s="31"/>
      <c r="D99" s="31"/>
      <c r="E99" s="31"/>
      <c r="F99" s="31"/>
      <c r="G99" s="31"/>
      <c r="H99" s="31"/>
      <c r="I99" s="31"/>
      <c r="J99" s="31"/>
      <c r="K99" s="31"/>
      <c r="L99" s="31"/>
      <c r="M99" s="31"/>
      <c r="N99" s="31"/>
      <c r="O99" s="31"/>
      <c r="P99" s="31"/>
      <c r="Q99" s="31"/>
      <c r="R99" s="31"/>
      <c r="S99" s="31"/>
      <c r="T99" s="31"/>
      <c r="U99" s="31"/>
      <c r="V99" s="31"/>
      <c r="W99" s="31"/>
      <c r="X99" s="31"/>
    </row>
  </sheetData>
  <mergeCells count="42">
    <mergeCell ref="A94:X94"/>
    <mergeCell ref="A36:X36"/>
    <mergeCell ref="A61:X61"/>
    <mergeCell ref="A88:X88"/>
    <mergeCell ref="A70:X70"/>
    <mergeCell ref="A64:X64"/>
    <mergeCell ref="A82:X82"/>
    <mergeCell ref="A49:X49"/>
    <mergeCell ref="A51:X51"/>
    <mergeCell ref="A45:X45"/>
    <mergeCell ref="A33:X33"/>
    <mergeCell ref="A71:X71"/>
    <mergeCell ref="A85:X85"/>
    <mergeCell ref="A91:X91"/>
    <mergeCell ref="A62:X62"/>
    <mergeCell ref="A43:X43"/>
    <mergeCell ref="A52:X52"/>
    <mergeCell ref="A68:X68"/>
    <mergeCell ref="A58:X58"/>
    <mergeCell ref="A40:X40"/>
    <mergeCell ref="A67:X67"/>
    <mergeCell ref="A39:X39"/>
    <mergeCell ref="A34:X34"/>
    <mergeCell ref="A77:X77"/>
    <mergeCell ref="A59:X59"/>
    <mergeCell ref="A48:X48"/>
    <mergeCell ref="A79:X79"/>
    <mergeCell ref="A65:X65"/>
    <mergeCell ref="A99:X99"/>
    <mergeCell ref="A46:X46"/>
    <mergeCell ref="A37:X37"/>
    <mergeCell ref="A89:X89"/>
    <mergeCell ref="A74:X74"/>
    <mergeCell ref="A80:X80"/>
    <mergeCell ref="A56:X56"/>
    <mergeCell ref="A95:X95"/>
    <mergeCell ref="A86:X86"/>
    <mergeCell ref="A42:X42"/>
    <mergeCell ref="A76:X76"/>
    <mergeCell ref="A92:X92"/>
    <mergeCell ref="A83:X83"/>
    <mergeCell ref="A73:X73"/>
  </mergeCells>
  <dataValidations count="13">
    <dataValidation type="list" allowBlank="1" errorTitle="Valore non valido" error="Seleziona dalla lista." promptTitle="Author" prompt="Autore della codifica." sqref="B5:B30" xr:uid="{00000000-0002-0000-0A00-000000000000}">
      <formula1>Author_Name</formula1>
    </dataValidation>
    <dataValidation type="list" allowBlank="1" errorTitle="Valore non valido" error="Seleziona dalla lista, oppure lascia vuoto." promptTitle="In Place" sqref="D5:D30" xr:uid="{00000000-0002-0000-0A00-000001000000}">
      <formula1>InPl_Name</formula1>
    </dataValidation>
    <dataValidation type="list" allowBlank="1" errorTitle="Valore non valido" error="Seleziona dalla lista." promptTitle="Famiglia di sistema" prompt="Famiglia di sistema Revit." sqref="F5:F30" xr:uid="{00000000-0002-0000-0A00-000002000000}">
      <formula1>WL_Cat_Name</formula1>
    </dataValidation>
    <dataValidation type="list" allowBlank="1" errorTitle="Non disponibile" error="Seleziona prima la famiglia di sistema su questa riga." promptTitle="Group1" prompt="Sistema costruttivo. Le opzioni cambiano con la famiglia scelta sulla riga." sqref="H5:H30" xr:uid="{00000000-0002-0000-0A00-000003000000}">
      <formula1>INDIRECT($Y5)</formula1>
    </dataValidation>
    <dataValidation type="list" allowBlank="1" errorTitle="Non disponibile" error="Seleziona prima la famiglia di sistema su questa riga." promptTitle="Group2" prompt="Basic Wall: ruolo nell’edificio, oppure lo strato singolo quando l’elemento è modellato da solo. Curtain Wall: elemento reale rappresentato dal sistema." sqref="K5:K30" xr:uid="{00000000-0002-0000-0A00-000004000000}">
      <formula1>INDIRECT($Z5)</formula1>
    </dataValidation>
    <dataValidation type="list" allowBlank="1" errorTitle="Valore non valido" error="Seleziona dalla lista." promptTitle="N. finiture" prompt="Numero di facce finite: 0F, 1F, 2F. Elemento a strato singolo → 0F, anche quando quell’unico strato è la finitura." sqref="M5:M30" xr:uid="{00000000-0002-0000-0A00-000005000000}">
      <formula1>Fin_Name</formula1>
    </dataValidation>
    <dataValidation type="custom" allowBlank="1" errorTitle="Non valido" error="Inserisci un intero tra 0 e 99, oppure XX se i tipi non sono ancora definiti. Se Group1 è Other compila il Type Mark manuale." promptTitle="TM sequenza" prompt="Due cifre da 0 a 99. Distingue le varianti di stesso Group1 e stesso Group2. Tipo non ancora definito → XX. Non si compila con Group1 = OT." sqref="O5:O30" xr:uid="{00000000-0002-0000-0A00-000006000000}">
      <formula1>AND($I5&lt;&gt;"OT",OR(UPPER($O5)="XX",AND(ISNUMBER($O5),$O5&gt;=0,$O5&lt;=99,$O5=INT($O5))))</formula1>
    </dataValidation>
    <dataValidation type="custom" allowBlank="1" errorTitle="Non ammesso qui" error="Si usa solo quando Group1 è Other." promptTitle="Type Mark manuale" prompt="Solo con Group1 = OT. Sostituisce tutto il Type Mark, prefisso di categoria compreso. Finiture → prefisso materiale + tre cifre: PT-001, WD-001, MT-001." sqref="P5:P30" xr:uid="{00000000-0002-0000-0A00-000007000000}">
      <formula1>$I5="OT"</formula1>
    </dataValidation>
    <dataValidation type="decimal" operator="greaterThan" allowBlank="1" errorTitle="Non valido" error="Inserisci un valore maggiore di 0." promptTitle="Thickness mm" prompt="Spessore totale in mm." sqref="R5:R30" xr:uid="{00000000-0002-0000-0A00-000008000000}">
      <formula1>0</formula1>
    </dataValidation>
    <dataValidation type="textLength" operator="lessThanOrEqual" allowBlank="1" errorTitle="Troppo lungo" error="Massimo 12 caratteri." promptTitle="REI" prompt="Facoltativo. Sigla completa come certificata: REI120, EI90, RE60. Deve coincidere con FireRating." sqref="S5:S30" xr:uid="{00000000-0002-0000-0A00-000009000000}">
      <formula1>12</formula1>
    </dataValidation>
    <dataValidation type="list" allowBlank="1" errorTitle="Non ammesso qui" error="Ammesso solo con Group2 = IN, SE o LN: su esterni, controterra e curtain wall sono impliciti." promptTitle="W  waterproof" prompt="Facoltativo. Impermeabilizzazione compresa nell’elemento. Ammesso solo con Group2 = IN, SE o LN: su esterni, controterra e curtain wall sono impliciti." sqref="T5:T30" xr:uid="{00000000-0002-0000-0A00-00000A000000}">
      <formula1>INDIRECT($AA5)</formula1>
    </dataValidation>
    <dataValidation type="list" allowBlank="1" errorTitle="Non ammesso qui" error="Ammesso solo con Group2 = IN, SE o LN: su esterni, controterra e curtain wall sono impliciti." promptTitle="I  insulation" prompt="Facoltativo. Strato isolante compreso nell’elemento. Ammesso solo con Group2 = IN, SE o LN: su esterni, controterra e curtain wall sono impliciti." sqref="U5:U30" xr:uid="{00000000-0002-0000-0A00-00000B000000}">
      <formula1>INDIRECT($AB5)</formula1>
    </dataValidation>
    <dataValidation type="textLength" operator="lessThanOrEqual" allowBlank="1" errorTitle="Troppo lunga" error="Massimo 40 caratteri." promptTitle="Description" prompt="Facoltativa. Solo se aggiunge un’informazione non già nei codici: destinazione, posizione, o ciò che distingue due tipi altrimenti identici. Senza spazi, iniziali maiuscole, massimo 40 caratteri, senza accenti." sqref="V5:V30" xr:uid="{00000000-0002-0000-0A00-00000C000000}">
      <formula1>40</formula1>
    </dataValidation>
  </dataValidation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T78"/>
  <sheetViews>
    <sheetView showGridLines="0" workbookViewId="0">
      <pane ySplit="4" topLeftCell="A5" activePane="bottomLeft" state="frozen"/>
      <selection pane="bottomLeft"/>
    </sheetView>
  </sheetViews>
  <sheetFormatPr defaultRowHeight="15" x14ac:dyDescent="0.25"/>
  <cols>
    <col min="1" max="1" width="3" customWidth="1"/>
    <col min="2" max="2" width="15" customWidth="1"/>
    <col min="3" max="3" width="5" customWidth="1"/>
    <col min="4" max="4" width="10" customWidth="1"/>
    <col min="5" max="5" width="4" customWidth="1"/>
    <col min="6" max="6" width="17" customWidth="1"/>
    <col min="7" max="7" width="4" customWidth="1"/>
    <col min="8" max="8" width="15" customWidth="1"/>
    <col min="9" max="9" width="4" customWidth="1"/>
    <col min="10" max="10" width="6" customWidth="1"/>
    <col min="11" max="11" width="15" customWidth="1"/>
    <col min="12" max="12" width="4" customWidth="1"/>
    <col min="13" max="13" width="12" customWidth="1"/>
    <col min="14" max="14" width="19" customWidth="1"/>
    <col min="15" max="16" width="12" customWidth="1"/>
    <col min="17" max="17" width="13" customWidth="1"/>
    <col min="18" max="18" width="22" customWidth="1"/>
    <col min="19" max="19" width="12" customWidth="1"/>
    <col min="20" max="20" width="40" customWidth="1"/>
  </cols>
  <sheetData>
    <row r="1" spans="1:20" ht="19.5" x14ac:dyDescent="0.3">
      <c r="A1" s="6" t="s">
        <v>847</v>
      </c>
    </row>
    <row r="2" spans="1:20" x14ac:dyDescent="0.25">
      <c r="A2" s="7" t="s">
        <v>680</v>
      </c>
    </row>
    <row r="3" spans="1:20" x14ac:dyDescent="0.25">
      <c r="A3" s="8" t="s">
        <v>848</v>
      </c>
    </row>
    <row r="4" spans="1:20" ht="30" customHeight="1" x14ac:dyDescent="0.25">
      <c r="A4" s="9" t="s">
        <v>682</v>
      </c>
      <c r="B4" s="9" t="s">
        <v>70</v>
      </c>
      <c r="C4" s="9" t="s">
        <v>683</v>
      </c>
      <c r="D4" s="10" t="s">
        <v>84</v>
      </c>
      <c r="E4" s="9" t="s">
        <v>83</v>
      </c>
      <c r="F4" s="9" t="s">
        <v>684</v>
      </c>
      <c r="G4" s="9" t="s">
        <v>685</v>
      </c>
      <c r="H4" s="9" t="s">
        <v>686</v>
      </c>
      <c r="I4" s="9" t="s">
        <v>687</v>
      </c>
      <c r="J4" s="9" t="s">
        <v>688</v>
      </c>
      <c r="K4" s="9" t="s">
        <v>689</v>
      </c>
      <c r="L4" s="9" t="s">
        <v>690</v>
      </c>
      <c r="M4" s="9" t="s">
        <v>692</v>
      </c>
      <c r="N4" s="9" t="s">
        <v>693</v>
      </c>
      <c r="O4" s="9" t="s">
        <v>694</v>
      </c>
      <c r="P4" s="9" t="s">
        <v>849</v>
      </c>
      <c r="Q4" s="9" t="s">
        <v>850</v>
      </c>
      <c r="R4" s="10" t="s">
        <v>699</v>
      </c>
      <c r="S4" s="9" t="s">
        <v>700</v>
      </c>
      <c r="T4" s="9" t="s">
        <v>701</v>
      </c>
    </row>
    <row r="5" spans="1:20" x14ac:dyDescent="0.25">
      <c r="A5" s="11" t="s">
        <v>704</v>
      </c>
      <c r="B5" s="12" t="s">
        <v>80</v>
      </c>
      <c r="C5" s="13" t="str">
        <f t="shared" ref="C5:C30" si="0">IFERROR(INDEX(Author_Code,MATCH($B5,Author_Name,0)),"")</f>
        <v>e</v>
      </c>
      <c r="D5" s="14"/>
      <c r="E5" s="13" t="str">
        <f t="shared" ref="E5:E30" si="1">IFERROR(INDEX(InPl_Code,MATCH($D5,InPl_Name,0)),"")</f>
        <v/>
      </c>
      <c r="F5" s="12" t="s">
        <v>537</v>
      </c>
      <c r="G5" s="13" t="str">
        <f t="shared" ref="G5:G30" si="2">IFERROR(INDEX(CN_Cat_Code,MATCH($F5,CN_Cat_Name,0)),"")</f>
        <v>CN</v>
      </c>
      <c r="H5" s="12" t="s">
        <v>540</v>
      </c>
      <c r="I5" s="13" t="str">
        <f t="shared" ref="I5:I30" si="3">IFERROR(INDEX(CN_G1_Code,MATCH($H5,CN_G1_Name,0)),"")</f>
        <v>RT</v>
      </c>
      <c r="J5" s="13" t="str">
        <f t="shared" ref="J5:J30" si="4">IFERROR(LEFT(INDEX(CN_G1_TM,MATCH($H5,CN_G1_Name,0)),1),"")</f>
        <v>1</v>
      </c>
      <c r="K5" s="12" t="s">
        <v>151</v>
      </c>
      <c r="L5" s="13" t="str">
        <f t="shared" ref="L5:L30" si="5">IFERROR(INDEX(CN_G2_Code,MATCH($K5,CN_G2_Name,0)),"")</f>
        <v>GN</v>
      </c>
      <c r="M5" s="12">
        <v>1</v>
      </c>
      <c r="N5" s="15"/>
      <c r="O5" s="13" t="str">
        <f t="shared" ref="O5:O30" si="6">IF($I5="OT",$N5,IF(OR($G5="",$J5="",$M5=""),"",$G5&amp;"-"&amp;$J5&amp;IF(UPPER($M5)="XX","XX",TEXT($M5,"00"))))</f>
        <v>CN-101</v>
      </c>
      <c r="P5" s="12">
        <v>50</v>
      </c>
      <c r="Q5" s="12">
        <v>150</v>
      </c>
      <c r="R5" s="16"/>
      <c r="S5" s="13" t="str">
        <f t="shared" ref="S5:S30" si="7">$G5&amp;IF($I5&lt;&gt;"","."&amp;$I5,"")&amp;IF($L5&lt;&gt;"","."&amp;$L5,"")</f>
        <v>CN.RT.GN</v>
      </c>
      <c r="T5" s="17" t="str">
        <f t="shared" ref="T5:T30" si="8">IF(AND($F5&lt;&gt;"",$H5&lt;&gt;"",$O5&lt;&gt;"",$P5&lt;&gt;""),$C5&amp;"_"&amp;$O5&amp;"_"&amp;$E5&amp;$S5&amp;"_"&amp;IF($Q5="","D"&amp;TEXT($P5,"0"),TEXT($P5,"0")&amp;"x"&amp;TEXT($Q5,"0"))&amp;IF($R5&lt;&gt;"","_"&amp;$R5,""),"")</f>
        <v>e_CN-101_CN.RT.GN_50x150</v>
      </c>
    </row>
    <row r="6" spans="1:20" x14ac:dyDescent="0.25">
      <c r="A6" s="11" t="s">
        <v>705</v>
      </c>
      <c r="B6" s="12" t="s">
        <v>80</v>
      </c>
      <c r="C6" s="13" t="str">
        <f t="shared" si="0"/>
        <v>e</v>
      </c>
      <c r="D6" s="14"/>
      <c r="E6" s="13" t="str">
        <f t="shared" si="1"/>
        <v/>
      </c>
      <c r="F6" s="12" t="s">
        <v>537</v>
      </c>
      <c r="G6" s="13" t="str">
        <f t="shared" si="2"/>
        <v>CN</v>
      </c>
      <c r="H6" s="12" t="s">
        <v>540</v>
      </c>
      <c r="I6" s="13" t="str">
        <f t="shared" si="3"/>
        <v>RT</v>
      </c>
      <c r="J6" s="13" t="str">
        <f t="shared" si="4"/>
        <v>1</v>
      </c>
      <c r="K6" s="12" t="s">
        <v>543</v>
      </c>
      <c r="L6" s="13" t="str">
        <f t="shared" si="5"/>
        <v>VT</v>
      </c>
      <c r="M6" s="12">
        <v>2</v>
      </c>
      <c r="N6" s="15"/>
      <c r="O6" s="13" t="str">
        <f t="shared" si="6"/>
        <v>CN-102</v>
      </c>
      <c r="P6" s="12">
        <v>50</v>
      </c>
      <c r="Q6" s="12">
        <v>150</v>
      </c>
      <c r="R6" s="16"/>
      <c r="S6" s="13" t="str">
        <f t="shared" si="7"/>
        <v>CN.RT.VT</v>
      </c>
      <c r="T6" s="17" t="str">
        <f t="shared" si="8"/>
        <v>e_CN-102_CN.RT.VT_50x150</v>
      </c>
    </row>
    <row r="7" spans="1:20" x14ac:dyDescent="0.25">
      <c r="A7" s="11" t="s">
        <v>707</v>
      </c>
      <c r="B7" s="12" t="s">
        <v>80</v>
      </c>
      <c r="C7" s="13" t="str">
        <f t="shared" si="0"/>
        <v>e</v>
      </c>
      <c r="D7" s="14"/>
      <c r="E7" s="13" t="str">
        <f t="shared" si="1"/>
        <v/>
      </c>
      <c r="F7" s="12" t="s">
        <v>537</v>
      </c>
      <c r="G7" s="13" t="str">
        <f t="shared" si="2"/>
        <v>CN</v>
      </c>
      <c r="H7" s="12" t="s">
        <v>540</v>
      </c>
      <c r="I7" s="13" t="str">
        <f t="shared" si="3"/>
        <v>RT</v>
      </c>
      <c r="J7" s="13" t="str">
        <f t="shared" si="4"/>
        <v>1</v>
      </c>
      <c r="K7" s="12" t="s">
        <v>548</v>
      </c>
      <c r="L7" s="13" t="str">
        <f t="shared" si="5"/>
        <v>HZ</v>
      </c>
      <c r="M7" s="12">
        <v>3</v>
      </c>
      <c r="N7" s="15"/>
      <c r="O7" s="13" t="str">
        <f t="shared" si="6"/>
        <v>CN-103</v>
      </c>
      <c r="P7" s="12">
        <v>50</v>
      </c>
      <c r="Q7" s="12">
        <v>120</v>
      </c>
      <c r="R7" s="16"/>
      <c r="S7" s="13" t="str">
        <f t="shared" si="7"/>
        <v>CN.RT.HZ</v>
      </c>
      <c r="T7" s="17" t="str">
        <f t="shared" si="8"/>
        <v>e_CN-103_CN.RT.HZ_50x120</v>
      </c>
    </row>
    <row r="8" spans="1:20" x14ac:dyDescent="0.25">
      <c r="A8" s="11" t="s">
        <v>709</v>
      </c>
      <c r="B8" s="12" t="s">
        <v>80</v>
      </c>
      <c r="C8" s="13" t="str">
        <f t="shared" si="0"/>
        <v>e</v>
      </c>
      <c r="D8" s="14"/>
      <c r="E8" s="13" t="str">
        <f t="shared" si="1"/>
        <v/>
      </c>
      <c r="F8" s="12" t="s">
        <v>537</v>
      </c>
      <c r="G8" s="13" t="str">
        <f t="shared" si="2"/>
        <v>CN</v>
      </c>
      <c r="H8" s="12" t="s">
        <v>540</v>
      </c>
      <c r="I8" s="13" t="str">
        <f t="shared" si="3"/>
        <v>RT</v>
      </c>
      <c r="J8" s="13" t="str">
        <f t="shared" si="4"/>
        <v>1</v>
      </c>
      <c r="K8" s="12" t="s">
        <v>554</v>
      </c>
      <c r="L8" s="13" t="str">
        <f t="shared" si="5"/>
        <v>PR</v>
      </c>
      <c r="M8" s="12">
        <v>4</v>
      </c>
      <c r="N8" s="15"/>
      <c r="O8" s="13" t="str">
        <f t="shared" si="6"/>
        <v>CN-104</v>
      </c>
      <c r="P8" s="12">
        <v>25</v>
      </c>
      <c r="Q8" s="12">
        <v>150</v>
      </c>
      <c r="R8" s="16"/>
      <c r="S8" s="13" t="str">
        <f t="shared" si="7"/>
        <v>CN.RT.PR</v>
      </c>
      <c r="T8" s="17" t="str">
        <f t="shared" si="8"/>
        <v>e_CN-104_CN.RT.PR_25x150</v>
      </c>
    </row>
    <row r="9" spans="1:20" x14ac:dyDescent="0.25">
      <c r="A9" s="11" t="s">
        <v>711</v>
      </c>
      <c r="B9" s="12" t="s">
        <v>80</v>
      </c>
      <c r="C9" s="13" t="str">
        <f t="shared" si="0"/>
        <v>e</v>
      </c>
      <c r="D9" s="14"/>
      <c r="E9" s="13" t="str">
        <f t="shared" si="1"/>
        <v/>
      </c>
      <c r="F9" s="12" t="s">
        <v>537</v>
      </c>
      <c r="G9" s="13" t="str">
        <f t="shared" si="2"/>
        <v>CN</v>
      </c>
      <c r="H9" s="12" t="s">
        <v>545</v>
      </c>
      <c r="I9" s="13" t="str">
        <f t="shared" si="3"/>
        <v>CR</v>
      </c>
      <c r="J9" s="13" t="str">
        <f t="shared" si="4"/>
        <v>2</v>
      </c>
      <c r="K9" s="12" t="s">
        <v>151</v>
      </c>
      <c r="L9" s="13" t="str">
        <f t="shared" si="5"/>
        <v>GN</v>
      </c>
      <c r="M9" s="12">
        <v>1</v>
      </c>
      <c r="N9" s="15"/>
      <c r="O9" s="13" t="str">
        <f t="shared" si="6"/>
        <v>CN-201</v>
      </c>
      <c r="P9" s="12">
        <v>60</v>
      </c>
      <c r="Q9" s="12"/>
      <c r="R9" s="16"/>
      <c r="S9" s="13" t="str">
        <f t="shared" si="7"/>
        <v>CN.CR.GN</v>
      </c>
      <c r="T9" s="17" t="str">
        <f t="shared" si="8"/>
        <v>e_CN-201_CN.CR.GN_D60</v>
      </c>
    </row>
    <row r="10" spans="1:20" x14ac:dyDescent="0.25">
      <c r="A10" s="11" t="s">
        <v>712</v>
      </c>
      <c r="B10" s="12" t="s">
        <v>80</v>
      </c>
      <c r="C10" s="13" t="str">
        <f t="shared" si="0"/>
        <v>e</v>
      </c>
      <c r="D10" s="14"/>
      <c r="E10" s="13" t="str">
        <f t="shared" si="1"/>
        <v/>
      </c>
      <c r="F10" s="12" t="s">
        <v>537</v>
      </c>
      <c r="G10" s="13" t="str">
        <f t="shared" si="2"/>
        <v>CN</v>
      </c>
      <c r="H10" s="12" t="s">
        <v>545</v>
      </c>
      <c r="I10" s="13" t="str">
        <f t="shared" si="3"/>
        <v>CR</v>
      </c>
      <c r="J10" s="13" t="str">
        <f t="shared" si="4"/>
        <v>2</v>
      </c>
      <c r="K10" s="12" t="s">
        <v>543</v>
      </c>
      <c r="L10" s="13" t="str">
        <f t="shared" si="5"/>
        <v>VT</v>
      </c>
      <c r="M10" s="12">
        <v>2</v>
      </c>
      <c r="N10" s="15"/>
      <c r="O10" s="13" t="str">
        <f t="shared" si="6"/>
        <v>CN-202</v>
      </c>
      <c r="P10" s="12">
        <v>80</v>
      </c>
      <c r="Q10" s="12"/>
      <c r="R10" s="16"/>
      <c r="S10" s="13" t="str">
        <f t="shared" si="7"/>
        <v>CN.CR.VT</v>
      </c>
      <c r="T10" s="17" t="str">
        <f t="shared" si="8"/>
        <v>e_CN-202_CN.CR.VT_D80</v>
      </c>
    </row>
    <row r="11" spans="1:20" x14ac:dyDescent="0.25">
      <c r="A11" s="11" t="s">
        <v>713</v>
      </c>
      <c r="B11" s="12" t="s">
        <v>80</v>
      </c>
      <c r="C11" s="13" t="str">
        <f t="shared" si="0"/>
        <v>e</v>
      </c>
      <c r="D11" s="14"/>
      <c r="E11" s="13" t="str">
        <f t="shared" si="1"/>
        <v/>
      </c>
      <c r="F11" s="12" t="s">
        <v>537</v>
      </c>
      <c r="G11" s="13" t="str">
        <f t="shared" si="2"/>
        <v>CN</v>
      </c>
      <c r="H11" s="12" t="s">
        <v>551</v>
      </c>
      <c r="I11" s="13" t="str">
        <f t="shared" si="3"/>
        <v>LC</v>
      </c>
      <c r="J11" s="13" t="str">
        <f t="shared" si="4"/>
        <v>3</v>
      </c>
      <c r="K11" s="12" t="s">
        <v>560</v>
      </c>
      <c r="L11" s="13" t="str">
        <f t="shared" si="5"/>
        <v>CO</v>
      </c>
      <c r="M11" s="12">
        <v>1</v>
      </c>
      <c r="N11" s="15"/>
      <c r="O11" s="13" t="str">
        <f t="shared" si="6"/>
        <v>CN-301</v>
      </c>
      <c r="P11" s="12">
        <v>50</v>
      </c>
      <c r="Q11" s="12">
        <v>150</v>
      </c>
      <c r="R11" s="16"/>
      <c r="S11" s="13" t="str">
        <f t="shared" si="7"/>
        <v>CN.LC.CO</v>
      </c>
      <c r="T11" s="17" t="str">
        <f t="shared" si="8"/>
        <v>e_CN-301_CN.LC.CO_50x150</v>
      </c>
    </row>
    <row r="12" spans="1:20" x14ac:dyDescent="0.25">
      <c r="A12" s="11" t="s">
        <v>715</v>
      </c>
      <c r="B12" s="12" t="s">
        <v>80</v>
      </c>
      <c r="C12" s="13" t="str">
        <f t="shared" si="0"/>
        <v>e</v>
      </c>
      <c r="D12" s="14"/>
      <c r="E12" s="13" t="str">
        <f t="shared" si="1"/>
        <v/>
      </c>
      <c r="F12" s="12" t="s">
        <v>537</v>
      </c>
      <c r="G12" s="13" t="str">
        <f t="shared" si="2"/>
        <v>CN</v>
      </c>
      <c r="H12" s="12" t="s">
        <v>557</v>
      </c>
      <c r="I12" s="13" t="str">
        <f t="shared" si="3"/>
        <v>VC</v>
      </c>
      <c r="J12" s="13" t="str">
        <f t="shared" si="4"/>
        <v>4</v>
      </c>
      <c r="K12" s="12" t="s">
        <v>560</v>
      </c>
      <c r="L12" s="13" t="str">
        <f t="shared" si="5"/>
        <v>CO</v>
      </c>
      <c r="M12" s="12">
        <v>1</v>
      </c>
      <c r="N12" s="15"/>
      <c r="O12" s="13" t="str">
        <f t="shared" si="6"/>
        <v>CN-401</v>
      </c>
      <c r="P12" s="12">
        <v>50</v>
      </c>
      <c r="Q12" s="12">
        <v>150</v>
      </c>
      <c r="R12" s="16"/>
      <c r="S12" s="13" t="str">
        <f t="shared" si="7"/>
        <v>CN.VC.CO</v>
      </c>
      <c r="T12" s="17" t="str">
        <f t="shared" si="8"/>
        <v>e_CN-401_CN.VC.CO_50x150</v>
      </c>
    </row>
    <row r="13" spans="1:20" x14ac:dyDescent="0.25">
      <c r="A13" s="11" t="s">
        <v>716</v>
      </c>
      <c r="B13" s="12" t="s">
        <v>80</v>
      </c>
      <c r="C13" s="13" t="str">
        <f t="shared" si="0"/>
        <v>e</v>
      </c>
      <c r="D13" s="14"/>
      <c r="E13" s="13" t="str">
        <f t="shared" si="1"/>
        <v/>
      </c>
      <c r="F13" s="12" t="s">
        <v>537</v>
      </c>
      <c r="G13" s="13" t="str">
        <f t="shared" si="2"/>
        <v>CN</v>
      </c>
      <c r="H13" s="12" t="s">
        <v>563</v>
      </c>
      <c r="I13" s="13" t="str">
        <f t="shared" si="3"/>
        <v>TC</v>
      </c>
      <c r="J13" s="13" t="str">
        <f t="shared" si="4"/>
        <v>5</v>
      </c>
      <c r="K13" s="12" t="s">
        <v>560</v>
      </c>
      <c r="L13" s="13" t="str">
        <f t="shared" si="5"/>
        <v>CO</v>
      </c>
      <c r="M13" s="12">
        <v>1</v>
      </c>
      <c r="N13" s="15"/>
      <c r="O13" s="13" t="str">
        <f t="shared" si="6"/>
        <v>CN-501</v>
      </c>
      <c r="P13" s="12">
        <v>60</v>
      </c>
      <c r="Q13" s="12">
        <v>150</v>
      </c>
      <c r="R13" s="16"/>
      <c r="S13" s="13" t="str">
        <f t="shared" si="7"/>
        <v>CN.TC.CO</v>
      </c>
      <c r="T13" s="17" t="str">
        <f t="shared" si="8"/>
        <v>e_CN-501_CN.TC.CO_60x150</v>
      </c>
    </row>
    <row r="14" spans="1:20" x14ac:dyDescent="0.25">
      <c r="A14" s="11" t="s">
        <v>717</v>
      </c>
      <c r="B14" s="12" t="s">
        <v>80</v>
      </c>
      <c r="C14" s="13" t="str">
        <f t="shared" si="0"/>
        <v>e</v>
      </c>
      <c r="D14" s="14"/>
      <c r="E14" s="13" t="str">
        <f t="shared" si="1"/>
        <v/>
      </c>
      <c r="F14" s="12" t="s">
        <v>537</v>
      </c>
      <c r="G14" s="13" t="str">
        <f t="shared" si="2"/>
        <v>CN</v>
      </c>
      <c r="H14" s="12" t="s">
        <v>566</v>
      </c>
      <c r="I14" s="13" t="str">
        <f t="shared" si="3"/>
        <v>QC</v>
      </c>
      <c r="J14" s="13" t="str">
        <f t="shared" si="4"/>
        <v>6</v>
      </c>
      <c r="K14" s="12" t="s">
        <v>560</v>
      </c>
      <c r="L14" s="13" t="str">
        <f t="shared" si="5"/>
        <v>CO</v>
      </c>
      <c r="M14" s="12">
        <v>1</v>
      </c>
      <c r="N14" s="15"/>
      <c r="O14" s="13" t="str">
        <f t="shared" si="6"/>
        <v>CN-601</v>
      </c>
      <c r="P14" s="12">
        <v>50</v>
      </c>
      <c r="Q14" s="12">
        <v>150</v>
      </c>
      <c r="R14" s="16"/>
      <c r="S14" s="13" t="str">
        <f t="shared" si="7"/>
        <v>CN.QC.CO</v>
      </c>
      <c r="T14" s="17" t="str">
        <f t="shared" si="8"/>
        <v>e_CN-601_CN.QC.CO_50x150</v>
      </c>
    </row>
    <row r="15" spans="1:20" x14ac:dyDescent="0.25">
      <c r="A15" s="11" t="s">
        <v>719</v>
      </c>
      <c r="B15" s="12" t="s">
        <v>80</v>
      </c>
      <c r="C15" s="13" t="str">
        <f t="shared" si="0"/>
        <v>e</v>
      </c>
      <c r="D15" s="14" t="s">
        <v>84</v>
      </c>
      <c r="E15" s="13" t="str">
        <f t="shared" si="1"/>
        <v>(I)</v>
      </c>
      <c r="F15" s="12" t="s">
        <v>537</v>
      </c>
      <c r="G15" s="13" t="str">
        <f t="shared" si="2"/>
        <v>CN</v>
      </c>
      <c r="H15" s="12" t="s">
        <v>540</v>
      </c>
      <c r="I15" s="13" t="str">
        <f t="shared" si="3"/>
        <v>RT</v>
      </c>
      <c r="J15" s="13" t="str">
        <f t="shared" si="4"/>
        <v>1</v>
      </c>
      <c r="K15" s="12" t="s">
        <v>151</v>
      </c>
      <c r="L15" s="13" t="str">
        <f t="shared" si="5"/>
        <v>GN</v>
      </c>
      <c r="M15" s="12">
        <v>1</v>
      </c>
      <c r="N15" s="15"/>
      <c r="O15" s="13" t="str">
        <f t="shared" si="6"/>
        <v>CN-101</v>
      </c>
      <c r="P15" s="12">
        <v>50</v>
      </c>
      <c r="Q15" s="12">
        <v>150</v>
      </c>
      <c r="R15" s="16"/>
      <c r="S15" s="13" t="str">
        <f t="shared" si="7"/>
        <v>CN.RT.GN</v>
      </c>
      <c r="T15" s="17" t="str">
        <f t="shared" si="8"/>
        <v>e_CN-101_(I)CN.RT.GN_50x150</v>
      </c>
    </row>
    <row r="16" spans="1:20" x14ac:dyDescent="0.25">
      <c r="A16" s="19">
        <v>1</v>
      </c>
      <c r="B16" s="20"/>
      <c r="C16" s="21" t="str">
        <f t="shared" si="0"/>
        <v/>
      </c>
      <c r="D16" s="22"/>
      <c r="E16" s="21" t="str">
        <f t="shared" si="1"/>
        <v/>
      </c>
      <c r="F16" s="20"/>
      <c r="G16" s="21" t="str">
        <f t="shared" si="2"/>
        <v/>
      </c>
      <c r="H16" s="20"/>
      <c r="I16" s="21" t="str">
        <f t="shared" si="3"/>
        <v/>
      </c>
      <c r="J16" s="21" t="str">
        <f t="shared" si="4"/>
        <v/>
      </c>
      <c r="K16" s="20"/>
      <c r="L16" s="21" t="str">
        <f t="shared" si="5"/>
        <v/>
      </c>
      <c r="M16" s="20"/>
      <c r="N16" s="23"/>
      <c r="O16" s="21" t="str">
        <f t="shared" si="6"/>
        <v/>
      </c>
      <c r="P16" s="20"/>
      <c r="Q16" s="20"/>
      <c r="R16" s="24"/>
      <c r="S16" s="21" t="str">
        <f t="shared" si="7"/>
        <v/>
      </c>
      <c r="T16" s="25" t="str">
        <f t="shared" si="8"/>
        <v/>
      </c>
    </row>
    <row r="17" spans="1:20" x14ac:dyDescent="0.25">
      <c r="A17" s="19">
        <v>2</v>
      </c>
      <c r="B17" s="20"/>
      <c r="C17" s="21" t="str">
        <f t="shared" si="0"/>
        <v/>
      </c>
      <c r="D17" s="22"/>
      <c r="E17" s="21" t="str">
        <f t="shared" si="1"/>
        <v/>
      </c>
      <c r="F17" s="20"/>
      <c r="G17" s="21" t="str">
        <f t="shared" si="2"/>
        <v/>
      </c>
      <c r="H17" s="20"/>
      <c r="I17" s="21" t="str">
        <f t="shared" si="3"/>
        <v/>
      </c>
      <c r="J17" s="21" t="str">
        <f t="shared" si="4"/>
        <v/>
      </c>
      <c r="K17" s="20"/>
      <c r="L17" s="21" t="str">
        <f t="shared" si="5"/>
        <v/>
      </c>
      <c r="M17" s="20"/>
      <c r="N17" s="23"/>
      <c r="O17" s="21" t="str">
        <f t="shared" si="6"/>
        <v/>
      </c>
      <c r="P17" s="20"/>
      <c r="Q17" s="20"/>
      <c r="R17" s="24"/>
      <c r="S17" s="21" t="str">
        <f t="shared" si="7"/>
        <v/>
      </c>
      <c r="T17" s="25" t="str">
        <f t="shared" si="8"/>
        <v/>
      </c>
    </row>
    <row r="18" spans="1:20" x14ac:dyDescent="0.25">
      <c r="A18" s="19">
        <v>3</v>
      </c>
      <c r="B18" s="20"/>
      <c r="C18" s="21" t="str">
        <f t="shared" si="0"/>
        <v/>
      </c>
      <c r="D18" s="22"/>
      <c r="E18" s="21" t="str">
        <f t="shared" si="1"/>
        <v/>
      </c>
      <c r="F18" s="20"/>
      <c r="G18" s="21" t="str">
        <f t="shared" si="2"/>
        <v/>
      </c>
      <c r="H18" s="20"/>
      <c r="I18" s="21" t="str">
        <f t="shared" si="3"/>
        <v/>
      </c>
      <c r="J18" s="21" t="str">
        <f t="shared" si="4"/>
        <v/>
      </c>
      <c r="K18" s="20"/>
      <c r="L18" s="21" t="str">
        <f t="shared" si="5"/>
        <v/>
      </c>
      <c r="M18" s="20"/>
      <c r="N18" s="23"/>
      <c r="O18" s="21" t="str">
        <f t="shared" si="6"/>
        <v/>
      </c>
      <c r="P18" s="20"/>
      <c r="Q18" s="20"/>
      <c r="R18" s="24"/>
      <c r="S18" s="21" t="str">
        <f t="shared" si="7"/>
        <v/>
      </c>
      <c r="T18" s="25" t="str">
        <f t="shared" si="8"/>
        <v/>
      </c>
    </row>
    <row r="19" spans="1:20" x14ac:dyDescent="0.25">
      <c r="A19" s="19">
        <v>4</v>
      </c>
      <c r="B19" s="20"/>
      <c r="C19" s="21" t="str">
        <f t="shared" si="0"/>
        <v/>
      </c>
      <c r="D19" s="22"/>
      <c r="E19" s="21" t="str">
        <f t="shared" si="1"/>
        <v/>
      </c>
      <c r="F19" s="20"/>
      <c r="G19" s="21" t="str">
        <f t="shared" si="2"/>
        <v/>
      </c>
      <c r="H19" s="20"/>
      <c r="I19" s="21" t="str">
        <f t="shared" si="3"/>
        <v/>
      </c>
      <c r="J19" s="21" t="str">
        <f t="shared" si="4"/>
        <v/>
      </c>
      <c r="K19" s="20"/>
      <c r="L19" s="21" t="str">
        <f t="shared" si="5"/>
        <v/>
      </c>
      <c r="M19" s="20"/>
      <c r="N19" s="23"/>
      <c r="O19" s="21" t="str">
        <f t="shared" si="6"/>
        <v/>
      </c>
      <c r="P19" s="20"/>
      <c r="Q19" s="20"/>
      <c r="R19" s="24"/>
      <c r="S19" s="21" t="str">
        <f t="shared" si="7"/>
        <v/>
      </c>
      <c r="T19" s="25" t="str">
        <f t="shared" si="8"/>
        <v/>
      </c>
    </row>
    <row r="20" spans="1:20" x14ac:dyDescent="0.25">
      <c r="A20" s="19">
        <v>5</v>
      </c>
      <c r="B20" s="20"/>
      <c r="C20" s="21" t="str">
        <f t="shared" si="0"/>
        <v/>
      </c>
      <c r="D20" s="22"/>
      <c r="E20" s="21" t="str">
        <f t="shared" si="1"/>
        <v/>
      </c>
      <c r="F20" s="20"/>
      <c r="G20" s="21" t="str">
        <f t="shared" si="2"/>
        <v/>
      </c>
      <c r="H20" s="20"/>
      <c r="I20" s="21" t="str">
        <f t="shared" si="3"/>
        <v/>
      </c>
      <c r="J20" s="21" t="str">
        <f t="shared" si="4"/>
        <v/>
      </c>
      <c r="K20" s="20"/>
      <c r="L20" s="21" t="str">
        <f t="shared" si="5"/>
        <v/>
      </c>
      <c r="M20" s="20"/>
      <c r="N20" s="23"/>
      <c r="O20" s="21" t="str">
        <f t="shared" si="6"/>
        <v/>
      </c>
      <c r="P20" s="20"/>
      <c r="Q20" s="20"/>
      <c r="R20" s="24"/>
      <c r="S20" s="21" t="str">
        <f t="shared" si="7"/>
        <v/>
      </c>
      <c r="T20" s="25" t="str">
        <f t="shared" si="8"/>
        <v/>
      </c>
    </row>
    <row r="21" spans="1:20" x14ac:dyDescent="0.25">
      <c r="A21" s="19">
        <v>6</v>
      </c>
      <c r="B21" s="20"/>
      <c r="C21" s="21" t="str">
        <f t="shared" si="0"/>
        <v/>
      </c>
      <c r="D21" s="22"/>
      <c r="E21" s="21" t="str">
        <f t="shared" si="1"/>
        <v/>
      </c>
      <c r="F21" s="20"/>
      <c r="G21" s="21" t="str">
        <f t="shared" si="2"/>
        <v/>
      </c>
      <c r="H21" s="20"/>
      <c r="I21" s="21" t="str">
        <f t="shared" si="3"/>
        <v/>
      </c>
      <c r="J21" s="21" t="str">
        <f t="shared" si="4"/>
        <v/>
      </c>
      <c r="K21" s="20"/>
      <c r="L21" s="21" t="str">
        <f t="shared" si="5"/>
        <v/>
      </c>
      <c r="M21" s="20"/>
      <c r="N21" s="23"/>
      <c r="O21" s="21" t="str">
        <f t="shared" si="6"/>
        <v/>
      </c>
      <c r="P21" s="20"/>
      <c r="Q21" s="20"/>
      <c r="R21" s="24"/>
      <c r="S21" s="21" t="str">
        <f t="shared" si="7"/>
        <v/>
      </c>
      <c r="T21" s="25" t="str">
        <f t="shared" si="8"/>
        <v/>
      </c>
    </row>
    <row r="22" spans="1:20" x14ac:dyDescent="0.25">
      <c r="A22" s="19">
        <v>7</v>
      </c>
      <c r="B22" s="20"/>
      <c r="C22" s="21" t="str">
        <f t="shared" si="0"/>
        <v/>
      </c>
      <c r="D22" s="22"/>
      <c r="E22" s="21" t="str">
        <f t="shared" si="1"/>
        <v/>
      </c>
      <c r="F22" s="20"/>
      <c r="G22" s="21" t="str">
        <f t="shared" si="2"/>
        <v/>
      </c>
      <c r="H22" s="20"/>
      <c r="I22" s="21" t="str">
        <f t="shared" si="3"/>
        <v/>
      </c>
      <c r="J22" s="21" t="str">
        <f t="shared" si="4"/>
        <v/>
      </c>
      <c r="K22" s="20"/>
      <c r="L22" s="21" t="str">
        <f t="shared" si="5"/>
        <v/>
      </c>
      <c r="M22" s="20"/>
      <c r="N22" s="23"/>
      <c r="O22" s="21" t="str">
        <f t="shared" si="6"/>
        <v/>
      </c>
      <c r="P22" s="20"/>
      <c r="Q22" s="20"/>
      <c r="R22" s="24"/>
      <c r="S22" s="21" t="str">
        <f t="shared" si="7"/>
        <v/>
      </c>
      <c r="T22" s="25" t="str">
        <f t="shared" si="8"/>
        <v/>
      </c>
    </row>
    <row r="23" spans="1:20" x14ac:dyDescent="0.25">
      <c r="A23" s="19">
        <v>8</v>
      </c>
      <c r="B23" s="20"/>
      <c r="C23" s="21" t="str">
        <f t="shared" si="0"/>
        <v/>
      </c>
      <c r="D23" s="22"/>
      <c r="E23" s="21" t="str">
        <f t="shared" si="1"/>
        <v/>
      </c>
      <c r="F23" s="20"/>
      <c r="G23" s="21" t="str">
        <f t="shared" si="2"/>
        <v/>
      </c>
      <c r="H23" s="20"/>
      <c r="I23" s="21" t="str">
        <f t="shared" si="3"/>
        <v/>
      </c>
      <c r="J23" s="21" t="str">
        <f t="shared" si="4"/>
        <v/>
      </c>
      <c r="K23" s="20"/>
      <c r="L23" s="21" t="str">
        <f t="shared" si="5"/>
        <v/>
      </c>
      <c r="M23" s="20"/>
      <c r="N23" s="23"/>
      <c r="O23" s="21" t="str">
        <f t="shared" si="6"/>
        <v/>
      </c>
      <c r="P23" s="20"/>
      <c r="Q23" s="20"/>
      <c r="R23" s="24"/>
      <c r="S23" s="21" t="str">
        <f t="shared" si="7"/>
        <v/>
      </c>
      <c r="T23" s="25" t="str">
        <f t="shared" si="8"/>
        <v/>
      </c>
    </row>
    <row r="24" spans="1:20" x14ac:dyDescent="0.25">
      <c r="A24" s="19">
        <v>9</v>
      </c>
      <c r="B24" s="20"/>
      <c r="C24" s="21" t="str">
        <f t="shared" si="0"/>
        <v/>
      </c>
      <c r="D24" s="22"/>
      <c r="E24" s="21" t="str">
        <f t="shared" si="1"/>
        <v/>
      </c>
      <c r="F24" s="20"/>
      <c r="G24" s="21" t="str">
        <f t="shared" si="2"/>
        <v/>
      </c>
      <c r="H24" s="20"/>
      <c r="I24" s="21" t="str">
        <f t="shared" si="3"/>
        <v/>
      </c>
      <c r="J24" s="21" t="str">
        <f t="shared" si="4"/>
        <v/>
      </c>
      <c r="K24" s="20"/>
      <c r="L24" s="21" t="str">
        <f t="shared" si="5"/>
        <v/>
      </c>
      <c r="M24" s="20"/>
      <c r="N24" s="23"/>
      <c r="O24" s="21" t="str">
        <f t="shared" si="6"/>
        <v/>
      </c>
      <c r="P24" s="20"/>
      <c r="Q24" s="20"/>
      <c r="R24" s="24"/>
      <c r="S24" s="21" t="str">
        <f t="shared" si="7"/>
        <v/>
      </c>
      <c r="T24" s="25" t="str">
        <f t="shared" si="8"/>
        <v/>
      </c>
    </row>
    <row r="25" spans="1:20" x14ac:dyDescent="0.25">
      <c r="A25" s="19">
        <v>10</v>
      </c>
      <c r="B25" s="20"/>
      <c r="C25" s="21" t="str">
        <f t="shared" si="0"/>
        <v/>
      </c>
      <c r="D25" s="22"/>
      <c r="E25" s="21" t="str">
        <f t="shared" si="1"/>
        <v/>
      </c>
      <c r="F25" s="20"/>
      <c r="G25" s="21" t="str">
        <f t="shared" si="2"/>
        <v/>
      </c>
      <c r="H25" s="20"/>
      <c r="I25" s="21" t="str">
        <f t="shared" si="3"/>
        <v/>
      </c>
      <c r="J25" s="21" t="str">
        <f t="shared" si="4"/>
        <v/>
      </c>
      <c r="K25" s="20"/>
      <c r="L25" s="21" t="str">
        <f t="shared" si="5"/>
        <v/>
      </c>
      <c r="M25" s="20"/>
      <c r="N25" s="23"/>
      <c r="O25" s="21" t="str">
        <f t="shared" si="6"/>
        <v/>
      </c>
      <c r="P25" s="20"/>
      <c r="Q25" s="20"/>
      <c r="R25" s="24"/>
      <c r="S25" s="21" t="str">
        <f t="shared" si="7"/>
        <v/>
      </c>
      <c r="T25" s="25" t="str">
        <f t="shared" si="8"/>
        <v/>
      </c>
    </row>
    <row r="26" spans="1:20" x14ac:dyDescent="0.25">
      <c r="A26" s="19">
        <v>11</v>
      </c>
      <c r="B26" s="20"/>
      <c r="C26" s="21" t="str">
        <f t="shared" si="0"/>
        <v/>
      </c>
      <c r="D26" s="22"/>
      <c r="E26" s="21" t="str">
        <f t="shared" si="1"/>
        <v/>
      </c>
      <c r="F26" s="20"/>
      <c r="G26" s="21" t="str">
        <f t="shared" si="2"/>
        <v/>
      </c>
      <c r="H26" s="20"/>
      <c r="I26" s="21" t="str">
        <f t="shared" si="3"/>
        <v/>
      </c>
      <c r="J26" s="21" t="str">
        <f t="shared" si="4"/>
        <v/>
      </c>
      <c r="K26" s="20"/>
      <c r="L26" s="21" t="str">
        <f t="shared" si="5"/>
        <v/>
      </c>
      <c r="M26" s="20"/>
      <c r="N26" s="23"/>
      <c r="O26" s="21" t="str">
        <f t="shared" si="6"/>
        <v/>
      </c>
      <c r="P26" s="20"/>
      <c r="Q26" s="20"/>
      <c r="R26" s="24"/>
      <c r="S26" s="21" t="str">
        <f t="shared" si="7"/>
        <v/>
      </c>
      <c r="T26" s="25" t="str">
        <f t="shared" si="8"/>
        <v/>
      </c>
    </row>
    <row r="27" spans="1:20" x14ac:dyDescent="0.25">
      <c r="A27" s="19">
        <v>12</v>
      </c>
      <c r="B27" s="20"/>
      <c r="C27" s="21" t="str">
        <f t="shared" si="0"/>
        <v/>
      </c>
      <c r="D27" s="22"/>
      <c r="E27" s="21" t="str">
        <f t="shared" si="1"/>
        <v/>
      </c>
      <c r="F27" s="20"/>
      <c r="G27" s="21" t="str">
        <f t="shared" si="2"/>
        <v/>
      </c>
      <c r="H27" s="20"/>
      <c r="I27" s="21" t="str">
        <f t="shared" si="3"/>
        <v/>
      </c>
      <c r="J27" s="21" t="str">
        <f t="shared" si="4"/>
        <v/>
      </c>
      <c r="K27" s="20"/>
      <c r="L27" s="21" t="str">
        <f t="shared" si="5"/>
        <v/>
      </c>
      <c r="M27" s="20"/>
      <c r="N27" s="23"/>
      <c r="O27" s="21" t="str">
        <f t="shared" si="6"/>
        <v/>
      </c>
      <c r="P27" s="20"/>
      <c r="Q27" s="20"/>
      <c r="R27" s="24"/>
      <c r="S27" s="21" t="str">
        <f t="shared" si="7"/>
        <v/>
      </c>
      <c r="T27" s="25" t="str">
        <f t="shared" si="8"/>
        <v/>
      </c>
    </row>
    <row r="28" spans="1:20" x14ac:dyDescent="0.25">
      <c r="A28" s="19">
        <v>13</v>
      </c>
      <c r="B28" s="20"/>
      <c r="C28" s="21" t="str">
        <f t="shared" si="0"/>
        <v/>
      </c>
      <c r="D28" s="22"/>
      <c r="E28" s="21" t="str">
        <f t="shared" si="1"/>
        <v/>
      </c>
      <c r="F28" s="20"/>
      <c r="G28" s="21" t="str">
        <f t="shared" si="2"/>
        <v/>
      </c>
      <c r="H28" s="20"/>
      <c r="I28" s="21" t="str">
        <f t="shared" si="3"/>
        <v/>
      </c>
      <c r="J28" s="21" t="str">
        <f t="shared" si="4"/>
        <v/>
      </c>
      <c r="K28" s="20"/>
      <c r="L28" s="21" t="str">
        <f t="shared" si="5"/>
        <v/>
      </c>
      <c r="M28" s="20"/>
      <c r="N28" s="23"/>
      <c r="O28" s="21" t="str">
        <f t="shared" si="6"/>
        <v/>
      </c>
      <c r="P28" s="20"/>
      <c r="Q28" s="20"/>
      <c r="R28" s="24"/>
      <c r="S28" s="21" t="str">
        <f t="shared" si="7"/>
        <v/>
      </c>
      <c r="T28" s="25" t="str">
        <f t="shared" si="8"/>
        <v/>
      </c>
    </row>
    <row r="29" spans="1:20" x14ac:dyDescent="0.25">
      <c r="A29" s="19">
        <v>14</v>
      </c>
      <c r="B29" s="20"/>
      <c r="C29" s="21" t="str">
        <f t="shared" si="0"/>
        <v/>
      </c>
      <c r="D29" s="22"/>
      <c r="E29" s="21" t="str">
        <f t="shared" si="1"/>
        <v/>
      </c>
      <c r="F29" s="20"/>
      <c r="G29" s="21" t="str">
        <f t="shared" si="2"/>
        <v/>
      </c>
      <c r="H29" s="20"/>
      <c r="I29" s="21" t="str">
        <f t="shared" si="3"/>
        <v/>
      </c>
      <c r="J29" s="21" t="str">
        <f t="shared" si="4"/>
        <v/>
      </c>
      <c r="K29" s="20"/>
      <c r="L29" s="21" t="str">
        <f t="shared" si="5"/>
        <v/>
      </c>
      <c r="M29" s="20"/>
      <c r="N29" s="23"/>
      <c r="O29" s="21" t="str">
        <f t="shared" si="6"/>
        <v/>
      </c>
      <c r="P29" s="20"/>
      <c r="Q29" s="20"/>
      <c r="R29" s="24"/>
      <c r="S29" s="21" t="str">
        <f t="shared" si="7"/>
        <v/>
      </c>
      <c r="T29" s="25" t="str">
        <f t="shared" si="8"/>
        <v/>
      </c>
    </row>
    <row r="30" spans="1:20" x14ac:dyDescent="0.25">
      <c r="A30" s="19">
        <v>15</v>
      </c>
      <c r="B30" s="20"/>
      <c r="C30" s="21" t="str">
        <f t="shared" si="0"/>
        <v/>
      </c>
      <c r="D30" s="22"/>
      <c r="E30" s="21" t="str">
        <f t="shared" si="1"/>
        <v/>
      </c>
      <c r="F30" s="20"/>
      <c r="G30" s="21" t="str">
        <f t="shared" si="2"/>
        <v/>
      </c>
      <c r="H30" s="20"/>
      <c r="I30" s="21" t="str">
        <f t="shared" si="3"/>
        <v/>
      </c>
      <c r="J30" s="21" t="str">
        <f t="shared" si="4"/>
        <v/>
      </c>
      <c r="K30" s="20"/>
      <c r="L30" s="21" t="str">
        <f t="shared" si="5"/>
        <v/>
      </c>
      <c r="M30" s="20"/>
      <c r="N30" s="23"/>
      <c r="O30" s="21" t="str">
        <f t="shared" si="6"/>
        <v/>
      </c>
      <c r="P30" s="20"/>
      <c r="Q30" s="20"/>
      <c r="R30" s="24"/>
      <c r="S30" s="21" t="str">
        <f t="shared" si="7"/>
        <v/>
      </c>
      <c r="T30" s="25" t="str">
        <f t="shared" si="8"/>
        <v/>
      </c>
    </row>
    <row r="33" spans="1:20" ht="21.95" customHeight="1" x14ac:dyDescent="0.25">
      <c r="A33" s="38" t="s">
        <v>851</v>
      </c>
      <c r="B33" s="39"/>
      <c r="C33" s="39"/>
      <c r="D33" s="39"/>
      <c r="E33" s="39"/>
      <c r="F33" s="39"/>
      <c r="G33" s="39"/>
      <c r="H33" s="39"/>
      <c r="I33" s="39"/>
      <c r="J33" s="39"/>
      <c r="K33" s="39"/>
      <c r="L33" s="39"/>
      <c r="M33" s="39"/>
      <c r="N33" s="39"/>
      <c r="O33" s="39"/>
      <c r="P33" s="39"/>
      <c r="Q33" s="39"/>
      <c r="R33" s="39"/>
      <c r="S33" s="39"/>
      <c r="T33" s="39"/>
    </row>
    <row r="34" spans="1:20" ht="15.95" customHeight="1" x14ac:dyDescent="0.25">
      <c r="A34" s="40" t="s">
        <v>778</v>
      </c>
      <c r="B34" s="31"/>
      <c r="C34" s="31"/>
      <c r="D34" s="31"/>
      <c r="E34" s="31"/>
      <c r="F34" s="31"/>
      <c r="G34" s="31"/>
      <c r="H34" s="31"/>
      <c r="I34" s="31"/>
      <c r="J34" s="31"/>
      <c r="K34" s="31"/>
      <c r="L34" s="31"/>
      <c r="M34" s="31"/>
      <c r="N34" s="31"/>
      <c r="O34" s="31"/>
      <c r="P34" s="31"/>
      <c r="Q34" s="31"/>
      <c r="R34" s="31"/>
      <c r="S34" s="31"/>
      <c r="T34" s="31"/>
    </row>
    <row r="36" spans="1:20" ht="18" customHeight="1" x14ac:dyDescent="0.25">
      <c r="A36" s="36" t="s">
        <v>795</v>
      </c>
      <c r="B36" s="31"/>
      <c r="C36" s="31"/>
      <c r="D36" s="31"/>
      <c r="E36" s="31"/>
      <c r="F36" s="31"/>
      <c r="G36" s="31"/>
      <c r="H36" s="31"/>
      <c r="I36" s="31"/>
      <c r="J36" s="31"/>
      <c r="K36" s="31"/>
      <c r="L36" s="31"/>
      <c r="M36" s="31"/>
      <c r="N36" s="31"/>
      <c r="O36" s="31"/>
      <c r="P36" s="31"/>
      <c r="Q36" s="31"/>
      <c r="R36" s="31"/>
      <c r="S36" s="31"/>
      <c r="T36" s="31"/>
    </row>
    <row r="37" spans="1:20" ht="21" customHeight="1" x14ac:dyDescent="0.25">
      <c r="A37" s="37" t="s">
        <v>852</v>
      </c>
      <c r="B37" s="31"/>
      <c r="C37" s="31"/>
      <c r="D37" s="31"/>
      <c r="E37" s="31"/>
      <c r="F37" s="31"/>
      <c r="G37" s="31"/>
      <c r="H37" s="31"/>
      <c r="I37" s="31"/>
      <c r="J37" s="31"/>
      <c r="K37" s="31"/>
      <c r="L37" s="31"/>
      <c r="M37" s="31"/>
      <c r="N37" s="31"/>
      <c r="O37" s="31"/>
      <c r="P37" s="31"/>
      <c r="Q37" s="31"/>
      <c r="R37" s="31"/>
      <c r="S37" s="31"/>
      <c r="T37" s="31"/>
    </row>
    <row r="38" spans="1:20" ht="6" customHeight="1" x14ac:dyDescent="0.25"/>
    <row r="39" spans="1:20" ht="18" customHeight="1" x14ac:dyDescent="0.25">
      <c r="A39" s="36" t="s">
        <v>728</v>
      </c>
      <c r="B39" s="31"/>
      <c r="C39" s="31"/>
      <c r="D39" s="31"/>
      <c r="E39" s="31"/>
      <c r="F39" s="31"/>
      <c r="G39" s="31"/>
      <c r="H39" s="31"/>
      <c r="I39" s="31"/>
      <c r="J39" s="31"/>
      <c r="K39" s="31"/>
      <c r="L39" s="31"/>
      <c r="M39" s="31"/>
      <c r="N39" s="31"/>
      <c r="O39" s="31"/>
      <c r="P39" s="31"/>
      <c r="Q39" s="31"/>
      <c r="R39" s="31"/>
      <c r="S39" s="31"/>
      <c r="T39" s="31"/>
    </row>
    <row r="40" spans="1:20" ht="51" customHeight="1" x14ac:dyDescent="0.25">
      <c r="A40" s="37" t="s">
        <v>729</v>
      </c>
      <c r="B40" s="31"/>
      <c r="C40" s="31"/>
      <c r="D40" s="31"/>
      <c r="E40" s="31"/>
      <c r="F40" s="31"/>
      <c r="G40" s="31"/>
      <c r="H40" s="31"/>
      <c r="I40" s="31"/>
      <c r="J40" s="31"/>
      <c r="K40" s="31"/>
      <c r="L40" s="31"/>
      <c r="M40" s="31"/>
      <c r="N40" s="31"/>
      <c r="O40" s="31"/>
      <c r="P40" s="31"/>
      <c r="Q40" s="31"/>
      <c r="R40" s="31"/>
      <c r="S40" s="31"/>
      <c r="T40" s="31"/>
    </row>
    <row r="41" spans="1:20" ht="6" customHeight="1" x14ac:dyDescent="0.25"/>
    <row r="44" spans="1:20" ht="21.95" customHeight="1" x14ac:dyDescent="0.25">
      <c r="A44" s="38" t="s">
        <v>730</v>
      </c>
      <c r="B44" s="39"/>
      <c r="C44" s="39"/>
      <c r="D44" s="39"/>
      <c r="E44" s="39"/>
      <c r="F44" s="39"/>
      <c r="G44" s="39"/>
      <c r="H44" s="39"/>
      <c r="I44" s="39"/>
      <c r="J44" s="39"/>
      <c r="K44" s="39"/>
      <c r="L44" s="39"/>
      <c r="M44" s="39"/>
      <c r="N44" s="39"/>
      <c r="O44" s="39"/>
      <c r="P44" s="39"/>
      <c r="Q44" s="39"/>
      <c r="R44" s="39"/>
      <c r="S44" s="39"/>
      <c r="T44" s="39"/>
    </row>
    <row r="46" spans="1:20" ht="18" customHeight="1" x14ac:dyDescent="0.25">
      <c r="A46" s="36" t="s">
        <v>70</v>
      </c>
      <c r="B46" s="31"/>
      <c r="C46" s="31"/>
      <c r="D46" s="31"/>
      <c r="E46" s="31"/>
      <c r="F46" s="31"/>
      <c r="G46" s="31"/>
      <c r="H46" s="31"/>
      <c r="I46" s="31"/>
      <c r="J46" s="31"/>
      <c r="K46" s="31"/>
      <c r="L46" s="31"/>
      <c r="M46" s="31"/>
      <c r="N46" s="31"/>
      <c r="O46" s="31"/>
      <c r="P46" s="31"/>
      <c r="Q46" s="31"/>
      <c r="R46" s="31"/>
      <c r="S46" s="31"/>
      <c r="T46" s="31"/>
    </row>
    <row r="47" spans="1:20" ht="21" customHeight="1" x14ac:dyDescent="0.25">
      <c r="A47" s="37" t="s">
        <v>731</v>
      </c>
      <c r="B47" s="31"/>
      <c r="C47" s="31"/>
      <c r="D47" s="31"/>
      <c r="E47" s="31"/>
      <c r="F47" s="31"/>
      <c r="G47" s="31"/>
      <c r="H47" s="31"/>
      <c r="I47" s="31"/>
      <c r="J47" s="31"/>
      <c r="K47" s="31"/>
      <c r="L47" s="31"/>
      <c r="M47" s="31"/>
      <c r="N47" s="31"/>
      <c r="O47" s="31"/>
      <c r="P47" s="31"/>
      <c r="Q47" s="31"/>
      <c r="R47" s="31"/>
      <c r="S47" s="31"/>
      <c r="T47" s="31"/>
    </row>
    <row r="48" spans="1:20" ht="6" customHeight="1" x14ac:dyDescent="0.25"/>
    <row r="49" spans="1:20" ht="18" customHeight="1" x14ac:dyDescent="0.25">
      <c r="A49" s="36" t="s">
        <v>84</v>
      </c>
      <c r="B49" s="31"/>
      <c r="C49" s="31"/>
      <c r="D49" s="31"/>
      <c r="E49" s="31"/>
      <c r="F49" s="31"/>
      <c r="G49" s="31"/>
      <c r="H49" s="31"/>
      <c r="I49" s="31"/>
      <c r="J49" s="31"/>
      <c r="K49" s="31"/>
      <c r="L49" s="31"/>
      <c r="M49" s="31"/>
      <c r="N49" s="31"/>
      <c r="O49" s="31"/>
      <c r="P49" s="31"/>
      <c r="Q49" s="31"/>
      <c r="R49" s="31"/>
      <c r="S49" s="31"/>
      <c r="T49" s="31"/>
    </row>
    <row r="50" spans="1:20" ht="36" customHeight="1" x14ac:dyDescent="0.25">
      <c r="A50" s="37" t="s">
        <v>732</v>
      </c>
      <c r="B50" s="31"/>
      <c r="C50" s="31"/>
      <c r="D50" s="31"/>
      <c r="E50" s="31"/>
      <c r="F50" s="31"/>
      <c r="G50" s="31"/>
      <c r="H50" s="31"/>
      <c r="I50" s="31"/>
      <c r="J50" s="31"/>
      <c r="K50" s="31"/>
      <c r="L50" s="31"/>
      <c r="M50" s="31"/>
      <c r="N50" s="31"/>
      <c r="O50" s="31"/>
      <c r="P50" s="31"/>
      <c r="Q50" s="31"/>
      <c r="R50" s="31"/>
      <c r="S50" s="31"/>
      <c r="T50" s="31"/>
    </row>
    <row r="51" spans="1:20" ht="6" customHeight="1" x14ac:dyDescent="0.25"/>
    <row r="52" spans="1:20" ht="18" customHeight="1" x14ac:dyDescent="0.25">
      <c r="A52" s="36" t="s">
        <v>684</v>
      </c>
      <c r="B52" s="31"/>
      <c r="C52" s="31"/>
      <c r="D52" s="31"/>
      <c r="E52" s="31"/>
      <c r="F52" s="31"/>
      <c r="G52" s="31"/>
      <c r="H52" s="31"/>
      <c r="I52" s="31"/>
      <c r="J52" s="31"/>
      <c r="K52" s="31"/>
      <c r="L52" s="31"/>
      <c r="M52" s="31"/>
      <c r="N52" s="31"/>
      <c r="O52" s="31"/>
      <c r="P52" s="31"/>
      <c r="Q52" s="31"/>
      <c r="R52" s="31"/>
      <c r="S52" s="31"/>
      <c r="T52" s="31"/>
    </row>
    <row r="53" spans="1:20" ht="21" customHeight="1" x14ac:dyDescent="0.25">
      <c r="A53" s="37" t="s">
        <v>733</v>
      </c>
      <c r="B53" s="31"/>
      <c r="C53" s="31"/>
      <c r="D53" s="31"/>
      <c r="E53" s="31"/>
      <c r="F53" s="31"/>
      <c r="G53" s="31"/>
      <c r="H53" s="31"/>
      <c r="I53" s="31"/>
      <c r="J53" s="31"/>
      <c r="K53" s="31"/>
      <c r="L53" s="31"/>
      <c r="M53" s="31"/>
      <c r="N53" s="31"/>
      <c r="O53" s="31"/>
      <c r="P53" s="31"/>
      <c r="Q53" s="31"/>
      <c r="R53" s="31"/>
      <c r="S53" s="31"/>
      <c r="T53" s="31"/>
    </row>
    <row r="54" spans="1:20" ht="6" customHeight="1" x14ac:dyDescent="0.25"/>
    <row r="55" spans="1:20" ht="18" customHeight="1" x14ac:dyDescent="0.25">
      <c r="A55" s="36" t="s">
        <v>686</v>
      </c>
      <c r="B55" s="31"/>
      <c r="C55" s="31"/>
      <c r="D55" s="31"/>
      <c r="E55" s="31"/>
      <c r="F55" s="31"/>
      <c r="G55" s="31"/>
      <c r="H55" s="31"/>
      <c r="I55" s="31"/>
      <c r="J55" s="31"/>
      <c r="K55" s="31"/>
      <c r="L55" s="31"/>
      <c r="M55" s="31"/>
      <c r="N55" s="31"/>
      <c r="O55" s="31"/>
      <c r="P55" s="31"/>
      <c r="Q55" s="31"/>
      <c r="R55" s="31"/>
      <c r="S55" s="31"/>
      <c r="T55" s="31"/>
    </row>
    <row r="56" spans="1:20" ht="21" customHeight="1" x14ac:dyDescent="0.25">
      <c r="A56" s="37" t="s">
        <v>853</v>
      </c>
      <c r="B56" s="31"/>
      <c r="C56" s="31"/>
      <c r="D56" s="31"/>
      <c r="E56" s="31"/>
      <c r="F56" s="31"/>
      <c r="G56" s="31"/>
      <c r="H56" s="31"/>
      <c r="I56" s="31"/>
      <c r="J56" s="31"/>
      <c r="K56" s="31"/>
      <c r="L56" s="31"/>
      <c r="M56" s="31"/>
      <c r="N56" s="31"/>
      <c r="O56" s="31"/>
      <c r="P56" s="31"/>
      <c r="Q56" s="31"/>
      <c r="R56" s="31"/>
      <c r="S56" s="31"/>
      <c r="T56" s="31"/>
    </row>
    <row r="57" spans="1:20" ht="6" customHeight="1" x14ac:dyDescent="0.25"/>
    <row r="58" spans="1:20" ht="18" customHeight="1" x14ac:dyDescent="0.25">
      <c r="A58" s="36" t="s">
        <v>689</v>
      </c>
      <c r="B58" s="31"/>
      <c r="C58" s="31"/>
      <c r="D58" s="31"/>
      <c r="E58" s="31"/>
      <c r="F58" s="31"/>
      <c r="G58" s="31"/>
      <c r="H58" s="31"/>
      <c r="I58" s="31"/>
      <c r="J58" s="31"/>
      <c r="K58" s="31"/>
      <c r="L58" s="31"/>
      <c r="M58" s="31"/>
      <c r="N58" s="31"/>
      <c r="O58" s="31"/>
      <c r="P58" s="31"/>
      <c r="Q58" s="31"/>
      <c r="R58" s="31"/>
      <c r="S58" s="31"/>
      <c r="T58" s="31"/>
    </row>
    <row r="59" spans="1:20" ht="21" customHeight="1" x14ac:dyDescent="0.25">
      <c r="A59" s="37" t="s">
        <v>854</v>
      </c>
      <c r="B59" s="31"/>
      <c r="C59" s="31"/>
      <c r="D59" s="31"/>
      <c r="E59" s="31"/>
      <c r="F59" s="31"/>
      <c r="G59" s="31"/>
      <c r="H59" s="31"/>
      <c r="I59" s="31"/>
      <c r="J59" s="31"/>
      <c r="K59" s="31"/>
      <c r="L59" s="31"/>
      <c r="M59" s="31"/>
      <c r="N59" s="31"/>
      <c r="O59" s="31"/>
      <c r="P59" s="31"/>
      <c r="Q59" s="31"/>
      <c r="R59" s="31"/>
      <c r="S59" s="31"/>
      <c r="T59" s="31"/>
    </row>
    <row r="60" spans="1:20" ht="6" customHeight="1" x14ac:dyDescent="0.25"/>
    <row r="61" spans="1:20" ht="18" customHeight="1" x14ac:dyDescent="0.25">
      <c r="A61" s="36" t="s">
        <v>692</v>
      </c>
      <c r="B61" s="31"/>
      <c r="C61" s="31"/>
      <c r="D61" s="31"/>
      <c r="E61" s="31"/>
      <c r="F61" s="31"/>
      <c r="G61" s="31"/>
      <c r="H61" s="31"/>
      <c r="I61" s="31"/>
      <c r="J61" s="31"/>
      <c r="K61" s="31"/>
      <c r="L61" s="31"/>
      <c r="M61" s="31"/>
      <c r="N61" s="31"/>
      <c r="O61" s="31"/>
      <c r="P61" s="31"/>
      <c r="Q61" s="31"/>
      <c r="R61" s="31"/>
      <c r="S61" s="31"/>
      <c r="T61" s="31"/>
    </row>
    <row r="62" spans="1:20" ht="21" customHeight="1" x14ac:dyDescent="0.25">
      <c r="A62" s="37" t="s">
        <v>737</v>
      </c>
      <c r="B62" s="31"/>
      <c r="C62" s="31"/>
      <c r="D62" s="31"/>
      <c r="E62" s="31"/>
      <c r="F62" s="31"/>
      <c r="G62" s="31"/>
      <c r="H62" s="31"/>
      <c r="I62" s="31"/>
      <c r="J62" s="31"/>
      <c r="K62" s="31"/>
      <c r="L62" s="31"/>
      <c r="M62" s="31"/>
      <c r="N62" s="31"/>
      <c r="O62" s="31"/>
      <c r="P62" s="31"/>
      <c r="Q62" s="31"/>
      <c r="R62" s="31"/>
      <c r="S62" s="31"/>
      <c r="T62" s="31"/>
    </row>
    <row r="63" spans="1:20" ht="6" customHeight="1" x14ac:dyDescent="0.25"/>
    <row r="64" spans="1:20" ht="18" customHeight="1" x14ac:dyDescent="0.25">
      <c r="A64" s="36" t="s">
        <v>693</v>
      </c>
      <c r="B64" s="31"/>
      <c r="C64" s="31"/>
      <c r="D64" s="31"/>
      <c r="E64" s="31"/>
      <c r="F64" s="31"/>
      <c r="G64" s="31"/>
      <c r="H64" s="31"/>
      <c r="I64" s="31"/>
      <c r="J64" s="31"/>
      <c r="K64" s="31"/>
      <c r="L64" s="31"/>
      <c r="M64" s="31"/>
      <c r="N64" s="31"/>
      <c r="O64" s="31"/>
      <c r="P64" s="31"/>
      <c r="Q64" s="31"/>
      <c r="R64" s="31"/>
      <c r="S64" s="31"/>
      <c r="T64" s="31"/>
    </row>
    <row r="65" spans="1:20" ht="21" customHeight="1" x14ac:dyDescent="0.25">
      <c r="A65" s="37" t="s">
        <v>738</v>
      </c>
      <c r="B65" s="31"/>
      <c r="C65" s="31"/>
      <c r="D65" s="31"/>
      <c r="E65" s="31"/>
      <c r="F65" s="31"/>
      <c r="G65" s="31"/>
      <c r="H65" s="31"/>
      <c r="I65" s="31"/>
      <c r="J65" s="31"/>
      <c r="K65" s="31"/>
      <c r="L65" s="31"/>
      <c r="M65" s="31"/>
      <c r="N65" s="31"/>
      <c r="O65" s="31"/>
      <c r="P65" s="31"/>
      <c r="Q65" s="31"/>
      <c r="R65" s="31"/>
      <c r="S65" s="31"/>
      <c r="T65" s="31"/>
    </row>
    <row r="66" spans="1:20" ht="6" customHeight="1" x14ac:dyDescent="0.25"/>
    <row r="67" spans="1:20" ht="18" customHeight="1" x14ac:dyDescent="0.25">
      <c r="A67" s="36" t="s">
        <v>849</v>
      </c>
      <c r="B67" s="31"/>
      <c r="C67" s="31"/>
      <c r="D67" s="31"/>
      <c r="E67" s="31"/>
      <c r="F67" s="31"/>
      <c r="G67" s="31"/>
      <c r="H67" s="31"/>
      <c r="I67" s="31"/>
      <c r="J67" s="31"/>
      <c r="K67" s="31"/>
      <c r="L67" s="31"/>
      <c r="M67" s="31"/>
      <c r="N67" s="31"/>
      <c r="O67" s="31"/>
      <c r="P67" s="31"/>
      <c r="Q67" s="31"/>
      <c r="R67" s="31"/>
      <c r="S67" s="31"/>
      <c r="T67" s="31"/>
    </row>
    <row r="68" spans="1:20" ht="21" customHeight="1" x14ac:dyDescent="0.25">
      <c r="A68" s="37" t="s">
        <v>855</v>
      </c>
      <c r="B68" s="31"/>
      <c r="C68" s="31"/>
      <c r="D68" s="31"/>
      <c r="E68" s="31"/>
      <c r="F68" s="31"/>
      <c r="G68" s="31"/>
      <c r="H68" s="31"/>
      <c r="I68" s="31"/>
      <c r="J68" s="31"/>
      <c r="K68" s="31"/>
      <c r="L68" s="31"/>
      <c r="M68" s="31"/>
      <c r="N68" s="31"/>
      <c r="O68" s="31"/>
      <c r="P68" s="31"/>
      <c r="Q68" s="31"/>
      <c r="R68" s="31"/>
      <c r="S68" s="31"/>
      <c r="T68" s="31"/>
    </row>
    <row r="69" spans="1:20" ht="6" customHeight="1" x14ac:dyDescent="0.25"/>
    <row r="70" spans="1:20" ht="18" customHeight="1" x14ac:dyDescent="0.25">
      <c r="A70" s="36" t="s">
        <v>850</v>
      </c>
      <c r="B70" s="31"/>
      <c r="C70" s="31"/>
      <c r="D70" s="31"/>
      <c r="E70" s="31"/>
      <c r="F70" s="31"/>
      <c r="G70" s="31"/>
      <c r="H70" s="31"/>
      <c r="I70" s="31"/>
      <c r="J70" s="31"/>
      <c r="K70" s="31"/>
      <c r="L70" s="31"/>
      <c r="M70" s="31"/>
      <c r="N70" s="31"/>
      <c r="O70" s="31"/>
      <c r="P70" s="31"/>
      <c r="Q70" s="31"/>
      <c r="R70" s="31"/>
      <c r="S70" s="31"/>
      <c r="T70" s="31"/>
    </row>
    <row r="71" spans="1:20" ht="21" customHeight="1" x14ac:dyDescent="0.25">
      <c r="A71" s="37" t="s">
        <v>856</v>
      </c>
      <c r="B71" s="31"/>
      <c r="C71" s="31"/>
      <c r="D71" s="31"/>
      <c r="E71" s="31"/>
      <c r="F71" s="31"/>
      <c r="G71" s="31"/>
      <c r="H71" s="31"/>
      <c r="I71" s="31"/>
      <c r="J71" s="31"/>
      <c r="K71" s="31"/>
      <c r="L71" s="31"/>
      <c r="M71" s="31"/>
      <c r="N71" s="31"/>
      <c r="O71" s="31"/>
      <c r="P71" s="31"/>
      <c r="Q71" s="31"/>
      <c r="R71" s="31"/>
      <c r="S71" s="31"/>
      <c r="T71" s="31"/>
    </row>
    <row r="72" spans="1:20" ht="6" customHeight="1" x14ac:dyDescent="0.25"/>
    <row r="73" spans="1:20" ht="18" customHeight="1" x14ac:dyDescent="0.25">
      <c r="A73" s="36" t="s">
        <v>699</v>
      </c>
      <c r="B73" s="31"/>
      <c r="C73" s="31"/>
      <c r="D73" s="31"/>
      <c r="E73" s="31"/>
      <c r="F73" s="31"/>
      <c r="G73" s="31"/>
      <c r="H73" s="31"/>
      <c r="I73" s="31"/>
      <c r="J73" s="31"/>
      <c r="K73" s="31"/>
      <c r="L73" s="31"/>
      <c r="M73" s="31"/>
      <c r="N73" s="31"/>
      <c r="O73" s="31"/>
      <c r="P73" s="31"/>
      <c r="Q73" s="31"/>
      <c r="R73" s="31"/>
      <c r="S73" s="31"/>
      <c r="T73" s="31"/>
    </row>
    <row r="74" spans="1:20" ht="21" customHeight="1" x14ac:dyDescent="0.25">
      <c r="A74" s="37" t="s">
        <v>743</v>
      </c>
      <c r="B74" s="31"/>
      <c r="C74" s="31"/>
      <c r="D74" s="31"/>
      <c r="E74" s="31"/>
      <c r="F74" s="31"/>
      <c r="G74" s="31"/>
      <c r="H74" s="31"/>
      <c r="I74" s="31"/>
      <c r="J74" s="31"/>
      <c r="K74" s="31"/>
      <c r="L74" s="31"/>
      <c r="M74" s="31"/>
      <c r="N74" s="31"/>
      <c r="O74" s="31"/>
      <c r="P74" s="31"/>
      <c r="Q74" s="31"/>
      <c r="R74" s="31"/>
      <c r="S74" s="31"/>
      <c r="T74" s="31"/>
    </row>
    <row r="75" spans="1:20" ht="6" customHeight="1" x14ac:dyDescent="0.25"/>
    <row r="78" spans="1:20" x14ac:dyDescent="0.25">
      <c r="A78" s="40" t="s">
        <v>744</v>
      </c>
      <c r="B78" s="31"/>
      <c r="C78" s="31"/>
      <c r="D78" s="31"/>
      <c r="E78" s="31"/>
      <c r="F78" s="31"/>
      <c r="G78" s="31"/>
      <c r="H78" s="31"/>
      <c r="I78" s="31"/>
      <c r="J78" s="31"/>
      <c r="K78" s="31"/>
      <c r="L78" s="31"/>
      <c r="M78" s="31"/>
      <c r="N78" s="31"/>
      <c r="O78" s="31"/>
      <c r="P78" s="31"/>
      <c r="Q78" s="31"/>
      <c r="R78" s="31"/>
      <c r="S78" s="31"/>
      <c r="T78" s="31"/>
    </row>
  </sheetData>
  <mergeCells count="28">
    <mergeCell ref="A33:T33"/>
    <mergeCell ref="A71:T71"/>
    <mergeCell ref="A47:T47"/>
    <mergeCell ref="A62:T62"/>
    <mergeCell ref="A53:T53"/>
    <mergeCell ref="A52:T52"/>
    <mergeCell ref="A68:T68"/>
    <mergeCell ref="A44:T44"/>
    <mergeCell ref="A78:T78"/>
    <mergeCell ref="A65:T65"/>
    <mergeCell ref="A37:T37"/>
    <mergeCell ref="A46:T46"/>
    <mergeCell ref="A74:T74"/>
    <mergeCell ref="A50:T50"/>
    <mergeCell ref="A56:T56"/>
    <mergeCell ref="A55:T55"/>
    <mergeCell ref="A73:T73"/>
    <mergeCell ref="A49:T49"/>
    <mergeCell ref="A36:T36"/>
    <mergeCell ref="A61:T61"/>
    <mergeCell ref="A70:T70"/>
    <mergeCell ref="A67:T67"/>
    <mergeCell ref="A58:T58"/>
    <mergeCell ref="A34:T34"/>
    <mergeCell ref="A40:T40"/>
    <mergeCell ref="A39:T39"/>
    <mergeCell ref="A64:T64"/>
    <mergeCell ref="A59:T59"/>
  </mergeCells>
  <dataValidations count="10">
    <dataValidation type="list" allowBlank="1" errorTitle="Valore non valido" error="Seleziona dalla lista." promptTitle="Author" prompt="Autore della codifica." sqref="B5:B30" xr:uid="{00000000-0002-0000-0B00-000000000000}">
      <formula1>Author_Name</formula1>
    </dataValidation>
    <dataValidation type="list" allowBlank="1" errorTitle="Valore non valido" error="Seleziona dalla lista, oppure lascia vuoto." promptTitle="In Place" sqref="D5:D30" xr:uid="{00000000-0002-0000-0B00-000001000000}">
      <formula1>InPl_Name</formula1>
    </dataValidation>
    <dataValidation type="list" allowBlank="1" errorTitle="Valore non valido" error="Seleziona dalla lista." promptTitle="Famiglia di sistema" prompt="Famiglia di sistema Revit." sqref="F5:F30" xr:uid="{00000000-0002-0000-0B00-000002000000}">
      <formula1>CN_Cat_Name</formula1>
    </dataValidation>
    <dataValidation type="list" allowBlank="1" errorTitle="Valore non valido" error="Seleziona dalla lista." promptTitle="Group1" prompt="Profilo del montante." sqref="H5:H30" xr:uid="{00000000-0002-0000-0B00-000003000000}">
      <formula1>CN_G1_Name</formula1>
    </dataValidation>
    <dataValidation type="list" allowBlank="1" errorTitle="Valore non valido" error="Seleziona dalla lista." promptTitle="Group2" prompt="Posizione nella griglia. GN = profilo valido in qualunque posizione." sqref="K5:K30" xr:uid="{00000000-0002-0000-0B00-000004000000}">
      <formula1>CN_G2_Name</formula1>
    </dataValidation>
    <dataValidation type="custom" allowBlank="1" errorTitle="Non valido" error="Inserisci un intero tra 0 e 99, oppure XX se i tipi non sono ancora definiti. Se Group1 è Other compila il Type Mark manuale." promptTitle="TM sequenza" prompt="Due cifre da 0 a 99. Distingue le varianti di stesso Group1 e stesso Group2. Tipo non ancora definito → XX. Non si compila con Group1 = OT." sqref="M5:M30" xr:uid="{00000000-0002-0000-0B00-000005000000}">
      <formula1>AND($I5&lt;&gt;"OT",OR(UPPER($M5)="XX",AND(ISNUMBER($M5),$M5&gt;=0,$M5&lt;=99,$M5=INT($M5))))</formula1>
    </dataValidation>
    <dataValidation type="custom" allowBlank="1" errorTitle="Non ammesso qui" error="Si usa solo quando Group1 è Other." promptTitle="Type Mark manuale" prompt="Solo con Group1 = OT. Sostituisce tutto il Type Mark, prefisso di categoria compreso. Finiture → prefisso materiale + tre cifre: PT-001, WD-001, MT-001." sqref="N5:N30" xr:uid="{00000000-0002-0000-0B00-000006000000}">
      <formula1>$I5="OT"</formula1>
    </dataValidation>
    <dataValidation type="decimal" operator="greaterThan" allowBlank="1" errorTitle="Non valido" error="Inserisci un valore maggiore di 0." promptTitle="Width or Ø mm" prompt="Larghezza totale del profilo in mm. Profilo tondo → diametro, e la colonna successiva resta vuota." sqref="P5:P30" xr:uid="{00000000-0002-0000-0B00-000007000000}">
      <formula1>0</formula1>
    </dataValidation>
    <dataValidation type="decimal" operator="greaterThan" allowBlank="1" errorTitle="Non valido" error="Inserisci un valore maggiore di 0." promptTitle="Depth or section height mm" prompt="Seconda dimensione della sezione in mm. Profilo tondo → vuota; il nome diventa D + diametro." sqref="Q5:Q30" xr:uid="{00000000-0002-0000-0B00-000008000000}">
      <formula1>0</formula1>
    </dataValidation>
    <dataValidation type="textLength" operator="lessThanOrEqual" allowBlank="1" errorTitle="Troppo lunga" error="Massimo 40 caratteri." promptTitle="Description" prompt="Facoltativa. Solo se aggiunge un’informazione non già nei codici: destinazione, posizione, o ciò che distingue due tipi altrimenti identici. Senza spazi, iniziali maiuscole, massimo 40 caratteri, senza accenti." sqref="R5:R30" xr:uid="{00000000-0002-0000-0B00-000009000000}">
      <formula1>40</formula1>
    </dataValidation>
  </dataValidation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T81"/>
  <sheetViews>
    <sheetView showGridLines="0" workbookViewId="0">
      <pane ySplit="4" topLeftCell="A5" activePane="bottomLeft" state="frozen"/>
      <selection pane="bottomLeft"/>
    </sheetView>
  </sheetViews>
  <sheetFormatPr defaultRowHeight="15" x14ac:dyDescent="0.25"/>
  <cols>
    <col min="1" max="1" width="3" customWidth="1"/>
    <col min="2" max="2" width="15" customWidth="1"/>
    <col min="3" max="3" width="5" customWidth="1"/>
    <col min="4" max="4" width="10" customWidth="1"/>
    <col min="5" max="5" width="4" customWidth="1"/>
    <col min="6" max="6" width="17" customWidth="1"/>
    <col min="7" max="7" width="4" customWidth="1"/>
    <col min="8" max="8" width="15" customWidth="1"/>
    <col min="9" max="9" width="4" customWidth="1"/>
    <col min="10" max="10" width="6" customWidth="1"/>
    <col min="11" max="11" width="15" customWidth="1"/>
    <col min="12" max="12" width="4" customWidth="1"/>
    <col min="13" max="13" width="12" customWidth="1"/>
    <col min="14" max="14" width="19" customWidth="1"/>
    <col min="15" max="16" width="12" customWidth="1"/>
    <col min="17" max="17" width="13" customWidth="1"/>
    <col min="18" max="18" width="22" customWidth="1"/>
    <col min="19" max="19" width="12" customWidth="1"/>
    <col min="20" max="20" width="40" customWidth="1"/>
  </cols>
  <sheetData>
    <row r="1" spans="1:20" ht="19.5" x14ac:dyDescent="0.3">
      <c r="A1" s="6" t="s">
        <v>857</v>
      </c>
    </row>
    <row r="2" spans="1:20" x14ac:dyDescent="0.25">
      <c r="A2" s="7" t="s">
        <v>680</v>
      </c>
    </row>
    <row r="3" spans="1:20" x14ac:dyDescent="0.25">
      <c r="A3" s="8" t="s">
        <v>858</v>
      </c>
    </row>
    <row r="4" spans="1:20" ht="30" customHeight="1" x14ac:dyDescent="0.25">
      <c r="A4" s="9" t="s">
        <v>682</v>
      </c>
      <c r="B4" s="9" t="s">
        <v>70</v>
      </c>
      <c r="C4" s="9" t="s">
        <v>683</v>
      </c>
      <c r="D4" s="10" t="s">
        <v>84</v>
      </c>
      <c r="E4" s="9" t="s">
        <v>83</v>
      </c>
      <c r="F4" s="9" t="s">
        <v>684</v>
      </c>
      <c r="G4" s="9" t="s">
        <v>685</v>
      </c>
      <c r="H4" s="9" t="s">
        <v>686</v>
      </c>
      <c r="I4" s="9" t="s">
        <v>687</v>
      </c>
      <c r="J4" s="9" t="s">
        <v>688</v>
      </c>
      <c r="K4" s="9" t="s">
        <v>689</v>
      </c>
      <c r="L4" s="9" t="s">
        <v>690</v>
      </c>
      <c r="M4" s="9" t="s">
        <v>692</v>
      </c>
      <c r="N4" s="9" t="s">
        <v>693</v>
      </c>
      <c r="O4" s="9" t="s">
        <v>694</v>
      </c>
      <c r="P4" s="9" t="s">
        <v>849</v>
      </c>
      <c r="Q4" s="9" t="s">
        <v>850</v>
      </c>
      <c r="R4" s="10" t="s">
        <v>699</v>
      </c>
      <c r="S4" s="9" t="s">
        <v>700</v>
      </c>
      <c r="T4" s="9" t="s">
        <v>701</v>
      </c>
    </row>
    <row r="5" spans="1:20" x14ac:dyDescent="0.25">
      <c r="A5" s="11" t="s">
        <v>704</v>
      </c>
      <c r="B5" s="12" t="s">
        <v>80</v>
      </c>
      <c r="C5" s="13" t="str">
        <f t="shared" ref="C5:C30" si="0">IFERROR(INDEX(Author_Code,MATCH($B5,Author_Name,0)),"")</f>
        <v>e</v>
      </c>
      <c r="D5" s="14"/>
      <c r="E5" s="13" t="str">
        <f t="shared" ref="E5:E30" si="1">IFERROR(INDEX(InPl_Code,MATCH($D5,InPl_Name,0)),"")</f>
        <v/>
      </c>
      <c r="F5" s="12" t="s">
        <v>578</v>
      </c>
      <c r="G5" s="13" t="str">
        <f t="shared" ref="G5:G30" si="2">IFERROR(INDEX(TR_Cat_Code,MATCH($F5,TR_Cat_Name,0)),"")</f>
        <v>TR</v>
      </c>
      <c r="H5" s="12" t="s">
        <v>545</v>
      </c>
      <c r="I5" s="13" t="str">
        <f t="shared" ref="I5:I30" si="3">IFERROR(INDEX(TR_G1_Code,MATCH($H5,TR_G1_Name,0)),"")</f>
        <v>CR</v>
      </c>
      <c r="J5" s="13" t="str">
        <f t="shared" ref="J5:J30" si="4">IFERROR(LEFT(INDEX(TR_G1_TM,MATCH($H5,TR_G1_Name,0)),1),"")</f>
        <v>1</v>
      </c>
      <c r="K5" s="12" t="s">
        <v>317</v>
      </c>
      <c r="L5" s="13" t="str">
        <f t="shared" ref="L5:L30" si="5">IFERROR(INDEX(TR_G2_Code,MATCH($K5,TR_G2_Name,0)),"")</f>
        <v>GR</v>
      </c>
      <c r="M5" s="12">
        <v>1</v>
      </c>
      <c r="N5" s="15"/>
      <c r="O5" s="13" t="str">
        <f t="shared" ref="O5:O30" si="6">IF($I5="OT",$N5,IF(OR($G5="",$J5="",$M5=""),"",$G5&amp;"-"&amp;$J5&amp;IF(UPPER($M5)="XX","XX",TEXT($M5,"00"))))</f>
        <v>TR-101</v>
      </c>
      <c r="P5" s="12">
        <v>40</v>
      </c>
      <c r="Q5" s="12"/>
      <c r="R5" s="16"/>
      <c r="S5" s="13" t="str">
        <f t="shared" ref="S5:S30" si="7">$G5&amp;IF($I5&lt;&gt;"","."&amp;$I5,"")&amp;IF($L5&lt;&gt;"","."&amp;$L5,"")</f>
        <v>TR.CR.GR</v>
      </c>
      <c r="T5" s="17" t="str">
        <f t="shared" ref="T5:T30" si="8">IF(AND($F5&lt;&gt;"",$H5&lt;&gt;"",$O5&lt;&gt;"",$P5&lt;&gt;""),$C5&amp;"_"&amp;$O5&amp;"_"&amp;$E5&amp;$S5&amp;"_"&amp;IF($Q5="","D"&amp;TEXT($P5,"0"),TEXT($P5,"0")&amp;"x"&amp;TEXT($Q5,"0"))&amp;IF($R5&lt;&gt;"","_"&amp;$R5,""),"")</f>
        <v>e_TR-101_TR.CR.GR_D40</v>
      </c>
    </row>
    <row r="6" spans="1:20" x14ac:dyDescent="0.25">
      <c r="A6" s="11" t="s">
        <v>705</v>
      </c>
      <c r="B6" s="12" t="s">
        <v>80</v>
      </c>
      <c r="C6" s="13" t="str">
        <f t="shared" si="0"/>
        <v>e</v>
      </c>
      <c r="D6" s="14"/>
      <c r="E6" s="13" t="str">
        <f t="shared" si="1"/>
        <v/>
      </c>
      <c r="F6" s="12" t="s">
        <v>578</v>
      </c>
      <c r="G6" s="13" t="str">
        <f t="shared" si="2"/>
        <v>TR</v>
      </c>
      <c r="H6" s="12" t="s">
        <v>545</v>
      </c>
      <c r="I6" s="13" t="str">
        <f t="shared" si="3"/>
        <v>CR</v>
      </c>
      <c r="J6" s="13" t="str">
        <f t="shared" si="4"/>
        <v>1</v>
      </c>
      <c r="K6" s="12" t="s">
        <v>581</v>
      </c>
      <c r="L6" s="13" t="str">
        <f t="shared" si="5"/>
        <v>HR</v>
      </c>
      <c r="M6" s="12">
        <v>2</v>
      </c>
      <c r="N6" s="15"/>
      <c r="O6" s="13" t="str">
        <f t="shared" si="6"/>
        <v>TR-102</v>
      </c>
      <c r="P6" s="12">
        <v>40</v>
      </c>
      <c r="Q6" s="12"/>
      <c r="R6" s="16"/>
      <c r="S6" s="13" t="str">
        <f t="shared" si="7"/>
        <v>TR.CR.HR</v>
      </c>
      <c r="T6" s="17" t="str">
        <f t="shared" si="8"/>
        <v>e_TR-102_TR.CR.HR_D40</v>
      </c>
    </row>
    <row r="7" spans="1:20" x14ac:dyDescent="0.25">
      <c r="A7" s="11" t="s">
        <v>707</v>
      </c>
      <c r="B7" s="12" t="s">
        <v>80</v>
      </c>
      <c r="C7" s="13" t="str">
        <f t="shared" si="0"/>
        <v>e</v>
      </c>
      <c r="D7" s="14"/>
      <c r="E7" s="13" t="str">
        <f t="shared" si="1"/>
        <v/>
      </c>
      <c r="F7" s="12" t="s">
        <v>578</v>
      </c>
      <c r="G7" s="13" t="str">
        <f t="shared" si="2"/>
        <v>TR</v>
      </c>
      <c r="H7" s="12" t="s">
        <v>545</v>
      </c>
      <c r="I7" s="13" t="str">
        <f t="shared" si="3"/>
        <v>CR</v>
      </c>
      <c r="J7" s="13" t="str">
        <f t="shared" si="4"/>
        <v>1</v>
      </c>
      <c r="K7" s="12" t="s">
        <v>317</v>
      </c>
      <c r="L7" s="13" t="str">
        <f t="shared" si="5"/>
        <v>GR</v>
      </c>
      <c r="M7" s="12">
        <v>3</v>
      </c>
      <c r="N7" s="15"/>
      <c r="O7" s="13" t="str">
        <f t="shared" si="6"/>
        <v>TR-103</v>
      </c>
      <c r="P7" s="12">
        <v>48</v>
      </c>
      <c r="Q7" s="12"/>
      <c r="R7" s="16"/>
      <c r="S7" s="13" t="str">
        <f t="shared" si="7"/>
        <v>TR.CR.GR</v>
      </c>
      <c r="T7" s="17" t="str">
        <f t="shared" si="8"/>
        <v>e_TR-103_TR.CR.GR_D48</v>
      </c>
    </row>
    <row r="8" spans="1:20" x14ac:dyDescent="0.25">
      <c r="A8" s="11" t="s">
        <v>709</v>
      </c>
      <c r="B8" s="12" t="s">
        <v>80</v>
      </c>
      <c r="C8" s="13" t="str">
        <f t="shared" si="0"/>
        <v>e</v>
      </c>
      <c r="D8" s="14"/>
      <c r="E8" s="13" t="str">
        <f t="shared" si="1"/>
        <v/>
      </c>
      <c r="F8" s="12" t="s">
        <v>578</v>
      </c>
      <c r="G8" s="13" t="str">
        <f t="shared" si="2"/>
        <v>TR</v>
      </c>
      <c r="H8" s="12" t="s">
        <v>545</v>
      </c>
      <c r="I8" s="13" t="str">
        <f t="shared" si="3"/>
        <v>CR</v>
      </c>
      <c r="J8" s="13" t="str">
        <f t="shared" si="4"/>
        <v>1</v>
      </c>
      <c r="K8" s="12" t="s">
        <v>585</v>
      </c>
      <c r="L8" s="13" t="str">
        <f t="shared" si="5"/>
        <v>CP</v>
      </c>
      <c r="M8" s="12">
        <v>4</v>
      </c>
      <c r="N8" s="15"/>
      <c r="O8" s="13" t="str">
        <f t="shared" si="6"/>
        <v>TR-104</v>
      </c>
      <c r="P8" s="12">
        <v>30</v>
      </c>
      <c r="Q8" s="12"/>
      <c r="R8" s="16"/>
      <c r="S8" s="13" t="str">
        <f t="shared" si="7"/>
        <v>TR.CR.CP</v>
      </c>
      <c r="T8" s="17" t="str">
        <f t="shared" si="8"/>
        <v>e_TR-104_TR.CR.CP_D30</v>
      </c>
    </row>
    <row r="9" spans="1:20" x14ac:dyDescent="0.25">
      <c r="A9" s="11" t="s">
        <v>711</v>
      </c>
      <c r="B9" s="12" t="s">
        <v>80</v>
      </c>
      <c r="C9" s="13" t="str">
        <f t="shared" si="0"/>
        <v>e</v>
      </c>
      <c r="D9" s="14"/>
      <c r="E9" s="13" t="str">
        <f t="shared" si="1"/>
        <v/>
      </c>
      <c r="F9" s="12" t="s">
        <v>578</v>
      </c>
      <c r="G9" s="13" t="str">
        <f t="shared" si="2"/>
        <v>TR</v>
      </c>
      <c r="H9" s="12" t="s">
        <v>540</v>
      </c>
      <c r="I9" s="13" t="str">
        <f t="shared" si="3"/>
        <v>RT</v>
      </c>
      <c r="J9" s="13" t="str">
        <f t="shared" si="4"/>
        <v>2</v>
      </c>
      <c r="K9" s="12" t="s">
        <v>317</v>
      </c>
      <c r="L9" s="13" t="str">
        <f t="shared" si="5"/>
        <v>GR</v>
      </c>
      <c r="M9" s="12">
        <v>1</v>
      </c>
      <c r="N9" s="15"/>
      <c r="O9" s="13" t="str">
        <f t="shared" si="6"/>
        <v>TR-201</v>
      </c>
      <c r="P9" s="12">
        <v>60</v>
      </c>
      <c r="Q9" s="12">
        <v>40</v>
      </c>
      <c r="R9" s="16"/>
      <c r="S9" s="13" t="str">
        <f t="shared" si="7"/>
        <v>TR.RT.GR</v>
      </c>
      <c r="T9" s="17" t="str">
        <f t="shared" si="8"/>
        <v>e_TR-201_TR.RT.GR_60x40</v>
      </c>
    </row>
    <row r="10" spans="1:20" x14ac:dyDescent="0.25">
      <c r="A10" s="11" t="s">
        <v>712</v>
      </c>
      <c r="B10" s="12" t="s">
        <v>80</v>
      </c>
      <c r="C10" s="13" t="str">
        <f t="shared" si="0"/>
        <v>e</v>
      </c>
      <c r="D10" s="14"/>
      <c r="E10" s="13" t="str">
        <f t="shared" si="1"/>
        <v/>
      </c>
      <c r="F10" s="12" t="s">
        <v>578</v>
      </c>
      <c r="G10" s="13" t="str">
        <f t="shared" si="2"/>
        <v>TR</v>
      </c>
      <c r="H10" s="12" t="s">
        <v>540</v>
      </c>
      <c r="I10" s="13" t="str">
        <f t="shared" si="3"/>
        <v>RT</v>
      </c>
      <c r="J10" s="13" t="str">
        <f t="shared" si="4"/>
        <v>2</v>
      </c>
      <c r="K10" s="12" t="s">
        <v>585</v>
      </c>
      <c r="L10" s="13" t="str">
        <f t="shared" si="5"/>
        <v>CP</v>
      </c>
      <c r="M10" s="12">
        <v>2</v>
      </c>
      <c r="N10" s="15"/>
      <c r="O10" s="13" t="str">
        <f t="shared" si="6"/>
        <v>TR-202</v>
      </c>
      <c r="P10" s="12">
        <v>120</v>
      </c>
      <c r="Q10" s="12">
        <v>20</v>
      </c>
      <c r="R10" s="16"/>
      <c r="S10" s="13" t="str">
        <f t="shared" si="7"/>
        <v>TR.RT.CP</v>
      </c>
      <c r="T10" s="17" t="str">
        <f t="shared" si="8"/>
        <v>e_TR-202_TR.RT.CP_120x20</v>
      </c>
    </row>
    <row r="11" spans="1:20" x14ac:dyDescent="0.25">
      <c r="A11" s="11" t="s">
        <v>713</v>
      </c>
      <c r="B11" s="12" t="s">
        <v>80</v>
      </c>
      <c r="C11" s="13" t="str">
        <f t="shared" si="0"/>
        <v>e</v>
      </c>
      <c r="D11" s="14"/>
      <c r="E11" s="13" t="str">
        <f t="shared" si="1"/>
        <v/>
      </c>
      <c r="F11" s="12" t="s">
        <v>578</v>
      </c>
      <c r="G11" s="13" t="str">
        <f t="shared" si="2"/>
        <v>TR</v>
      </c>
      <c r="H11" s="12" t="s">
        <v>540</v>
      </c>
      <c r="I11" s="13" t="str">
        <f t="shared" si="3"/>
        <v>RT</v>
      </c>
      <c r="J11" s="13" t="str">
        <f t="shared" si="4"/>
        <v>2</v>
      </c>
      <c r="K11" s="12" t="s">
        <v>581</v>
      </c>
      <c r="L11" s="13" t="str">
        <f t="shared" si="5"/>
        <v>HR</v>
      </c>
      <c r="M11" s="12">
        <v>3</v>
      </c>
      <c r="N11" s="15"/>
      <c r="O11" s="13" t="str">
        <f t="shared" si="6"/>
        <v>TR-203</v>
      </c>
      <c r="P11" s="12">
        <v>50</v>
      </c>
      <c r="Q11" s="12">
        <v>40</v>
      </c>
      <c r="R11" s="16"/>
      <c r="S11" s="13" t="str">
        <f t="shared" si="7"/>
        <v>TR.RT.HR</v>
      </c>
      <c r="T11" s="17" t="str">
        <f t="shared" si="8"/>
        <v>e_TR-203_TR.RT.HR_50x40</v>
      </c>
    </row>
    <row r="12" spans="1:20" x14ac:dyDescent="0.25">
      <c r="A12" s="11" t="s">
        <v>715</v>
      </c>
      <c r="B12" s="12" t="s">
        <v>80</v>
      </c>
      <c r="C12" s="13" t="str">
        <f t="shared" si="0"/>
        <v>e</v>
      </c>
      <c r="D12" s="14"/>
      <c r="E12" s="13" t="str">
        <f t="shared" si="1"/>
        <v/>
      </c>
      <c r="F12" s="12" t="s">
        <v>578</v>
      </c>
      <c r="G12" s="13" t="str">
        <f t="shared" si="2"/>
        <v>TR</v>
      </c>
      <c r="H12" s="12" t="s">
        <v>588</v>
      </c>
      <c r="I12" s="13" t="str">
        <f t="shared" si="3"/>
        <v>OV</v>
      </c>
      <c r="J12" s="13" t="str">
        <f t="shared" si="4"/>
        <v>3</v>
      </c>
      <c r="K12" s="12" t="s">
        <v>581</v>
      </c>
      <c r="L12" s="13" t="str">
        <f t="shared" si="5"/>
        <v>HR</v>
      </c>
      <c r="M12" s="12">
        <v>1</v>
      </c>
      <c r="N12" s="15"/>
      <c r="O12" s="13" t="str">
        <f t="shared" si="6"/>
        <v>TR-301</v>
      </c>
      <c r="P12" s="12">
        <v>50</v>
      </c>
      <c r="Q12" s="12">
        <v>40</v>
      </c>
      <c r="R12" s="16"/>
      <c r="S12" s="13" t="str">
        <f t="shared" si="7"/>
        <v>TR.OV.HR</v>
      </c>
      <c r="T12" s="17" t="str">
        <f t="shared" si="8"/>
        <v>e_TR-301_TR.OV.HR_50x40</v>
      </c>
    </row>
    <row r="13" spans="1:20" x14ac:dyDescent="0.25">
      <c r="A13" s="11" t="s">
        <v>716</v>
      </c>
      <c r="B13" s="12" t="s">
        <v>80</v>
      </c>
      <c r="C13" s="13" t="str">
        <f t="shared" si="0"/>
        <v>e</v>
      </c>
      <c r="D13" s="14"/>
      <c r="E13" s="13" t="str">
        <f t="shared" si="1"/>
        <v/>
      </c>
      <c r="F13" s="12" t="s">
        <v>578</v>
      </c>
      <c r="G13" s="13" t="str">
        <f t="shared" si="2"/>
        <v>TR</v>
      </c>
      <c r="H13" s="12" t="s">
        <v>591</v>
      </c>
      <c r="I13" s="13" t="str">
        <f t="shared" si="3"/>
        <v>SH</v>
      </c>
      <c r="J13" s="13" t="str">
        <f t="shared" si="4"/>
        <v>4</v>
      </c>
      <c r="K13" s="12" t="s">
        <v>317</v>
      </c>
      <c r="L13" s="13" t="str">
        <f t="shared" si="5"/>
        <v>GR</v>
      </c>
      <c r="M13" s="12">
        <v>1</v>
      </c>
      <c r="N13" s="15"/>
      <c r="O13" s="13" t="str">
        <f t="shared" si="6"/>
        <v>TR-401</v>
      </c>
      <c r="P13" s="12">
        <v>80</v>
      </c>
      <c r="Q13" s="12">
        <v>50</v>
      </c>
      <c r="R13" s="16"/>
      <c r="S13" s="13" t="str">
        <f t="shared" si="7"/>
        <v>TR.SH.GR</v>
      </c>
      <c r="T13" s="17" t="str">
        <f t="shared" si="8"/>
        <v>e_TR-401_TR.SH.GR_80x50</v>
      </c>
    </row>
    <row r="14" spans="1:20" x14ac:dyDescent="0.25">
      <c r="A14" s="11" t="s">
        <v>717</v>
      </c>
      <c r="B14" s="12" t="s">
        <v>80</v>
      </c>
      <c r="C14" s="13" t="str">
        <f t="shared" si="0"/>
        <v>e</v>
      </c>
      <c r="D14" s="14"/>
      <c r="E14" s="13" t="str">
        <f t="shared" si="1"/>
        <v/>
      </c>
      <c r="F14" s="12" t="s">
        <v>578</v>
      </c>
      <c r="G14" s="13" t="str">
        <f t="shared" si="2"/>
        <v>TR</v>
      </c>
      <c r="H14" s="12" t="s">
        <v>151</v>
      </c>
      <c r="I14" s="13" t="str">
        <f t="shared" si="3"/>
        <v>GN</v>
      </c>
      <c r="J14" s="13" t="str">
        <f t="shared" si="4"/>
        <v>0</v>
      </c>
      <c r="K14" s="12" t="s">
        <v>317</v>
      </c>
      <c r="L14" s="13" t="str">
        <f t="shared" si="5"/>
        <v>GR</v>
      </c>
      <c r="M14" s="12">
        <v>1</v>
      </c>
      <c r="N14" s="15"/>
      <c r="O14" s="13" t="str">
        <f t="shared" si="6"/>
        <v>TR-001</v>
      </c>
      <c r="P14" s="12">
        <v>40</v>
      </c>
      <c r="Q14" s="12"/>
      <c r="R14" s="16"/>
      <c r="S14" s="13" t="str">
        <f t="shared" si="7"/>
        <v>TR.GN.GR</v>
      </c>
      <c r="T14" s="17" t="str">
        <f t="shared" si="8"/>
        <v>e_TR-001_TR.GN.GR_D40</v>
      </c>
    </row>
    <row r="15" spans="1:20" x14ac:dyDescent="0.25">
      <c r="A15" s="11" t="s">
        <v>719</v>
      </c>
      <c r="B15" s="12" t="s">
        <v>80</v>
      </c>
      <c r="C15" s="13" t="str">
        <f t="shared" si="0"/>
        <v>e</v>
      </c>
      <c r="D15" s="14" t="s">
        <v>84</v>
      </c>
      <c r="E15" s="13" t="str">
        <f t="shared" si="1"/>
        <v>(I)</v>
      </c>
      <c r="F15" s="12" t="s">
        <v>578</v>
      </c>
      <c r="G15" s="13" t="str">
        <f t="shared" si="2"/>
        <v>TR</v>
      </c>
      <c r="H15" s="12" t="s">
        <v>545</v>
      </c>
      <c r="I15" s="13" t="str">
        <f t="shared" si="3"/>
        <v>CR</v>
      </c>
      <c r="J15" s="13" t="str">
        <f t="shared" si="4"/>
        <v>1</v>
      </c>
      <c r="K15" s="12" t="s">
        <v>317</v>
      </c>
      <c r="L15" s="13" t="str">
        <f t="shared" si="5"/>
        <v>GR</v>
      </c>
      <c r="M15" s="12">
        <v>1</v>
      </c>
      <c r="N15" s="15"/>
      <c r="O15" s="13" t="str">
        <f t="shared" si="6"/>
        <v>TR-101</v>
      </c>
      <c r="P15" s="12">
        <v>40</v>
      </c>
      <c r="Q15" s="12"/>
      <c r="R15" s="16"/>
      <c r="S15" s="13" t="str">
        <f t="shared" si="7"/>
        <v>TR.CR.GR</v>
      </c>
      <c r="T15" s="17" t="str">
        <f t="shared" si="8"/>
        <v>e_TR-101_(I)TR.CR.GR_D40</v>
      </c>
    </row>
    <row r="16" spans="1:20" x14ac:dyDescent="0.25">
      <c r="A16" s="19">
        <v>1</v>
      </c>
      <c r="B16" s="20"/>
      <c r="C16" s="21" t="str">
        <f t="shared" si="0"/>
        <v/>
      </c>
      <c r="D16" s="22"/>
      <c r="E16" s="21" t="str">
        <f t="shared" si="1"/>
        <v/>
      </c>
      <c r="F16" s="20"/>
      <c r="G16" s="21" t="str">
        <f t="shared" si="2"/>
        <v/>
      </c>
      <c r="H16" s="20"/>
      <c r="I16" s="21" t="str">
        <f t="shared" si="3"/>
        <v/>
      </c>
      <c r="J16" s="21" t="str">
        <f t="shared" si="4"/>
        <v/>
      </c>
      <c r="K16" s="20"/>
      <c r="L16" s="21" t="str">
        <f t="shared" si="5"/>
        <v/>
      </c>
      <c r="M16" s="20"/>
      <c r="N16" s="23"/>
      <c r="O16" s="21" t="str">
        <f t="shared" si="6"/>
        <v/>
      </c>
      <c r="P16" s="20"/>
      <c r="Q16" s="20"/>
      <c r="R16" s="24"/>
      <c r="S16" s="21" t="str">
        <f t="shared" si="7"/>
        <v/>
      </c>
      <c r="T16" s="25" t="str">
        <f t="shared" si="8"/>
        <v/>
      </c>
    </row>
    <row r="17" spans="1:20" x14ac:dyDescent="0.25">
      <c r="A17" s="19">
        <v>2</v>
      </c>
      <c r="B17" s="20"/>
      <c r="C17" s="21" t="str">
        <f t="shared" si="0"/>
        <v/>
      </c>
      <c r="D17" s="22"/>
      <c r="E17" s="21" t="str">
        <f t="shared" si="1"/>
        <v/>
      </c>
      <c r="F17" s="20"/>
      <c r="G17" s="21" t="str">
        <f t="shared" si="2"/>
        <v/>
      </c>
      <c r="H17" s="20"/>
      <c r="I17" s="21" t="str">
        <f t="shared" si="3"/>
        <v/>
      </c>
      <c r="J17" s="21" t="str">
        <f t="shared" si="4"/>
        <v/>
      </c>
      <c r="K17" s="20"/>
      <c r="L17" s="21" t="str">
        <f t="shared" si="5"/>
        <v/>
      </c>
      <c r="M17" s="20"/>
      <c r="N17" s="23"/>
      <c r="O17" s="21" t="str">
        <f t="shared" si="6"/>
        <v/>
      </c>
      <c r="P17" s="20"/>
      <c r="Q17" s="20"/>
      <c r="R17" s="24"/>
      <c r="S17" s="21" t="str">
        <f t="shared" si="7"/>
        <v/>
      </c>
      <c r="T17" s="25" t="str">
        <f t="shared" si="8"/>
        <v/>
      </c>
    </row>
    <row r="18" spans="1:20" x14ac:dyDescent="0.25">
      <c r="A18" s="19">
        <v>3</v>
      </c>
      <c r="B18" s="20"/>
      <c r="C18" s="21" t="str">
        <f t="shared" si="0"/>
        <v/>
      </c>
      <c r="D18" s="22"/>
      <c r="E18" s="21" t="str">
        <f t="shared" si="1"/>
        <v/>
      </c>
      <c r="F18" s="20"/>
      <c r="G18" s="21" t="str">
        <f t="shared" si="2"/>
        <v/>
      </c>
      <c r="H18" s="20"/>
      <c r="I18" s="21" t="str">
        <f t="shared" si="3"/>
        <v/>
      </c>
      <c r="J18" s="21" t="str">
        <f t="shared" si="4"/>
        <v/>
      </c>
      <c r="K18" s="20"/>
      <c r="L18" s="21" t="str">
        <f t="shared" si="5"/>
        <v/>
      </c>
      <c r="M18" s="20"/>
      <c r="N18" s="23"/>
      <c r="O18" s="21" t="str">
        <f t="shared" si="6"/>
        <v/>
      </c>
      <c r="P18" s="20"/>
      <c r="Q18" s="20"/>
      <c r="R18" s="24"/>
      <c r="S18" s="21" t="str">
        <f t="shared" si="7"/>
        <v/>
      </c>
      <c r="T18" s="25" t="str">
        <f t="shared" si="8"/>
        <v/>
      </c>
    </row>
    <row r="19" spans="1:20" x14ac:dyDescent="0.25">
      <c r="A19" s="19">
        <v>4</v>
      </c>
      <c r="B19" s="20"/>
      <c r="C19" s="21" t="str">
        <f t="shared" si="0"/>
        <v/>
      </c>
      <c r="D19" s="22"/>
      <c r="E19" s="21" t="str">
        <f t="shared" si="1"/>
        <v/>
      </c>
      <c r="F19" s="20"/>
      <c r="G19" s="21" t="str">
        <f t="shared" si="2"/>
        <v/>
      </c>
      <c r="H19" s="20"/>
      <c r="I19" s="21" t="str">
        <f t="shared" si="3"/>
        <v/>
      </c>
      <c r="J19" s="21" t="str">
        <f t="shared" si="4"/>
        <v/>
      </c>
      <c r="K19" s="20"/>
      <c r="L19" s="21" t="str">
        <f t="shared" si="5"/>
        <v/>
      </c>
      <c r="M19" s="20"/>
      <c r="N19" s="23"/>
      <c r="O19" s="21" t="str">
        <f t="shared" si="6"/>
        <v/>
      </c>
      <c r="P19" s="20"/>
      <c r="Q19" s="20"/>
      <c r="R19" s="24"/>
      <c r="S19" s="21" t="str">
        <f t="shared" si="7"/>
        <v/>
      </c>
      <c r="T19" s="25" t="str">
        <f t="shared" si="8"/>
        <v/>
      </c>
    </row>
    <row r="20" spans="1:20" x14ac:dyDescent="0.25">
      <c r="A20" s="19">
        <v>5</v>
      </c>
      <c r="B20" s="20"/>
      <c r="C20" s="21" t="str">
        <f t="shared" si="0"/>
        <v/>
      </c>
      <c r="D20" s="22"/>
      <c r="E20" s="21" t="str">
        <f t="shared" si="1"/>
        <v/>
      </c>
      <c r="F20" s="20"/>
      <c r="G20" s="21" t="str">
        <f t="shared" si="2"/>
        <v/>
      </c>
      <c r="H20" s="20"/>
      <c r="I20" s="21" t="str">
        <f t="shared" si="3"/>
        <v/>
      </c>
      <c r="J20" s="21" t="str">
        <f t="shared" si="4"/>
        <v/>
      </c>
      <c r="K20" s="20"/>
      <c r="L20" s="21" t="str">
        <f t="shared" si="5"/>
        <v/>
      </c>
      <c r="M20" s="20"/>
      <c r="N20" s="23"/>
      <c r="O20" s="21" t="str">
        <f t="shared" si="6"/>
        <v/>
      </c>
      <c r="P20" s="20"/>
      <c r="Q20" s="20"/>
      <c r="R20" s="24"/>
      <c r="S20" s="21" t="str">
        <f t="shared" si="7"/>
        <v/>
      </c>
      <c r="T20" s="25" t="str">
        <f t="shared" si="8"/>
        <v/>
      </c>
    </row>
    <row r="21" spans="1:20" x14ac:dyDescent="0.25">
      <c r="A21" s="19">
        <v>6</v>
      </c>
      <c r="B21" s="20"/>
      <c r="C21" s="21" t="str">
        <f t="shared" si="0"/>
        <v/>
      </c>
      <c r="D21" s="22"/>
      <c r="E21" s="21" t="str">
        <f t="shared" si="1"/>
        <v/>
      </c>
      <c r="F21" s="20"/>
      <c r="G21" s="21" t="str">
        <f t="shared" si="2"/>
        <v/>
      </c>
      <c r="H21" s="20"/>
      <c r="I21" s="21" t="str">
        <f t="shared" si="3"/>
        <v/>
      </c>
      <c r="J21" s="21" t="str">
        <f t="shared" si="4"/>
        <v/>
      </c>
      <c r="K21" s="20"/>
      <c r="L21" s="21" t="str">
        <f t="shared" si="5"/>
        <v/>
      </c>
      <c r="M21" s="20"/>
      <c r="N21" s="23"/>
      <c r="O21" s="21" t="str">
        <f t="shared" si="6"/>
        <v/>
      </c>
      <c r="P21" s="20"/>
      <c r="Q21" s="20"/>
      <c r="R21" s="24"/>
      <c r="S21" s="21" t="str">
        <f t="shared" si="7"/>
        <v/>
      </c>
      <c r="T21" s="25" t="str">
        <f t="shared" si="8"/>
        <v/>
      </c>
    </row>
    <row r="22" spans="1:20" x14ac:dyDescent="0.25">
      <c r="A22" s="19">
        <v>7</v>
      </c>
      <c r="B22" s="20"/>
      <c r="C22" s="21" t="str">
        <f t="shared" si="0"/>
        <v/>
      </c>
      <c r="D22" s="22"/>
      <c r="E22" s="21" t="str">
        <f t="shared" si="1"/>
        <v/>
      </c>
      <c r="F22" s="20"/>
      <c r="G22" s="21" t="str">
        <f t="shared" si="2"/>
        <v/>
      </c>
      <c r="H22" s="20"/>
      <c r="I22" s="21" t="str">
        <f t="shared" si="3"/>
        <v/>
      </c>
      <c r="J22" s="21" t="str">
        <f t="shared" si="4"/>
        <v/>
      </c>
      <c r="K22" s="20"/>
      <c r="L22" s="21" t="str">
        <f t="shared" si="5"/>
        <v/>
      </c>
      <c r="M22" s="20"/>
      <c r="N22" s="23"/>
      <c r="O22" s="21" t="str">
        <f t="shared" si="6"/>
        <v/>
      </c>
      <c r="P22" s="20"/>
      <c r="Q22" s="20"/>
      <c r="R22" s="24"/>
      <c r="S22" s="21" t="str">
        <f t="shared" si="7"/>
        <v/>
      </c>
      <c r="T22" s="25" t="str">
        <f t="shared" si="8"/>
        <v/>
      </c>
    </row>
    <row r="23" spans="1:20" x14ac:dyDescent="0.25">
      <c r="A23" s="19">
        <v>8</v>
      </c>
      <c r="B23" s="20"/>
      <c r="C23" s="21" t="str">
        <f t="shared" si="0"/>
        <v/>
      </c>
      <c r="D23" s="22"/>
      <c r="E23" s="21" t="str">
        <f t="shared" si="1"/>
        <v/>
      </c>
      <c r="F23" s="20"/>
      <c r="G23" s="21" t="str">
        <f t="shared" si="2"/>
        <v/>
      </c>
      <c r="H23" s="20"/>
      <c r="I23" s="21" t="str">
        <f t="shared" si="3"/>
        <v/>
      </c>
      <c r="J23" s="21" t="str">
        <f t="shared" si="4"/>
        <v/>
      </c>
      <c r="K23" s="20"/>
      <c r="L23" s="21" t="str">
        <f t="shared" si="5"/>
        <v/>
      </c>
      <c r="M23" s="20"/>
      <c r="N23" s="23"/>
      <c r="O23" s="21" t="str">
        <f t="shared" si="6"/>
        <v/>
      </c>
      <c r="P23" s="20"/>
      <c r="Q23" s="20"/>
      <c r="R23" s="24"/>
      <c r="S23" s="21" t="str">
        <f t="shared" si="7"/>
        <v/>
      </c>
      <c r="T23" s="25" t="str">
        <f t="shared" si="8"/>
        <v/>
      </c>
    </row>
    <row r="24" spans="1:20" x14ac:dyDescent="0.25">
      <c r="A24" s="19">
        <v>9</v>
      </c>
      <c r="B24" s="20"/>
      <c r="C24" s="21" t="str">
        <f t="shared" si="0"/>
        <v/>
      </c>
      <c r="D24" s="22"/>
      <c r="E24" s="21" t="str">
        <f t="shared" si="1"/>
        <v/>
      </c>
      <c r="F24" s="20"/>
      <c r="G24" s="21" t="str">
        <f t="shared" si="2"/>
        <v/>
      </c>
      <c r="H24" s="20"/>
      <c r="I24" s="21" t="str">
        <f t="shared" si="3"/>
        <v/>
      </c>
      <c r="J24" s="21" t="str">
        <f t="shared" si="4"/>
        <v/>
      </c>
      <c r="K24" s="20"/>
      <c r="L24" s="21" t="str">
        <f t="shared" si="5"/>
        <v/>
      </c>
      <c r="M24" s="20"/>
      <c r="N24" s="23"/>
      <c r="O24" s="21" t="str">
        <f t="shared" si="6"/>
        <v/>
      </c>
      <c r="P24" s="20"/>
      <c r="Q24" s="20"/>
      <c r="R24" s="24"/>
      <c r="S24" s="21" t="str">
        <f t="shared" si="7"/>
        <v/>
      </c>
      <c r="T24" s="25" t="str">
        <f t="shared" si="8"/>
        <v/>
      </c>
    </row>
    <row r="25" spans="1:20" x14ac:dyDescent="0.25">
      <c r="A25" s="19">
        <v>10</v>
      </c>
      <c r="B25" s="20"/>
      <c r="C25" s="21" t="str">
        <f t="shared" si="0"/>
        <v/>
      </c>
      <c r="D25" s="22"/>
      <c r="E25" s="21" t="str">
        <f t="shared" si="1"/>
        <v/>
      </c>
      <c r="F25" s="20"/>
      <c r="G25" s="21" t="str">
        <f t="shared" si="2"/>
        <v/>
      </c>
      <c r="H25" s="20"/>
      <c r="I25" s="21" t="str">
        <f t="shared" si="3"/>
        <v/>
      </c>
      <c r="J25" s="21" t="str">
        <f t="shared" si="4"/>
        <v/>
      </c>
      <c r="K25" s="20"/>
      <c r="L25" s="21" t="str">
        <f t="shared" si="5"/>
        <v/>
      </c>
      <c r="M25" s="20"/>
      <c r="N25" s="23"/>
      <c r="O25" s="21" t="str">
        <f t="shared" si="6"/>
        <v/>
      </c>
      <c r="P25" s="20"/>
      <c r="Q25" s="20"/>
      <c r="R25" s="24"/>
      <c r="S25" s="21" t="str">
        <f t="shared" si="7"/>
        <v/>
      </c>
      <c r="T25" s="25" t="str">
        <f t="shared" si="8"/>
        <v/>
      </c>
    </row>
    <row r="26" spans="1:20" x14ac:dyDescent="0.25">
      <c r="A26" s="19">
        <v>11</v>
      </c>
      <c r="B26" s="20"/>
      <c r="C26" s="21" t="str">
        <f t="shared" si="0"/>
        <v/>
      </c>
      <c r="D26" s="22"/>
      <c r="E26" s="21" t="str">
        <f t="shared" si="1"/>
        <v/>
      </c>
      <c r="F26" s="20"/>
      <c r="G26" s="21" t="str">
        <f t="shared" si="2"/>
        <v/>
      </c>
      <c r="H26" s="20"/>
      <c r="I26" s="21" t="str">
        <f t="shared" si="3"/>
        <v/>
      </c>
      <c r="J26" s="21" t="str">
        <f t="shared" si="4"/>
        <v/>
      </c>
      <c r="K26" s="20"/>
      <c r="L26" s="21" t="str">
        <f t="shared" si="5"/>
        <v/>
      </c>
      <c r="M26" s="20"/>
      <c r="N26" s="23"/>
      <c r="O26" s="21" t="str">
        <f t="shared" si="6"/>
        <v/>
      </c>
      <c r="P26" s="20"/>
      <c r="Q26" s="20"/>
      <c r="R26" s="24"/>
      <c r="S26" s="21" t="str">
        <f t="shared" si="7"/>
        <v/>
      </c>
      <c r="T26" s="25" t="str">
        <f t="shared" si="8"/>
        <v/>
      </c>
    </row>
    <row r="27" spans="1:20" x14ac:dyDescent="0.25">
      <c r="A27" s="19">
        <v>12</v>
      </c>
      <c r="B27" s="20"/>
      <c r="C27" s="21" t="str">
        <f t="shared" si="0"/>
        <v/>
      </c>
      <c r="D27" s="22"/>
      <c r="E27" s="21" t="str">
        <f t="shared" si="1"/>
        <v/>
      </c>
      <c r="F27" s="20"/>
      <c r="G27" s="21" t="str">
        <f t="shared" si="2"/>
        <v/>
      </c>
      <c r="H27" s="20"/>
      <c r="I27" s="21" t="str">
        <f t="shared" si="3"/>
        <v/>
      </c>
      <c r="J27" s="21" t="str">
        <f t="shared" si="4"/>
        <v/>
      </c>
      <c r="K27" s="20"/>
      <c r="L27" s="21" t="str">
        <f t="shared" si="5"/>
        <v/>
      </c>
      <c r="M27" s="20"/>
      <c r="N27" s="23"/>
      <c r="O27" s="21" t="str">
        <f t="shared" si="6"/>
        <v/>
      </c>
      <c r="P27" s="20"/>
      <c r="Q27" s="20"/>
      <c r="R27" s="24"/>
      <c r="S27" s="21" t="str">
        <f t="shared" si="7"/>
        <v/>
      </c>
      <c r="T27" s="25" t="str">
        <f t="shared" si="8"/>
        <v/>
      </c>
    </row>
    <row r="28" spans="1:20" x14ac:dyDescent="0.25">
      <c r="A28" s="19">
        <v>13</v>
      </c>
      <c r="B28" s="20"/>
      <c r="C28" s="21" t="str">
        <f t="shared" si="0"/>
        <v/>
      </c>
      <c r="D28" s="22"/>
      <c r="E28" s="21" t="str">
        <f t="shared" si="1"/>
        <v/>
      </c>
      <c r="F28" s="20"/>
      <c r="G28" s="21" t="str">
        <f t="shared" si="2"/>
        <v/>
      </c>
      <c r="H28" s="20"/>
      <c r="I28" s="21" t="str">
        <f t="shared" si="3"/>
        <v/>
      </c>
      <c r="J28" s="21" t="str">
        <f t="shared" si="4"/>
        <v/>
      </c>
      <c r="K28" s="20"/>
      <c r="L28" s="21" t="str">
        <f t="shared" si="5"/>
        <v/>
      </c>
      <c r="M28" s="20"/>
      <c r="N28" s="23"/>
      <c r="O28" s="21" t="str">
        <f t="shared" si="6"/>
        <v/>
      </c>
      <c r="P28" s="20"/>
      <c r="Q28" s="20"/>
      <c r="R28" s="24"/>
      <c r="S28" s="21" t="str">
        <f t="shared" si="7"/>
        <v/>
      </c>
      <c r="T28" s="25" t="str">
        <f t="shared" si="8"/>
        <v/>
      </c>
    </row>
    <row r="29" spans="1:20" x14ac:dyDescent="0.25">
      <c r="A29" s="19">
        <v>14</v>
      </c>
      <c r="B29" s="20"/>
      <c r="C29" s="21" t="str">
        <f t="shared" si="0"/>
        <v/>
      </c>
      <c r="D29" s="22"/>
      <c r="E29" s="21" t="str">
        <f t="shared" si="1"/>
        <v/>
      </c>
      <c r="F29" s="20"/>
      <c r="G29" s="21" t="str">
        <f t="shared" si="2"/>
        <v/>
      </c>
      <c r="H29" s="20"/>
      <c r="I29" s="21" t="str">
        <f t="shared" si="3"/>
        <v/>
      </c>
      <c r="J29" s="21" t="str">
        <f t="shared" si="4"/>
        <v/>
      </c>
      <c r="K29" s="20"/>
      <c r="L29" s="21" t="str">
        <f t="shared" si="5"/>
        <v/>
      </c>
      <c r="M29" s="20"/>
      <c r="N29" s="23"/>
      <c r="O29" s="21" t="str">
        <f t="shared" si="6"/>
        <v/>
      </c>
      <c r="P29" s="20"/>
      <c r="Q29" s="20"/>
      <c r="R29" s="24"/>
      <c r="S29" s="21" t="str">
        <f t="shared" si="7"/>
        <v/>
      </c>
      <c r="T29" s="25" t="str">
        <f t="shared" si="8"/>
        <v/>
      </c>
    </row>
    <row r="30" spans="1:20" x14ac:dyDescent="0.25">
      <c r="A30" s="19">
        <v>15</v>
      </c>
      <c r="B30" s="20"/>
      <c r="C30" s="21" t="str">
        <f t="shared" si="0"/>
        <v/>
      </c>
      <c r="D30" s="22"/>
      <c r="E30" s="21" t="str">
        <f t="shared" si="1"/>
        <v/>
      </c>
      <c r="F30" s="20"/>
      <c r="G30" s="21" t="str">
        <f t="shared" si="2"/>
        <v/>
      </c>
      <c r="H30" s="20"/>
      <c r="I30" s="21" t="str">
        <f t="shared" si="3"/>
        <v/>
      </c>
      <c r="J30" s="21" t="str">
        <f t="shared" si="4"/>
        <v/>
      </c>
      <c r="K30" s="20"/>
      <c r="L30" s="21" t="str">
        <f t="shared" si="5"/>
        <v/>
      </c>
      <c r="M30" s="20"/>
      <c r="N30" s="23"/>
      <c r="O30" s="21" t="str">
        <f t="shared" si="6"/>
        <v/>
      </c>
      <c r="P30" s="20"/>
      <c r="Q30" s="20"/>
      <c r="R30" s="24"/>
      <c r="S30" s="21" t="str">
        <f t="shared" si="7"/>
        <v/>
      </c>
      <c r="T30" s="25" t="str">
        <f t="shared" si="8"/>
        <v/>
      </c>
    </row>
    <row r="33" spans="1:20" ht="21.95" customHeight="1" x14ac:dyDescent="0.25">
      <c r="A33" s="38" t="s">
        <v>859</v>
      </c>
      <c r="B33" s="39"/>
      <c r="C33" s="39"/>
      <c r="D33" s="39"/>
      <c r="E33" s="39"/>
      <c r="F33" s="39"/>
      <c r="G33" s="39"/>
      <c r="H33" s="39"/>
      <c r="I33" s="39"/>
      <c r="J33" s="39"/>
      <c r="K33" s="39"/>
      <c r="L33" s="39"/>
      <c r="M33" s="39"/>
      <c r="N33" s="39"/>
      <c r="O33" s="39"/>
      <c r="P33" s="39"/>
      <c r="Q33" s="39"/>
      <c r="R33" s="39"/>
      <c r="S33" s="39"/>
      <c r="T33" s="39"/>
    </row>
    <row r="34" spans="1:20" ht="15.95" customHeight="1" x14ac:dyDescent="0.25">
      <c r="A34" s="40" t="s">
        <v>778</v>
      </c>
      <c r="B34" s="31"/>
      <c r="C34" s="31"/>
      <c r="D34" s="31"/>
      <c r="E34" s="31"/>
      <c r="F34" s="31"/>
      <c r="G34" s="31"/>
      <c r="H34" s="31"/>
      <c r="I34" s="31"/>
      <c r="J34" s="31"/>
      <c r="K34" s="31"/>
      <c r="L34" s="31"/>
      <c r="M34" s="31"/>
      <c r="N34" s="31"/>
      <c r="O34" s="31"/>
      <c r="P34" s="31"/>
      <c r="Q34" s="31"/>
      <c r="R34" s="31"/>
      <c r="S34" s="31"/>
      <c r="T34" s="31"/>
    </row>
    <row r="36" spans="1:20" ht="18" customHeight="1" x14ac:dyDescent="0.25">
      <c r="A36" s="36" t="s">
        <v>795</v>
      </c>
      <c r="B36" s="31"/>
      <c r="C36" s="31"/>
      <c r="D36" s="31"/>
      <c r="E36" s="31"/>
      <c r="F36" s="31"/>
      <c r="G36" s="31"/>
      <c r="H36" s="31"/>
      <c r="I36" s="31"/>
      <c r="J36" s="31"/>
      <c r="K36" s="31"/>
      <c r="L36" s="31"/>
      <c r="M36" s="31"/>
      <c r="N36" s="31"/>
      <c r="O36" s="31"/>
      <c r="P36" s="31"/>
      <c r="Q36" s="31"/>
      <c r="R36" s="31"/>
      <c r="S36" s="31"/>
      <c r="T36" s="31"/>
    </row>
    <row r="37" spans="1:20" ht="21" customHeight="1" x14ac:dyDescent="0.25">
      <c r="A37" s="37" t="s">
        <v>860</v>
      </c>
      <c r="B37" s="31"/>
      <c r="C37" s="31"/>
      <c r="D37" s="31"/>
      <c r="E37" s="31"/>
      <c r="F37" s="31"/>
      <c r="G37" s="31"/>
      <c r="H37" s="31"/>
      <c r="I37" s="31"/>
      <c r="J37" s="31"/>
      <c r="K37" s="31"/>
      <c r="L37" s="31"/>
      <c r="M37" s="31"/>
      <c r="N37" s="31"/>
      <c r="O37" s="31"/>
      <c r="P37" s="31"/>
      <c r="Q37" s="31"/>
      <c r="R37" s="31"/>
      <c r="S37" s="31"/>
      <c r="T37" s="31"/>
    </row>
    <row r="38" spans="1:20" ht="6" customHeight="1" x14ac:dyDescent="0.25"/>
    <row r="39" spans="1:20" ht="18" customHeight="1" x14ac:dyDescent="0.25">
      <c r="A39" s="36" t="s">
        <v>861</v>
      </c>
      <c r="B39" s="31"/>
      <c r="C39" s="31"/>
      <c r="D39" s="31"/>
      <c r="E39" s="31"/>
      <c r="F39" s="31"/>
      <c r="G39" s="31"/>
      <c r="H39" s="31"/>
      <c r="I39" s="31"/>
      <c r="J39" s="31"/>
      <c r="K39" s="31"/>
      <c r="L39" s="31"/>
      <c r="M39" s="31"/>
      <c r="N39" s="31"/>
      <c r="O39" s="31"/>
      <c r="P39" s="31"/>
      <c r="Q39" s="31"/>
      <c r="R39" s="31"/>
      <c r="S39" s="31"/>
      <c r="T39" s="31"/>
    </row>
    <row r="40" spans="1:20" ht="21" customHeight="1" x14ac:dyDescent="0.25">
      <c r="A40" s="37" t="s">
        <v>862</v>
      </c>
      <c r="B40" s="31"/>
      <c r="C40" s="31"/>
      <c r="D40" s="31"/>
      <c r="E40" s="31"/>
      <c r="F40" s="31"/>
      <c r="G40" s="31"/>
      <c r="H40" s="31"/>
      <c r="I40" s="31"/>
      <c r="J40" s="31"/>
      <c r="K40" s="31"/>
      <c r="L40" s="31"/>
      <c r="M40" s="31"/>
      <c r="N40" s="31"/>
      <c r="O40" s="31"/>
      <c r="P40" s="31"/>
      <c r="Q40" s="31"/>
      <c r="R40" s="31"/>
      <c r="S40" s="31"/>
      <c r="T40" s="31"/>
    </row>
    <row r="41" spans="1:20" ht="6" customHeight="1" x14ac:dyDescent="0.25"/>
    <row r="42" spans="1:20" ht="18" customHeight="1" x14ac:dyDescent="0.25">
      <c r="A42" s="36" t="s">
        <v>728</v>
      </c>
      <c r="B42" s="31"/>
      <c r="C42" s="31"/>
      <c r="D42" s="31"/>
      <c r="E42" s="31"/>
      <c r="F42" s="31"/>
      <c r="G42" s="31"/>
      <c r="H42" s="31"/>
      <c r="I42" s="31"/>
      <c r="J42" s="31"/>
      <c r="K42" s="31"/>
      <c r="L42" s="31"/>
      <c r="M42" s="31"/>
      <c r="N42" s="31"/>
      <c r="O42" s="31"/>
      <c r="P42" s="31"/>
      <c r="Q42" s="31"/>
      <c r="R42" s="31"/>
      <c r="S42" s="31"/>
      <c r="T42" s="31"/>
    </row>
    <row r="43" spans="1:20" ht="51" customHeight="1" x14ac:dyDescent="0.25">
      <c r="A43" s="37" t="s">
        <v>729</v>
      </c>
      <c r="B43" s="31"/>
      <c r="C43" s="31"/>
      <c r="D43" s="31"/>
      <c r="E43" s="31"/>
      <c r="F43" s="31"/>
      <c r="G43" s="31"/>
      <c r="H43" s="31"/>
      <c r="I43" s="31"/>
      <c r="J43" s="31"/>
      <c r="K43" s="31"/>
      <c r="L43" s="31"/>
      <c r="M43" s="31"/>
      <c r="N43" s="31"/>
      <c r="O43" s="31"/>
      <c r="P43" s="31"/>
      <c r="Q43" s="31"/>
      <c r="R43" s="31"/>
      <c r="S43" s="31"/>
      <c r="T43" s="31"/>
    </row>
    <row r="44" spans="1:20" ht="6" customHeight="1" x14ac:dyDescent="0.25"/>
    <row r="47" spans="1:20" ht="21.95" customHeight="1" x14ac:dyDescent="0.25">
      <c r="A47" s="38" t="s">
        <v>730</v>
      </c>
      <c r="B47" s="39"/>
      <c r="C47" s="39"/>
      <c r="D47" s="39"/>
      <c r="E47" s="39"/>
      <c r="F47" s="39"/>
      <c r="G47" s="39"/>
      <c r="H47" s="39"/>
      <c r="I47" s="39"/>
      <c r="J47" s="39"/>
      <c r="K47" s="39"/>
      <c r="L47" s="39"/>
      <c r="M47" s="39"/>
      <c r="N47" s="39"/>
      <c r="O47" s="39"/>
      <c r="P47" s="39"/>
      <c r="Q47" s="39"/>
      <c r="R47" s="39"/>
      <c r="S47" s="39"/>
      <c r="T47" s="39"/>
    </row>
    <row r="49" spans="1:20" ht="18" customHeight="1" x14ac:dyDescent="0.25">
      <c r="A49" s="36" t="s">
        <v>70</v>
      </c>
      <c r="B49" s="31"/>
      <c r="C49" s="31"/>
      <c r="D49" s="31"/>
      <c r="E49" s="31"/>
      <c r="F49" s="31"/>
      <c r="G49" s="31"/>
      <c r="H49" s="31"/>
      <c r="I49" s="31"/>
      <c r="J49" s="31"/>
      <c r="K49" s="31"/>
      <c r="L49" s="31"/>
      <c r="M49" s="31"/>
      <c r="N49" s="31"/>
      <c r="O49" s="31"/>
      <c r="P49" s="31"/>
      <c r="Q49" s="31"/>
      <c r="R49" s="31"/>
      <c r="S49" s="31"/>
      <c r="T49" s="31"/>
    </row>
    <row r="50" spans="1:20" ht="21" customHeight="1" x14ac:dyDescent="0.25">
      <c r="A50" s="37" t="s">
        <v>731</v>
      </c>
      <c r="B50" s="31"/>
      <c r="C50" s="31"/>
      <c r="D50" s="31"/>
      <c r="E50" s="31"/>
      <c r="F50" s="31"/>
      <c r="G50" s="31"/>
      <c r="H50" s="31"/>
      <c r="I50" s="31"/>
      <c r="J50" s="31"/>
      <c r="K50" s="31"/>
      <c r="L50" s="31"/>
      <c r="M50" s="31"/>
      <c r="N50" s="31"/>
      <c r="O50" s="31"/>
      <c r="P50" s="31"/>
      <c r="Q50" s="31"/>
      <c r="R50" s="31"/>
      <c r="S50" s="31"/>
      <c r="T50" s="31"/>
    </row>
    <row r="51" spans="1:20" ht="6" customHeight="1" x14ac:dyDescent="0.25"/>
    <row r="52" spans="1:20" ht="18" customHeight="1" x14ac:dyDescent="0.25">
      <c r="A52" s="36" t="s">
        <v>84</v>
      </c>
      <c r="B52" s="31"/>
      <c r="C52" s="31"/>
      <c r="D52" s="31"/>
      <c r="E52" s="31"/>
      <c r="F52" s="31"/>
      <c r="G52" s="31"/>
      <c r="H52" s="31"/>
      <c r="I52" s="31"/>
      <c r="J52" s="31"/>
      <c r="K52" s="31"/>
      <c r="L52" s="31"/>
      <c r="M52" s="31"/>
      <c r="N52" s="31"/>
      <c r="O52" s="31"/>
      <c r="P52" s="31"/>
      <c r="Q52" s="31"/>
      <c r="R52" s="31"/>
      <c r="S52" s="31"/>
      <c r="T52" s="31"/>
    </row>
    <row r="53" spans="1:20" ht="36" customHeight="1" x14ac:dyDescent="0.25">
      <c r="A53" s="37" t="s">
        <v>732</v>
      </c>
      <c r="B53" s="31"/>
      <c r="C53" s="31"/>
      <c r="D53" s="31"/>
      <c r="E53" s="31"/>
      <c r="F53" s="31"/>
      <c r="G53" s="31"/>
      <c r="H53" s="31"/>
      <c r="I53" s="31"/>
      <c r="J53" s="31"/>
      <c r="K53" s="31"/>
      <c r="L53" s="31"/>
      <c r="M53" s="31"/>
      <c r="N53" s="31"/>
      <c r="O53" s="31"/>
      <c r="P53" s="31"/>
      <c r="Q53" s="31"/>
      <c r="R53" s="31"/>
      <c r="S53" s="31"/>
      <c r="T53" s="31"/>
    </row>
    <row r="54" spans="1:20" ht="6" customHeight="1" x14ac:dyDescent="0.25"/>
    <row r="55" spans="1:20" ht="18" customHeight="1" x14ac:dyDescent="0.25">
      <c r="A55" s="36" t="s">
        <v>684</v>
      </c>
      <c r="B55" s="31"/>
      <c r="C55" s="31"/>
      <c r="D55" s="31"/>
      <c r="E55" s="31"/>
      <c r="F55" s="31"/>
      <c r="G55" s="31"/>
      <c r="H55" s="31"/>
      <c r="I55" s="31"/>
      <c r="J55" s="31"/>
      <c r="K55" s="31"/>
      <c r="L55" s="31"/>
      <c r="M55" s="31"/>
      <c r="N55" s="31"/>
      <c r="O55" s="31"/>
      <c r="P55" s="31"/>
      <c r="Q55" s="31"/>
      <c r="R55" s="31"/>
      <c r="S55" s="31"/>
      <c r="T55" s="31"/>
    </row>
    <row r="56" spans="1:20" ht="21" customHeight="1" x14ac:dyDescent="0.25">
      <c r="A56" s="37" t="s">
        <v>733</v>
      </c>
      <c r="B56" s="31"/>
      <c r="C56" s="31"/>
      <c r="D56" s="31"/>
      <c r="E56" s="31"/>
      <c r="F56" s="31"/>
      <c r="G56" s="31"/>
      <c r="H56" s="31"/>
      <c r="I56" s="31"/>
      <c r="J56" s="31"/>
      <c r="K56" s="31"/>
      <c r="L56" s="31"/>
      <c r="M56" s="31"/>
      <c r="N56" s="31"/>
      <c r="O56" s="31"/>
      <c r="P56" s="31"/>
      <c r="Q56" s="31"/>
      <c r="R56" s="31"/>
      <c r="S56" s="31"/>
      <c r="T56" s="31"/>
    </row>
    <row r="57" spans="1:20" ht="6" customHeight="1" x14ac:dyDescent="0.25"/>
    <row r="58" spans="1:20" ht="18" customHeight="1" x14ac:dyDescent="0.25">
      <c r="A58" s="36" t="s">
        <v>686</v>
      </c>
      <c r="B58" s="31"/>
      <c r="C58" s="31"/>
      <c r="D58" s="31"/>
      <c r="E58" s="31"/>
      <c r="F58" s="31"/>
      <c r="G58" s="31"/>
      <c r="H58" s="31"/>
      <c r="I58" s="31"/>
      <c r="J58" s="31"/>
      <c r="K58" s="31"/>
      <c r="L58" s="31"/>
      <c r="M58" s="31"/>
      <c r="N58" s="31"/>
      <c r="O58" s="31"/>
      <c r="P58" s="31"/>
      <c r="Q58" s="31"/>
      <c r="R58" s="31"/>
      <c r="S58" s="31"/>
      <c r="T58" s="31"/>
    </row>
    <row r="59" spans="1:20" ht="21" customHeight="1" x14ac:dyDescent="0.25">
      <c r="A59" s="37" t="s">
        <v>863</v>
      </c>
      <c r="B59" s="31"/>
      <c r="C59" s="31"/>
      <c r="D59" s="31"/>
      <c r="E59" s="31"/>
      <c r="F59" s="31"/>
      <c r="G59" s="31"/>
      <c r="H59" s="31"/>
      <c r="I59" s="31"/>
      <c r="J59" s="31"/>
      <c r="K59" s="31"/>
      <c r="L59" s="31"/>
      <c r="M59" s="31"/>
      <c r="N59" s="31"/>
      <c r="O59" s="31"/>
      <c r="P59" s="31"/>
      <c r="Q59" s="31"/>
      <c r="R59" s="31"/>
      <c r="S59" s="31"/>
      <c r="T59" s="31"/>
    </row>
    <row r="60" spans="1:20" ht="6" customHeight="1" x14ac:dyDescent="0.25"/>
    <row r="61" spans="1:20" ht="18" customHeight="1" x14ac:dyDescent="0.25">
      <c r="A61" s="36" t="s">
        <v>689</v>
      </c>
      <c r="B61" s="31"/>
      <c r="C61" s="31"/>
      <c r="D61" s="31"/>
      <c r="E61" s="31"/>
      <c r="F61" s="31"/>
      <c r="G61" s="31"/>
      <c r="H61" s="31"/>
      <c r="I61" s="31"/>
      <c r="J61" s="31"/>
      <c r="K61" s="31"/>
      <c r="L61" s="31"/>
      <c r="M61" s="31"/>
      <c r="N61" s="31"/>
      <c r="O61" s="31"/>
      <c r="P61" s="31"/>
      <c r="Q61" s="31"/>
      <c r="R61" s="31"/>
      <c r="S61" s="31"/>
      <c r="T61" s="31"/>
    </row>
    <row r="62" spans="1:20" ht="21" customHeight="1" x14ac:dyDescent="0.25">
      <c r="A62" s="37" t="s">
        <v>864</v>
      </c>
      <c r="B62" s="31"/>
      <c r="C62" s="31"/>
      <c r="D62" s="31"/>
      <c r="E62" s="31"/>
      <c r="F62" s="31"/>
      <c r="G62" s="31"/>
      <c r="H62" s="31"/>
      <c r="I62" s="31"/>
      <c r="J62" s="31"/>
      <c r="K62" s="31"/>
      <c r="L62" s="31"/>
      <c r="M62" s="31"/>
      <c r="N62" s="31"/>
      <c r="O62" s="31"/>
      <c r="P62" s="31"/>
      <c r="Q62" s="31"/>
      <c r="R62" s="31"/>
      <c r="S62" s="31"/>
      <c r="T62" s="31"/>
    </row>
    <row r="63" spans="1:20" ht="6" customHeight="1" x14ac:dyDescent="0.25"/>
    <row r="64" spans="1:20" ht="18" customHeight="1" x14ac:dyDescent="0.25">
      <c r="A64" s="36" t="s">
        <v>692</v>
      </c>
      <c r="B64" s="31"/>
      <c r="C64" s="31"/>
      <c r="D64" s="31"/>
      <c r="E64" s="31"/>
      <c r="F64" s="31"/>
      <c r="G64" s="31"/>
      <c r="H64" s="31"/>
      <c r="I64" s="31"/>
      <c r="J64" s="31"/>
      <c r="K64" s="31"/>
      <c r="L64" s="31"/>
      <c r="M64" s="31"/>
      <c r="N64" s="31"/>
      <c r="O64" s="31"/>
      <c r="P64" s="31"/>
      <c r="Q64" s="31"/>
      <c r="R64" s="31"/>
      <c r="S64" s="31"/>
      <c r="T64" s="31"/>
    </row>
    <row r="65" spans="1:20" ht="21" customHeight="1" x14ac:dyDescent="0.25">
      <c r="A65" s="37" t="s">
        <v>737</v>
      </c>
      <c r="B65" s="31"/>
      <c r="C65" s="31"/>
      <c r="D65" s="31"/>
      <c r="E65" s="31"/>
      <c r="F65" s="31"/>
      <c r="G65" s="31"/>
      <c r="H65" s="31"/>
      <c r="I65" s="31"/>
      <c r="J65" s="31"/>
      <c r="K65" s="31"/>
      <c r="L65" s="31"/>
      <c r="M65" s="31"/>
      <c r="N65" s="31"/>
      <c r="O65" s="31"/>
      <c r="P65" s="31"/>
      <c r="Q65" s="31"/>
      <c r="R65" s="31"/>
      <c r="S65" s="31"/>
      <c r="T65" s="31"/>
    </row>
    <row r="66" spans="1:20" ht="6" customHeight="1" x14ac:dyDescent="0.25"/>
    <row r="67" spans="1:20" ht="18" customHeight="1" x14ac:dyDescent="0.25">
      <c r="A67" s="36" t="s">
        <v>693</v>
      </c>
      <c r="B67" s="31"/>
      <c r="C67" s="31"/>
      <c r="D67" s="31"/>
      <c r="E67" s="31"/>
      <c r="F67" s="31"/>
      <c r="G67" s="31"/>
      <c r="H67" s="31"/>
      <c r="I67" s="31"/>
      <c r="J67" s="31"/>
      <c r="K67" s="31"/>
      <c r="L67" s="31"/>
      <c r="M67" s="31"/>
      <c r="N67" s="31"/>
      <c r="O67" s="31"/>
      <c r="P67" s="31"/>
      <c r="Q67" s="31"/>
      <c r="R67" s="31"/>
      <c r="S67" s="31"/>
      <c r="T67" s="31"/>
    </row>
    <row r="68" spans="1:20" ht="21" customHeight="1" x14ac:dyDescent="0.25">
      <c r="A68" s="37" t="s">
        <v>738</v>
      </c>
      <c r="B68" s="31"/>
      <c r="C68" s="31"/>
      <c r="D68" s="31"/>
      <c r="E68" s="31"/>
      <c r="F68" s="31"/>
      <c r="G68" s="31"/>
      <c r="H68" s="31"/>
      <c r="I68" s="31"/>
      <c r="J68" s="31"/>
      <c r="K68" s="31"/>
      <c r="L68" s="31"/>
      <c r="M68" s="31"/>
      <c r="N68" s="31"/>
      <c r="O68" s="31"/>
      <c r="P68" s="31"/>
      <c r="Q68" s="31"/>
      <c r="R68" s="31"/>
      <c r="S68" s="31"/>
      <c r="T68" s="31"/>
    </row>
    <row r="69" spans="1:20" ht="6" customHeight="1" x14ac:dyDescent="0.25"/>
    <row r="70" spans="1:20" ht="18" customHeight="1" x14ac:dyDescent="0.25">
      <c r="A70" s="36" t="s">
        <v>849</v>
      </c>
      <c r="B70" s="31"/>
      <c r="C70" s="31"/>
      <c r="D70" s="31"/>
      <c r="E70" s="31"/>
      <c r="F70" s="31"/>
      <c r="G70" s="31"/>
      <c r="H70" s="31"/>
      <c r="I70" s="31"/>
      <c r="J70" s="31"/>
      <c r="K70" s="31"/>
      <c r="L70" s="31"/>
      <c r="M70" s="31"/>
      <c r="N70" s="31"/>
      <c r="O70" s="31"/>
      <c r="P70" s="31"/>
      <c r="Q70" s="31"/>
      <c r="R70" s="31"/>
      <c r="S70" s="31"/>
      <c r="T70" s="31"/>
    </row>
    <row r="71" spans="1:20" ht="21" customHeight="1" x14ac:dyDescent="0.25">
      <c r="A71" s="37" t="s">
        <v>855</v>
      </c>
      <c r="B71" s="31"/>
      <c r="C71" s="31"/>
      <c r="D71" s="31"/>
      <c r="E71" s="31"/>
      <c r="F71" s="31"/>
      <c r="G71" s="31"/>
      <c r="H71" s="31"/>
      <c r="I71" s="31"/>
      <c r="J71" s="31"/>
      <c r="K71" s="31"/>
      <c r="L71" s="31"/>
      <c r="M71" s="31"/>
      <c r="N71" s="31"/>
      <c r="O71" s="31"/>
      <c r="P71" s="31"/>
      <c r="Q71" s="31"/>
      <c r="R71" s="31"/>
      <c r="S71" s="31"/>
      <c r="T71" s="31"/>
    </row>
    <row r="72" spans="1:20" ht="6" customHeight="1" x14ac:dyDescent="0.25"/>
    <row r="73" spans="1:20" ht="18" customHeight="1" x14ac:dyDescent="0.25">
      <c r="A73" s="36" t="s">
        <v>850</v>
      </c>
      <c r="B73" s="31"/>
      <c r="C73" s="31"/>
      <c r="D73" s="31"/>
      <c r="E73" s="31"/>
      <c r="F73" s="31"/>
      <c r="G73" s="31"/>
      <c r="H73" s="31"/>
      <c r="I73" s="31"/>
      <c r="J73" s="31"/>
      <c r="K73" s="31"/>
      <c r="L73" s="31"/>
      <c r="M73" s="31"/>
      <c r="N73" s="31"/>
      <c r="O73" s="31"/>
      <c r="P73" s="31"/>
      <c r="Q73" s="31"/>
      <c r="R73" s="31"/>
      <c r="S73" s="31"/>
      <c r="T73" s="31"/>
    </row>
    <row r="74" spans="1:20" ht="21" customHeight="1" x14ac:dyDescent="0.25">
      <c r="A74" s="37" t="s">
        <v>856</v>
      </c>
      <c r="B74" s="31"/>
      <c r="C74" s="31"/>
      <c r="D74" s="31"/>
      <c r="E74" s="31"/>
      <c r="F74" s="31"/>
      <c r="G74" s="31"/>
      <c r="H74" s="31"/>
      <c r="I74" s="31"/>
      <c r="J74" s="31"/>
      <c r="K74" s="31"/>
      <c r="L74" s="31"/>
      <c r="M74" s="31"/>
      <c r="N74" s="31"/>
      <c r="O74" s="31"/>
      <c r="P74" s="31"/>
      <c r="Q74" s="31"/>
      <c r="R74" s="31"/>
      <c r="S74" s="31"/>
      <c r="T74" s="31"/>
    </row>
    <row r="75" spans="1:20" ht="6" customHeight="1" x14ac:dyDescent="0.25"/>
    <row r="76" spans="1:20" ht="18" customHeight="1" x14ac:dyDescent="0.25">
      <c r="A76" s="36" t="s">
        <v>699</v>
      </c>
      <c r="B76" s="31"/>
      <c r="C76" s="31"/>
      <c r="D76" s="31"/>
      <c r="E76" s="31"/>
      <c r="F76" s="31"/>
      <c r="G76" s="31"/>
      <c r="H76" s="31"/>
      <c r="I76" s="31"/>
      <c r="J76" s="31"/>
      <c r="K76" s="31"/>
      <c r="L76" s="31"/>
      <c r="M76" s="31"/>
      <c r="N76" s="31"/>
      <c r="O76" s="31"/>
      <c r="P76" s="31"/>
      <c r="Q76" s="31"/>
      <c r="R76" s="31"/>
      <c r="S76" s="31"/>
      <c r="T76" s="31"/>
    </row>
    <row r="77" spans="1:20" ht="21" customHeight="1" x14ac:dyDescent="0.25">
      <c r="A77" s="37" t="s">
        <v>743</v>
      </c>
      <c r="B77" s="31"/>
      <c r="C77" s="31"/>
      <c r="D77" s="31"/>
      <c r="E77" s="31"/>
      <c r="F77" s="31"/>
      <c r="G77" s="31"/>
      <c r="H77" s="31"/>
      <c r="I77" s="31"/>
      <c r="J77" s="31"/>
      <c r="K77" s="31"/>
      <c r="L77" s="31"/>
      <c r="M77" s="31"/>
      <c r="N77" s="31"/>
      <c r="O77" s="31"/>
      <c r="P77" s="31"/>
      <c r="Q77" s="31"/>
      <c r="R77" s="31"/>
      <c r="S77" s="31"/>
      <c r="T77" s="31"/>
    </row>
    <row r="78" spans="1:20" ht="6" customHeight="1" x14ac:dyDescent="0.25"/>
    <row r="81" spans="1:20" x14ac:dyDescent="0.25">
      <c r="A81" s="40" t="s">
        <v>744</v>
      </c>
      <c r="B81" s="31"/>
      <c r="C81" s="31"/>
      <c r="D81" s="31"/>
      <c r="E81" s="31"/>
      <c r="F81" s="31"/>
      <c r="G81" s="31"/>
      <c r="H81" s="31"/>
      <c r="I81" s="31"/>
      <c r="J81" s="31"/>
      <c r="K81" s="31"/>
      <c r="L81" s="31"/>
      <c r="M81" s="31"/>
      <c r="N81" s="31"/>
      <c r="O81" s="31"/>
      <c r="P81" s="31"/>
      <c r="Q81" s="31"/>
      <c r="R81" s="31"/>
      <c r="S81" s="31"/>
      <c r="T81" s="31"/>
    </row>
  </sheetData>
  <mergeCells count="30">
    <mergeCell ref="A81:T81"/>
    <mergeCell ref="A52:T52"/>
    <mergeCell ref="A68:T68"/>
    <mergeCell ref="A33:T33"/>
    <mergeCell ref="A71:T71"/>
    <mergeCell ref="A47:T47"/>
    <mergeCell ref="A42:T42"/>
    <mergeCell ref="A76:T76"/>
    <mergeCell ref="A62:T62"/>
    <mergeCell ref="A53:T53"/>
    <mergeCell ref="A43:T43"/>
    <mergeCell ref="A77:T77"/>
    <mergeCell ref="A64:T64"/>
    <mergeCell ref="A59:T59"/>
    <mergeCell ref="A73:T73"/>
    <mergeCell ref="A49:T49"/>
    <mergeCell ref="A61:T61"/>
    <mergeCell ref="A70:T70"/>
    <mergeCell ref="A65:T65"/>
    <mergeCell ref="A74:T74"/>
    <mergeCell ref="A50:T50"/>
    <mergeCell ref="A56:T56"/>
    <mergeCell ref="A55:T55"/>
    <mergeCell ref="A67:T67"/>
    <mergeCell ref="A58:T58"/>
    <mergeCell ref="A34:T34"/>
    <mergeCell ref="A40:T40"/>
    <mergeCell ref="A39:T39"/>
    <mergeCell ref="A36:T36"/>
    <mergeCell ref="A37:T37"/>
  </mergeCells>
  <dataValidations count="10">
    <dataValidation type="list" allowBlank="1" errorTitle="Valore non valido" error="Seleziona dalla lista." promptTitle="Author" prompt="Autore della codifica." sqref="B5:B30" xr:uid="{00000000-0002-0000-0C00-000000000000}">
      <formula1>Author_Name</formula1>
    </dataValidation>
    <dataValidation type="list" allowBlank="1" errorTitle="Valore non valido" error="Seleziona dalla lista, oppure lascia vuoto." promptTitle="In Place" sqref="D5:D30" xr:uid="{00000000-0002-0000-0C00-000001000000}">
      <formula1>InPl_Name</formula1>
    </dataValidation>
    <dataValidation type="list" allowBlank="1" errorTitle="Valore non valido" error="Seleziona dalla lista." promptTitle="Famiglia di sistema" prompt="Famiglia di sistema Revit." sqref="F5:F30" xr:uid="{00000000-0002-0000-0C00-000002000000}">
      <formula1>TR_Cat_Name</formula1>
    </dataValidation>
    <dataValidation type="list" allowBlank="1" errorTitle="Valore non valido" error="Seleziona dalla lista." promptTitle="Group1" prompt="Sezione del profilo. Tabella condivisa con gli Handrails." sqref="H5:H30" xr:uid="{00000000-0002-0000-0C00-000003000000}">
      <formula1>TR_G1_Name</formula1>
    </dataValidation>
    <dataValidation type="list" allowBlank="1" errorTitle="Valore non valido" error="Seleziona dalla lista." promptTitle="Group2" prompt="Funzione del corrente sommitale." sqref="K5:K30" xr:uid="{00000000-0002-0000-0C00-000004000000}">
      <formula1>TR_G2_Name</formula1>
    </dataValidation>
    <dataValidation type="custom" allowBlank="1" errorTitle="Non valido" error="Inserisci un intero tra 0 e 99, oppure XX se i tipi non sono ancora definiti. Se Group1 è Other compila il Type Mark manuale." promptTitle="TM sequenza" prompt="Due cifre da 0 a 99. Distingue le varianti di stesso Group1 e stesso Group2. Tipo non ancora definito → XX. Non si compila con Group1 = OT." sqref="M5:M30" xr:uid="{00000000-0002-0000-0C00-000005000000}">
      <formula1>AND($I5&lt;&gt;"OT",OR(UPPER($M5)="XX",AND(ISNUMBER($M5),$M5&gt;=0,$M5&lt;=99,$M5=INT($M5))))</formula1>
    </dataValidation>
    <dataValidation type="custom" allowBlank="1" errorTitle="Non ammesso qui" error="Si usa solo quando Group1 è Other." promptTitle="Type Mark manuale" prompt="Solo con Group1 = OT. Sostituisce tutto il Type Mark, prefisso di categoria compreso. Finiture → prefisso materiale + tre cifre: PT-001, WD-001, MT-001." sqref="N5:N30" xr:uid="{00000000-0002-0000-0C00-000006000000}">
      <formula1>$I5="OT"</formula1>
    </dataValidation>
    <dataValidation type="decimal" operator="greaterThan" allowBlank="1" errorTitle="Non valido" error="Inserisci un valore maggiore di 0." promptTitle="Width or Ø mm" prompt="Larghezza totale del profilo in mm. Profilo tondo → diametro, e la colonna successiva resta vuota." sqref="P5:P30" xr:uid="{00000000-0002-0000-0C00-000007000000}">
      <formula1>0</formula1>
    </dataValidation>
    <dataValidation type="decimal" operator="greaterThan" allowBlank="1" errorTitle="Non valido" error="Inserisci un valore maggiore di 0." promptTitle="Depth or section height mm" prompt="Seconda dimensione della sezione in mm. Profilo tondo → vuota; il nome diventa D + diametro." sqref="Q5:Q30" xr:uid="{00000000-0002-0000-0C00-000008000000}">
      <formula1>0</formula1>
    </dataValidation>
    <dataValidation type="textLength" operator="lessThanOrEqual" allowBlank="1" errorTitle="Troppo lunga" error="Massimo 40 caratteri." promptTitle="Description" prompt="Facoltativa. Solo se aggiunge un’informazione non già nei codici: destinazione, posizione, o ciò che distingue due tipi altrimenti identici. Senza spazi, iniziali maiuscole, massimo 40 caratteri, senza accenti." sqref="R5:R30" xr:uid="{00000000-0002-0000-0C00-000009000000}">
      <formula1>40</formula1>
    </dataValidation>
  </dataValidation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T81"/>
  <sheetViews>
    <sheetView showGridLines="0" workbookViewId="0">
      <pane ySplit="4" topLeftCell="A5" activePane="bottomLeft" state="frozen"/>
      <selection pane="bottomLeft"/>
    </sheetView>
  </sheetViews>
  <sheetFormatPr defaultRowHeight="15" x14ac:dyDescent="0.25"/>
  <cols>
    <col min="1" max="1" width="3" customWidth="1"/>
    <col min="2" max="2" width="15" customWidth="1"/>
    <col min="3" max="3" width="5" customWidth="1"/>
    <col min="4" max="4" width="10" customWidth="1"/>
    <col min="5" max="5" width="4" customWidth="1"/>
    <col min="6" max="6" width="17" customWidth="1"/>
    <col min="7" max="7" width="4" customWidth="1"/>
    <col min="8" max="8" width="15" customWidth="1"/>
    <col min="9" max="9" width="4" customWidth="1"/>
    <col min="10" max="10" width="6" customWidth="1"/>
    <col min="11" max="11" width="15" customWidth="1"/>
    <col min="12" max="12" width="4" customWidth="1"/>
    <col min="13" max="13" width="12" customWidth="1"/>
    <col min="14" max="14" width="19" customWidth="1"/>
    <col min="15" max="16" width="12" customWidth="1"/>
    <col min="17" max="17" width="13" customWidth="1"/>
    <col min="18" max="18" width="22" customWidth="1"/>
    <col min="19" max="19" width="12" customWidth="1"/>
    <col min="20" max="20" width="40" customWidth="1"/>
  </cols>
  <sheetData>
    <row r="1" spans="1:20" ht="19.5" x14ac:dyDescent="0.3">
      <c r="A1" s="6" t="s">
        <v>865</v>
      </c>
    </row>
    <row r="2" spans="1:20" x14ac:dyDescent="0.25">
      <c r="A2" s="7" t="s">
        <v>680</v>
      </c>
    </row>
    <row r="3" spans="1:20" x14ac:dyDescent="0.25">
      <c r="A3" s="8" t="s">
        <v>858</v>
      </c>
    </row>
    <row r="4" spans="1:20" ht="30" customHeight="1" x14ac:dyDescent="0.25">
      <c r="A4" s="9" t="s">
        <v>682</v>
      </c>
      <c r="B4" s="9" t="s">
        <v>70</v>
      </c>
      <c r="C4" s="9" t="s">
        <v>683</v>
      </c>
      <c r="D4" s="10" t="s">
        <v>84</v>
      </c>
      <c r="E4" s="9" t="s">
        <v>83</v>
      </c>
      <c r="F4" s="9" t="s">
        <v>684</v>
      </c>
      <c r="G4" s="9" t="s">
        <v>685</v>
      </c>
      <c r="H4" s="9" t="s">
        <v>686</v>
      </c>
      <c r="I4" s="9" t="s">
        <v>687</v>
      </c>
      <c r="J4" s="9" t="s">
        <v>688</v>
      </c>
      <c r="K4" s="9" t="s">
        <v>689</v>
      </c>
      <c r="L4" s="9" t="s">
        <v>690</v>
      </c>
      <c r="M4" s="9" t="s">
        <v>692</v>
      </c>
      <c r="N4" s="9" t="s">
        <v>693</v>
      </c>
      <c r="O4" s="9" t="s">
        <v>694</v>
      </c>
      <c r="P4" s="9" t="s">
        <v>849</v>
      </c>
      <c r="Q4" s="9" t="s">
        <v>850</v>
      </c>
      <c r="R4" s="10" t="s">
        <v>699</v>
      </c>
      <c r="S4" s="9" t="s">
        <v>700</v>
      </c>
      <c r="T4" s="9" t="s">
        <v>701</v>
      </c>
    </row>
    <row r="5" spans="1:20" x14ac:dyDescent="0.25">
      <c r="A5" s="11" t="s">
        <v>704</v>
      </c>
      <c r="B5" s="12" t="s">
        <v>80</v>
      </c>
      <c r="C5" s="13" t="str">
        <f t="shared" ref="C5:C30" si="0">IFERROR(INDEX(Author_Code,MATCH($B5,Author_Name,0)),"")</f>
        <v>e</v>
      </c>
      <c r="D5" s="14"/>
      <c r="E5" s="13" t="str">
        <f t="shared" ref="E5:E30" si="1">IFERROR(INDEX(InPl_Code,MATCH($D5,InPl_Name,0)),"")</f>
        <v/>
      </c>
      <c r="F5" s="12" t="s">
        <v>323</v>
      </c>
      <c r="G5" s="13" t="str">
        <f t="shared" ref="G5:G30" si="2">IFERROR(INDEX(HR_Cat_Code,MATCH($F5,HR_Cat_Name,0)),"")</f>
        <v>HR</v>
      </c>
      <c r="H5" s="12" t="s">
        <v>545</v>
      </c>
      <c r="I5" s="13" t="str">
        <f t="shared" ref="I5:I30" si="3">IFERROR(INDEX(TR_G1_Code,MATCH($H5,TR_G1_Name,0)),"")</f>
        <v>CR</v>
      </c>
      <c r="J5" s="13" t="str">
        <f t="shared" ref="J5:J30" si="4">IFERROR(LEFT(INDEX(TR_G1_TM,MATCH($H5,TR_G1_Name,0)),1),"")</f>
        <v>1</v>
      </c>
      <c r="K5" s="12" t="s">
        <v>600</v>
      </c>
      <c r="L5" s="13" t="str">
        <f t="shared" ref="L5:L30" si="5">IFERROR(INDEX(HR_G2_Code,MATCH($K5,HR_G2_Name,0)),"")</f>
        <v>WM</v>
      </c>
      <c r="M5" s="12">
        <v>1</v>
      </c>
      <c r="N5" s="15"/>
      <c r="O5" s="13" t="str">
        <f t="shared" ref="O5:O30" si="6">IF($I5="OT",$N5,IF(OR($G5="",$J5="",$M5=""),"",$G5&amp;"-"&amp;$J5&amp;IF(UPPER($M5)="XX","XX",TEXT($M5,"00"))))</f>
        <v>HR-101</v>
      </c>
      <c r="P5" s="12">
        <v>40</v>
      </c>
      <c r="Q5" s="12"/>
      <c r="R5" s="16"/>
      <c r="S5" s="13" t="str">
        <f t="shared" ref="S5:S30" si="7">$G5&amp;IF($I5&lt;&gt;"","."&amp;$I5,"")&amp;IF($L5&lt;&gt;"","."&amp;$L5,"")</f>
        <v>HR.CR.WM</v>
      </c>
      <c r="T5" s="17" t="str">
        <f t="shared" ref="T5:T30" si="8">IF(AND($F5&lt;&gt;"",$H5&lt;&gt;"",$O5&lt;&gt;"",$P5&lt;&gt;""),$C5&amp;"_"&amp;$O5&amp;"_"&amp;$E5&amp;$S5&amp;"_"&amp;IF($Q5="","D"&amp;TEXT($P5,"0"),TEXT($P5,"0")&amp;"x"&amp;TEXT($Q5,"0"))&amp;IF($R5&lt;&gt;"","_"&amp;$R5,""),"")</f>
        <v>e_HR-101_HR.CR.WM_D40</v>
      </c>
    </row>
    <row r="6" spans="1:20" x14ac:dyDescent="0.25">
      <c r="A6" s="11" t="s">
        <v>705</v>
      </c>
      <c r="B6" s="12" t="s">
        <v>80</v>
      </c>
      <c r="C6" s="13" t="str">
        <f t="shared" si="0"/>
        <v>e</v>
      </c>
      <c r="D6" s="14"/>
      <c r="E6" s="13" t="str">
        <f t="shared" si="1"/>
        <v/>
      </c>
      <c r="F6" s="12" t="s">
        <v>323</v>
      </c>
      <c r="G6" s="13" t="str">
        <f t="shared" si="2"/>
        <v>HR</v>
      </c>
      <c r="H6" s="12" t="s">
        <v>545</v>
      </c>
      <c r="I6" s="13" t="str">
        <f t="shared" si="3"/>
        <v>CR</v>
      </c>
      <c r="J6" s="13" t="str">
        <f t="shared" si="4"/>
        <v>1</v>
      </c>
      <c r="K6" s="12" t="s">
        <v>600</v>
      </c>
      <c r="L6" s="13" t="str">
        <f t="shared" si="5"/>
        <v>WM</v>
      </c>
      <c r="M6" s="12">
        <v>2</v>
      </c>
      <c r="N6" s="15"/>
      <c r="O6" s="13" t="str">
        <f t="shared" si="6"/>
        <v>HR-102</v>
      </c>
      <c r="P6" s="12">
        <v>40</v>
      </c>
      <c r="Q6" s="12"/>
      <c r="R6" s="16" t="s">
        <v>866</v>
      </c>
      <c r="S6" s="13" t="str">
        <f t="shared" si="7"/>
        <v>HR.CR.WM</v>
      </c>
      <c r="T6" s="17" t="str">
        <f t="shared" si="8"/>
        <v>e_HR-102_HR.CR.WM_D40_Low</v>
      </c>
    </row>
    <row r="7" spans="1:20" x14ac:dyDescent="0.25">
      <c r="A7" s="11" t="s">
        <v>707</v>
      </c>
      <c r="B7" s="12" t="s">
        <v>80</v>
      </c>
      <c r="C7" s="13" t="str">
        <f t="shared" si="0"/>
        <v>e</v>
      </c>
      <c r="D7" s="14"/>
      <c r="E7" s="13" t="str">
        <f t="shared" si="1"/>
        <v/>
      </c>
      <c r="F7" s="12" t="s">
        <v>323</v>
      </c>
      <c r="G7" s="13" t="str">
        <f t="shared" si="2"/>
        <v>HR</v>
      </c>
      <c r="H7" s="12" t="s">
        <v>545</v>
      </c>
      <c r="I7" s="13" t="str">
        <f t="shared" si="3"/>
        <v>CR</v>
      </c>
      <c r="J7" s="13" t="str">
        <f t="shared" si="4"/>
        <v>1</v>
      </c>
      <c r="K7" s="12" t="s">
        <v>603</v>
      </c>
      <c r="L7" s="13" t="str">
        <f t="shared" si="5"/>
        <v>PM</v>
      </c>
      <c r="M7" s="12">
        <v>3</v>
      </c>
      <c r="N7" s="15"/>
      <c r="O7" s="13" t="str">
        <f t="shared" si="6"/>
        <v>HR-103</v>
      </c>
      <c r="P7" s="12">
        <v>40</v>
      </c>
      <c r="Q7" s="12"/>
      <c r="R7" s="16"/>
      <c r="S7" s="13" t="str">
        <f t="shared" si="7"/>
        <v>HR.CR.PM</v>
      </c>
      <c r="T7" s="17" t="str">
        <f t="shared" si="8"/>
        <v>e_HR-103_HR.CR.PM_D40</v>
      </c>
    </row>
    <row r="8" spans="1:20" x14ac:dyDescent="0.25">
      <c r="A8" s="11" t="s">
        <v>709</v>
      </c>
      <c r="B8" s="12" t="s">
        <v>80</v>
      </c>
      <c r="C8" s="13" t="str">
        <f t="shared" si="0"/>
        <v>e</v>
      </c>
      <c r="D8" s="14"/>
      <c r="E8" s="13" t="str">
        <f t="shared" si="1"/>
        <v/>
      </c>
      <c r="F8" s="12" t="s">
        <v>323</v>
      </c>
      <c r="G8" s="13" t="str">
        <f t="shared" si="2"/>
        <v>HR</v>
      </c>
      <c r="H8" s="12" t="s">
        <v>545</v>
      </c>
      <c r="I8" s="13" t="str">
        <f t="shared" si="3"/>
        <v>CR</v>
      </c>
      <c r="J8" s="13" t="str">
        <f t="shared" si="4"/>
        <v>1</v>
      </c>
      <c r="K8" s="12" t="s">
        <v>608</v>
      </c>
      <c r="L8" s="13" t="str">
        <f t="shared" si="5"/>
        <v>FS</v>
      </c>
      <c r="M8" s="12">
        <v>4</v>
      </c>
      <c r="N8" s="15"/>
      <c r="O8" s="13" t="str">
        <f t="shared" si="6"/>
        <v>HR-104</v>
      </c>
      <c r="P8" s="12">
        <v>48</v>
      </c>
      <c r="Q8" s="12"/>
      <c r="R8" s="16"/>
      <c r="S8" s="13" t="str">
        <f t="shared" si="7"/>
        <v>HR.CR.FS</v>
      </c>
      <c r="T8" s="17" t="str">
        <f t="shared" si="8"/>
        <v>e_HR-104_HR.CR.FS_D48</v>
      </c>
    </row>
    <row r="9" spans="1:20" x14ac:dyDescent="0.25">
      <c r="A9" s="11" t="s">
        <v>711</v>
      </c>
      <c r="B9" s="12" t="s">
        <v>80</v>
      </c>
      <c r="C9" s="13" t="str">
        <f t="shared" si="0"/>
        <v>e</v>
      </c>
      <c r="D9" s="14"/>
      <c r="E9" s="13" t="str">
        <f t="shared" si="1"/>
        <v/>
      </c>
      <c r="F9" s="12" t="s">
        <v>323</v>
      </c>
      <c r="G9" s="13" t="str">
        <f t="shared" si="2"/>
        <v>HR</v>
      </c>
      <c r="H9" s="12" t="s">
        <v>540</v>
      </c>
      <c r="I9" s="13" t="str">
        <f t="shared" si="3"/>
        <v>RT</v>
      </c>
      <c r="J9" s="13" t="str">
        <f t="shared" si="4"/>
        <v>2</v>
      </c>
      <c r="K9" s="12" t="s">
        <v>600</v>
      </c>
      <c r="L9" s="13" t="str">
        <f t="shared" si="5"/>
        <v>WM</v>
      </c>
      <c r="M9" s="12">
        <v>1</v>
      </c>
      <c r="N9" s="15"/>
      <c r="O9" s="13" t="str">
        <f t="shared" si="6"/>
        <v>HR-201</v>
      </c>
      <c r="P9" s="12">
        <v>50</v>
      </c>
      <c r="Q9" s="12">
        <v>30</v>
      </c>
      <c r="R9" s="16"/>
      <c r="S9" s="13" t="str">
        <f t="shared" si="7"/>
        <v>HR.RT.WM</v>
      </c>
      <c r="T9" s="17" t="str">
        <f t="shared" si="8"/>
        <v>e_HR-201_HR.RT.WM_50x30</v>
      </c>
    </row>
    <row r="10" spans="1:20" x14ac:dyDescent="0.25">
      <c r="A10" s="11" t="s">
        <v>712</v>
      </c>
      <c r="B10" s="12" t="s">
        <v>80</v>
      </c>
      <c r="C10" s="13" t="str">
        <f t="shared" si="0"/>
        <v>e</v>
      </c>
      <c r="D10" s="14"/>
      <c r="E10" s="13" t="str">
        <f t="shared" si="1"/>
        <v/>
      </c>
      <c r="F10" s="12" t="s">
        <v>323</v>
      </c>
      <c r="G10" s="13" t="str">
        <f t="shared" si="2"/>
        <v>HR</v>
      </c>
      <c r="H10" s="12" t="s">
        <v>540</v>
      </c>
      <c r="I10" s="13" t="str">
        <f t="shared" si="3"/>
        <v>RT</v>
      </c>
      <c r="J10" s="13" t="str">
        <f t="shared" si="4"/>
        <v>2</v>
      </c>
      <c r="K10" s="12" t="s">
        <v>606</v>
      </c>
      <c r="L10" s="13" t="str">
        <f t="shared" si="5"/>
        <v>IT</v>
      </c>
      <c r="M10" s="12">
        <v>2</v>
      </c>
      <c r="N10" s="15"/>
      <c r="O10" s="13" t="str">
        <f t="shared" si="6"/>
        <v>HR-202</v>
      </c>
      <c r="P10" s="12">
        <v>40</v>
      </c>
      <c r="Q10" s="12">
        <v>25</v>
      </c>
      <c r="R10" s="16"/>
      <c r="S10" s="13" t="str">
        <f t="shared" si="7"/>
        <v>HR.RT.IT</v>
      </c>
      <c r="T10" s="17" t="str">
        <f t="shared" si="8"/>
        <v>e_HR-202_HR.RT.IT_40x25</v>
      </c>
    </row>
    <row r="11" spans="1:20" x14ac:dyDescent="0.25">
      <c r="A11" s="11" t="s">
        <v>713</v>
      </c>
      <c r="B11" s="12" t="s">
        <v>80</v>
      </c>
      <c r="C11" s="13" t="str">
        <f t="shared" si="0"/>
        <v>e</v>
      </c>
      <c r="D11" s="14"/>
      <c r="E11" s="13" t="str">
        <f t="shared" si="1"/>
        <v/>
      </c>
      <c r="F11" s="12" t="s">
        <v>323</v>
      </c>
      <c r="G11" s="13" t="str">
        <f t="shared" si="2"/>
        <v>HR</v>
      </c>
      <c r="H11" s="12" t="s">
        <v>588</v>
      </c>
      <c r="I11" s="13" t="str">
        <f t="shared" si="3"/>
        <v>OV</v>
      </c>
      <c r="J11" s="13" t="str">
        <f t="shared" si="4"/>
        <v>3</v>
      </c>
      <c r="K11" s="12" t="s">
        <v>603</v>
      </c>
      <c r="L11" s="13" t="str">
        <f t="shared" si="5"/>
        <v>PM</v>
      </c>
      <c r="M11" s="12">
        <v>1</v>
      </c>
      <c r="N11" s="15"/>
      <c r="O11" s="13" t="str">
        <f t="shared" si="6"/>
        <v>HR-301</v>
      </c>
      <c r="P11" s="12">
        <v>50</v>
      </c>
      <c r="Q11" s="12">
        <v>40</v>
      </c>
      <c r="R11" s="16"/>
      <c r="S11" s="13" t="str">
        <f t="shared" si="7"/>
        <v>HR.OV.PM</v>
      </c>
      <c r="T11" s="17" t="str">
        <f t="shared" si="8"/>
        <v>e_HR-301_HR.OV.PM_50x40</v>
      </c>
    </row>
    <row r="12" spans="1:20" x14ac:dyDescent="0.25">
      <c r="A12" s="11" t="s">
        <v>715</v>
      </c>
      <c r="B12" s="12" t="s">
        <v>80</v>
      </c>
      <c r="C12" s="13" t="str">
        <f t="shared" si="0"/>
        <v>e</v>
      </c>
      <c r="D12" s="14"/>
      <c r="E12" s="13" t="str">
        <f t="shared" si="1"/>
        <v/>
      </c>
      <c r="F12" s="12" t="s">
        <v>323</v>
      </c>
      <c r="G12" s="13" t="str">
        <f t="shared" si="2"/>
        <v>HR</v>
      </c>
      <c r="H12" s="12" t="s">
        <v>588</v>
      </c>
      <c r="I12" s="13" t="str">
        <f t="shared" si="3"/>
        <v>OV</v>
      </c>
      <c r="J12" s="13" t="str">
        <f t="shared" si="4"/>
        <v>3</v>
      </c>
      <c r="K12" s="12" t="s">
        <v>600</v>
      </c>
      <c r="L12" s="13" t="str">
        <f t="shared" si="5"/>
        <v>WM</v>
      </c>
      <c r="M12" s="12">
        <v>2</v>
      </c>
      <c r="N12" s="15"/>
      <c r="O12" s="13" t="str">
        <f t="shared" si="6"/>
        <v>HR-302</v>
      </c>
      <c r="P12" s="12">
        <v>50</v>
      </c>
      <c r="Q12" s="12">
        <v>40</v>
      </c>
      <c r="R12" s="16"/>
      <c r="S12" s="13" t="str">
        <f t="shared" si="7"/>
        <v>HR.OV.WM</v>
      </c>
      <c r="T12" s="17" t="str">
        <f t="shared" si="8"/>
        <v>e_HR-302_HR.OV.WM_50x40</v>
      </c>
    </row>
    <row r="13" spans="1:20" x14ac:dyDescent="0.25">
      <c r="A13" s="11" t="s">
        <v>716</v>
      </c>
      <c r="B13" s="12" t="s">
        <v>80</v>
      </c>
      <c r="C13" s="13" t="str">
        <f t="shared" si="0"/>
        <v>e</v>
      </c>
      <c r="D13" s="14"/>
      <c r="E13" s="13" t="str">
        <f t="shared" si="1"/>
        <v/>
      </c>
      <c r="F13" s="12" t="s">
        <v>323</v>
      </c>
      <c r="G13" s="13" t="str">
        <f t="shared" si="2"/>
        <v>HR</v>
      </c>
      <c r="H13" s="12" t="s">
        <v>591</v>
      </c>
      <c r="I13" s="13" t="str">
        <f t="shared" si="3"/>
        <v>SH</v>
      </c>
      <c r="J13" s="13" t="str">
        <f t="shared" si="4"/>
        <v>4</v>
      </c>
      <c r="K13" s="12" t="s">
        <v>606</v>
      </c>
      <c r="L13" s="13" t="str">
        <f t="shared" si="5"/>
        <v>IT</v>
      </c>
      <c r="M13" s="12">
        <v>1</v>
      </c>
      <c r="N13" s="15"/>
      <c r="O13" s="13" t="str">
        <f t="shared" si="6"/>
        <v>HR-401</v>
      </c>
      <c r="P13" s="12">
        <v>60</v>
      </c>
      <c r="Q13" s="12">
        <v>45</v>
      </c>
      <c r="R13" s="16"/>
      <c r="S13" s="13" t="str">
        <f t="shared" si="7"/>
        <v>HR.SH.IT</v>
      </c>
      <c r="T13" s="17" t="str">
        <f t="shared" si="8"/>
        <v>e_HR-401_HR.SH.IT_60x45</v>
      </c>
    </row>
    <row r="14" spans="1:20" x14ac:dyDescent="0.25">
      <c r="A14" s="11" t="s">
        <v>717</v>
      </c>
      <c r="B14" s="12" t="s">
        <v>80</v>
      </c>
      <c r="C14" s="13" t="str">
        <f t="shared" si="0"/>
        <v>e</v>
      </c>
      <c r="D14" s="14"/>
      <c r="E14" s="13" t="str">
        <f t="shared" si="1"/>
        <v/>
      </c>
      <c r="F14" s="12" t="s">
        <v>323</v>
      </c>
      <c r="G14" s="13" t="str">
        <f t="shared" si="2"/>
        <v>HR</v>
      </c>
      <c r="H14" s="12" t="s">
        <v>151</v>
      </c>
      <c r="I14" s="13" t="str">
        <f t="shared" si="3"/>
        <v>GN</v>
      </c>
      <c r="J14" s="13" t="str">
        <f t="shared" si="4"/>
        <v>0</v>
      </c>
      <c r="K14" s="12" t="s">
        <v>600</v>
      </c>
      <c r="L14" s="13" t="str">
        <f t="shared" si="5"/>
        <v>WM</v>
      </c>
      <c r="M14" s="12">
        <v>1</v>
      </c>
      <c r="N14" s="15"/>
      <c r="O14" s="13" t="str">
        <f t="shared" si="6"/>
        <v>HR-001</v>
      </c>
      <c r="P14" s="12">
        <v>40</v>
      </c>
      <c r="Q14" s="12"/>
      <c r="R14" s="16"/>
      <c r="S14" s="13" t="str">
        <f t="shared" si="7"/>
        <v>HR.GN.WM</v>
      </c>
      <c r="T14" s="17" t="str">
        <f t="shared" si="8"/>
        <v>e_HR-001_HR.GN.WM_D40</v>
      </c>
    </row>
    <row r="15" spans="1:20" x14ac:dyDescent="0.25">
      <c r="A15" s="11" t="s">
        <v>719</v>
      </c>
      <c r="B15" s="12" t="s">
        <v>80</v>
      </c>
      <c r="C15" s="13" t="str">
        <f t="shared" si="0"/>
        <v>e</v>
      </c>
      <c r="D15" s="14" t="s">
        <v>84</v>
      </c>
      <c r="E15" s="13" t="str">
        <f t="shared" si="1"/>
        <v>(I)</v>
      </c>
      <c r="F15" s="12" t="s">
        <v>323</v>
      </c>
      <c r="G15" s="13" t="str">
        <f t="shared" si="2"/>
        <v>HR</v>
      </c>
      <c r="H15" s="12" t="s">
        <v>545</v>
      </c>
      <c r="I15" s="13" t="str">
        <f t="shared" si="3"/>
        <v>CR</v>
      </c>
      <c r="J15" s="13" t="str">
        <f t="shared" si="4"/>
        <v>1</v>
      </c>
      <c r="K15" s="12" t="s">
        <v>600</v>
      </c>
      <c r="L15" s="13" t="str">
        <f t="shared" si="5"/>
        <v>WM</v>
      </c>
      <c r="M15" s="12">
        <v>1</v>
      </c>
      <c r="N15" s="15"/>
      <c r="O15" s="13" t="str">
        <f t="shared" si="6"/>
        <v>HR-101</v>
      </c>
      <c r="P15" s="12">
        <v>40</v>
      </c>
      <c r="Q15" s="12"/>
      <c r="R15" s="16"/>
      <c r="S15" s="13" t="str">
        <f t="shared" si="7"/>
        <v>HR.CR.WM</v>
      </c>
      <c r="T15" s="17" t="str">
        <f t="shared" si="8"/>
        <v>e_HR-101_(I)HR.CR.WM_D40</v>
      </c>
    </row>
    <row r="16" spans="1:20" x14ac:dyDescent="0.25">
      <c r="A16" s="19">
        <v>1</v>
      </c>
      <c r="B16" s="20"/>
      <c r="C16" s="21" t="str">
        <f t="shared" si="0"/>
        <v/>
      </c>
      <c r="D16" s="22"/>
      <c r="E16" s="21" t="str">
        <f t="shared" si="1"/>
        <v/>
      </c>
      <c r="F16" s="20"/>
      <c r="G16" s="21" t="str">
        <f t="shared" si="2"/>
        <v/>
      </c>
      <c r="H16" s="20"/>
      <c r="I16" s="21" t="str">
        <f t="shared" si="3"/>
        <v/>
      </c>
      <c r="J16" s="21" t="str">
        <f t="shared" si="4"/>
        <v/>
      </c>
      <c r="K16" s="20"/>
      <c r="L16" s="21" t="str">
        <f t="shared" si="5"/>
        <v/>
      </c>
      <c r="M16" s="20"/>
      <c r="N16" s="23"/>
      <c r="O16" s="21" t="str">
        <f t="shared" si="6"/>
        <v/>
      </c>
      <c r="P16" s="20"/>
      <c r="Q16" s="20"/>
      <c r="R16" s="24"/>
      <c r="S16" s="21" t="str">
        <f t="shared" si="7"/>
        <v/>
      </c>
      <c r="T16" s="25" t="str">
        <f t="shared" si="8"/>
        <v/>
      </c>
    </row>
    <row r="17" spans="1:20" x14ac:dyDescent="0.25">
      <c r="A17" s="19">
        <v>2</v>
      </c>
      <c r="B17" s="20"/>
      <c r="C17" s="21" t="str">
        <f t="shared" si="0"/>
        <v/>
      </c>
      <c r="D17" s="22"/>
      <c r="E17" s="21" t="str">
        <f t="shared" si="1"/>
        <v/>
      </c>
      <c r="F17" s="20"/>
      <c r="G17" s="21" t="str">
        <f t="shared" si="2"/>
        <v/>
      </c>
      <c r="H17" s="20"/>
      <c r="I17" s="21" t="str">
        <f t="shared" si="3"/>
        <v/>
      </c>
      <c r="J17" s="21" t="str">
        <f t="shared" si="4"/>
        <v/>
      </c>
      <c r="K17" s="20"/>
      <c r="L17" s="21" t="str">
        <f t="shared" si="5"/>
        <v/>
      </c>
      <c r="M17" s="20"/>
      <c r="N17" s="23"/>
      <c r="O17" s="21" t="str">
        <f t="shared" si="6"/>
        <v/>
      </c>
      <c r="P17" s="20"/>
      <c r="Q17" s="20"/>
      <c r="R17" s="24"/>
      <c r="S17" s="21" t="str">
        <f t="shared" si="7"/>
        <v/>
      </c>
      <c r="T17" s="25" t="str">
        <f t="shared" si="8"/>
        <v/>
      </c>
    </row>
    <row r="18" spans="1:20" x14ac:dyDescent="0.25">
      <c r="A18" s="19">
        <v>3</v>
      </c>
      <c r="B18" s="20"/>
      <c r="C18" s="21" t="str">
        <f t="shared" si="0"/>
        <v/>
      </c>
      <c r="D18" s="22"/>
      <c r="E18" s="21" t="str">
        <f t="shared" si="1"/>
        <v/>
      </c>
      <c r="F18" s="20"/>
      <c r="G18" s="21" t="str">
        <f t="shared" si="2"/>
        <v/>
      </c>
      <c r="H18" s="20"/>
      <c r="I18" s="21" t="str">
        <f t="shared" si="3"/>
        <v/>
      </c>
      <c r="J18" s="21" t="str">
        <f t="shared" si="4"/>
        <v/>
      </c>
      <c r="K18" s="20"/>
      <c r="L18" s="21" t="str">
        <f t="shared" si="5"/>
        <v/>
      </c>
      <c r="M18" s="20"/>
      <c r="N18" s="23"/>
      <c r="O18" s="21" t="str">
        <f t="shared" si="6"/>
        <v/>
      </c>
      <c r="P18" s="20"/>
      <c r="Q18" s="20"/>
      <c r="R18" s="24"/>
      <c r="S18" s="21" t="str">
        <f t="shared" si="7"/>
        <v/>
      </c>
      <c r="T18" s="25" t="str">
        <f t="shared" si="8"/>
        <v/>
      </c>
    </row>
    <row r="19" spans="1:20" x14ac:dyDescent="0.25">
      <c r="A19" s="19">
        <v>4</v>
      </c>
      <c r="B19" s="20"/>
      <c r="C19" s="21" t="str">
        <f t="shared" si="0"/>
        <v/>
      </c>
      <c r="D19" s="22"/>
      <c r="E19" s="21" t="str">
        <f t="shared" si="1"/>
        <v/>
      </c>
      <c r="F19" s="20"/>
      <c r="G19" s="21" t="str">
        <f t="shared" si="2"/>
        <v/>
      </c>
      <c r="H19" s="20"/>
      <c r="I19" s="21" t="str">
        <f t="shared" si="3"/>
        <v/>
      </c>
      <c r="J19" s="21" t="str">
        <f t="shared" si="4"/>
        <v/>
      </c>
      <c r="K19" s="20"/>
      <c r="L19" s="21" t="str">
        <f t="shared" si="5"/>
        <v/>
      </c>
      <c r="M19" s="20"/>
      <c r="N19" s="23"/>
      <c r="O19" s="21" t="str">
        <f t="shared" si="6"/>
        <v/>
      </c>
      <c r="P19" s="20"/>
      <c r="Q19" s="20"/>
      <c r="R19" s="24"/>
      <c r="S19" s="21" t="str">
        <f t="shared" si="7"/>
        <v/>
      </c>
      <c r="T19" s="25" t="str">
        <f t="shared" si="8"/>
        <v/>
      </c>
    </row>
    <row r="20" spans="1:20" x14ac:dyDescent="0.25">
      <c r="A20" s="19">
        <v>5</v>
      </c>
      <c r="B20" s="20"/>
      <c r="C20" s="21" t="str">
        <f t="shared" si="0"/>
        <v/>
      </c>
      <c r="D20" s="22"/>
      <c r="E20" s="21" t="str">
        <f t="shared" si="1"/>
        <v/>
      </c>
      <c r="F20" s="20"/>
      <c r="G20" s="21" t="str">
        <f t="shared" si="2"/>
        <v/>
      </c>
      <c r="H20" s="20"/>
      <c r="I20" s="21" t="str">
        <f t="shared" si="3"/>
        <v/>
      </c>
      <c r="J20" s="21" t="str">
        <f t="shared" si="4"/>
        <v/>
      </c>
      <c r="K20" s="20"/>
      <c r="L20" s="21" t="str">
        <f t="shared" si="5"/>
        <v/>
      </c>
      <c r="M20" s="20"/>
      <c r="N20" s="23"/>
      <c r="O20" s="21" t="str">
        <f t="shared" si="6"/>
        <v/>
      </c>
      <c r="P20" s="20"/>
      <c r="Q20" s="20"/>
      <c r="R20" s="24"/>
      <c r="S20" s="21" t="str">
        <f t="shared" si="7"/>
        <v/>
      </c>
      <c r="T20" s="25" t="str">
        <f t="shared" si="8"/>
        <v/>
      </c>
    </row>
    <row r="21" spans="1:20" x14ac:dyDescent="0.25">
      <c r="A21" s="19">
        <v>6</v>
      </c>
      <c r="B21" s="20"/>
      <c r="C21" s="21" t="str">
        <f t="shared" si="0"/>
        <v/>
      </c>
      <c r="D21" s="22"/>
      <c r="E21" s="21" t="str">
        <f t="shared" si="1"/>
        <v/>
      </c>
      <c r="F21" s="20"/>
      <c r="G21" s="21" t="str">
        <f t="shared" si="2"/>
        <v/>
      </c>
      <c r="H21" s="20"/>
      <c r="I21" s="21" t="str">
        <f t="shared" si="3"/>
        <v/>
      </c>
      <c r="J21" s="21" t="str">
        <f t="shared" si="4"/>
        <v/>
      </c>
      <c r="K21" s="20"/>
      <c r="L21" s="21" t="str">
        <f t="shared" si="5"/>
        <v/>
      </c>
      <c r="M21" s="20"/>
      <c r="N21" s="23"/>
      <c r="O21" s="21" t="str">
        <f t="shared" si="6"/>
        <v/>
      </c>
      <c r="P21" s="20"/>
      <c r="Q21" s="20"/>
      <c r="R21" s="24"/>
      <c r="S21" s="21" t="str">
        <f t="shared" si="7"/>
        <v/>
      </c>
      <c r="T21" s="25" t="str">
        <f t="shared" si="8"/>
        <v/>
      </c>
    </row>
    <row r="22" spans="1:20" x14ac:dyDescent="0.25">
      <c r="A22" s="19">
        <v>7</v>
      </c>
      <c r="B22" s="20"/>
      <c r="C22" s="21" t="str">
        <f t="shared" si="0"/>
        <v/>
      </c>
      <c r="D22" s="22"/>
      <c r="E22" s="21" t="str">
        <f t="shared" si="1"/>
        <v/>
      </c>
      <c r="F22" s="20"/>
      <c r="G22" s="21" t="str">
        <f t="shared" si="2"/>
        <v/>
      </c>
      <c r="H22" s="20"/>
      <c r="I22" s="21" t="str">
        <f t="shared" si="3"/>
        <v/>
      </c>
      <c r="J22" s="21" t="str">
        <f t="shared" si="4"/>
        <v/>
      </c>
      <c r="K22" s="20"/>
      <c r="L22" s="21" t="str">
        <f t="shared" si="5"/>
        <v/>
      </c>
      <c r="M22" s="20"/>
      <c r="N22" s="23"/>
      <c r="O22" s="21" t="str">
        <f t="shared" si="6"/>
        <v/>
      </c>
      <c r="P22" s="20"/>
      <c r="Q22" s="20"/>
      <c r="R22" s="24"/>
      <c r="S22" s="21" t="str">
        <f t="shared" si="7"/>
        <v/>
      </c>
      <c r="T22" s="25" t="str">
        <f t="shared" si="8"/>
        <v/>
      </c>
    </row>
    <row r="23" spans="1:20" x14ac:dyDescent="0.25">
      <c r="A23" s="19">
        <v>8</v>
      </c>
      <c r="B23" s="20"/>
      <c r="C23" s="21" t="str">
        <f t="shared" si="0"/>
        <v/>
      </c>
      <c r="D23" s="22"/>
      <c r="E23" s="21" t="str">
        <f t="shared" si="1"/>
        <v/>
      </c>
      <c r="F23" s="20"/>
      <c r="G23" s="21" t="str">
        <f t="shared" si="2"/>
        <v/>
      </c>
      <c r="H23" s="20"/>
      <c r="I23" s="21" t="str">
        <f t="shared" si="3"/>
        <v/>
      </c>
      <c r="J23" s="21" t="str">
        <f t="shared" si="4"/>
        <v/>
      </c>
      <c r="K23" s="20"/>
      <c r="L23" s="21" t="str">
        <f t="shared" si="5"/>
        <v/>
      </c>
      <c r="M23" s="20"/>
      <c r="N23" s="23"/>
      <c r="O23" s="21" t="str">
        <f t="shared" si="6"/>
        <v/>
      </c>
      <c r="P23" s="20"/>
      <c r="Q23" s="20"/>
      <c r="R23" s="24"/>
      <c r="S23" s="21" t="str">
        <f t="shared" si="7"/>
        <v/>
      </c>
      <c r="T23" s="25" t="str">
        <f t="shared" si="8"/>
        <v/>
      </c>
    </row>
    <row r="24" spans="1:20" x14ac:dyDescent="0.25">
      <c r="A24" s="19">
        <v>9</v>
      </c>
      <c r="B24" s="20"/>
      <c r="C24" s="21" t="str">
        <f t="shared" si="0"/>
        <v/>
      </c>
      <c r="D24" s="22"/>
      <c r="E24" s="21" t="str">
        <f t="shared" si="1"/>
        <v/>
      </c>
      <c r="F24" s="20"/>
      <c r="G24" s="21" t="str">
        <f t="shared" si="2"/>
        <v/>
      </c>
      <c r="H24" s="20"/>
      <c r="I24" s="21" t="str">
        <f t="shared" si="3"/>
        <v/>
      </c>
      <c r="J24" s="21" t="str">
        <f t="shared" si="4"/>
        <v/>
      </c>
      <c r="K24" s="20"/>
      <c r="L24" s="21" t="str">
        <f t="shared" si="5"/>
        <v/>
      </c>
      <c r="M24" s="20"/>
      <c r="N24" s="23"/>
      <c r="O24" s="21" t="str">
        <f t="shared" si="6"/>
        <v/>
      </c>
      <c r="P24" s="20"/>
      <c r="Q24" s="20"/>
      <c r="R24" s="24"/>
      <c r="S24" s="21" t="str">
        <f t="shared" si="7"/>
        <v/>
      </c>
      <c r="T24" s="25" t="str">
        <f t="shared" si="8"/>
        <v/>
      </c>
    </row>
    <row r="25" spans="1:20" x14ac:dyDescent="0.25">
      <c r="A25" s="19">
        <v>10</v>
      </c>
      <c r="B25" s="20"/>
      <c r="C25" s="21" t="str">
        <f t="shared" si="0"/>
        <v/>
      </c>
      <c r="D25" s="22"/>
      <c r="E25" s="21" t="str">
        <f t="shared" si="1"/>
        <v/>
      </c>
      <c r="F25" s="20"/>
      <c r="G25" s="21" t="str">
        <f t="shared" si="2"/>
        <v/>
      </c>
      <c r="H25" s="20"/>
      <c r="I25" s="21" t="str">
        <f t="shared" si="3"/>
        <v/>
      </c>
      <c r="J25" s="21" t="str">
        <f t="shared" si="4"/>
        <v/>
      </c>
      <c r="K25" s="20"/>
      <c r="L25" s="21" t="str">
        <f t="shared" si="5"/>
        <v/>
      </c>
      <c r="M25" s="20"/>
      <c r="N25" s="23"/>
      <c r="O25" s="21" t="str">
        <f t="shared" si="6"/>
        <v/>
      </c>
      <c r="P25" s="20"/>
      <c r="Q25" s="20"/>
      <c r="R25" s="24"/>
      <c r="S25" s="21" t="str">
        <f t="shared" si="7"/>
        <v/>
      </c>
      <c r="T25" s="25" t="str">
        <f t="shared" si="8"/>
        <v/>
      </c>
    </row>
    <row r="26" spans="1:20" x14ac:dyDescent="0.25">
      <c r="A26" s="19">
        <v>11</v>
      </c>
      <c r="B26" s="20"/>
      <c r="C26" s="21" t="str">
        <f t="shared" si="0"/>
        <v/>
      </c>
      <c r="D26" s="22"/>
      <c r="E26" s="21" t="str">
        <f t="shared" si="1"/>
        <v/>
      </c>
      <c r="F26" s="20"/>
      <c r="G26" s="21" t="str">
        <f t="shared" si="2"/>
        <v/>
      </c>
      <c r="H26" s="20"/>
      <c r="I26" s="21" t="str">
        <f t="shared" si="3"/>
        <v/>
      </c>
      <c r="J26" s="21" t="str">
        <f t="shared" si="4"/>
        <v/>
      </c>
      <c r="K26" s="20"/>
      <c r="L26" s="21" t="str">
        <f t="shared" si="5"/>
        <v/>
      </c>
      <c r="M26" s="20"/>
      <c r="N26" s="23"/>
      <c r="O26" s="21" t="str">
        <f t="shared" si="6"/>
        <v/>
      </c>
      <c r="P26" s="20"/>
      <c r="Q26" s="20"/>
      <c r="R26" s="24"/>
      <c r="S26" s="21" t="str">
        <f t="shared" si="7"/>
        <v/>
      </c>
      <c r="T26" s="25" t="str">
        <f t="shared" si="8"/>
        <v/>
      </c>
    </row>
    <row r="27" spans="1:20" x14ac:dyDescent="0.25">
      <c r="A27" s="19">
        <v>12</v>
      </c>
      <c r="B27" s="20"/>
      <c r="C27" s="21" t="str">
        <f t="shared" si="0"/>
        <v/>
      </c>
      <c r="D27" s="22"/>
      <c r="E27" s="21" t="str">
        <f t="shared" si="1"/>
        <v/>
      </c>
      <c r="F27" s="20"/>
      <c r="G27" s="21" t="str">
        <f t="shared" si="2"/>
        <v/>
      </c>
      <c r="H27" s="20"/>
      <c r="I27" s="21" t="str">
        <f t="shared" si="3"/>
        <v/>
      </c>
      <c r="J27" s="21" t="str">
        <f t="shared" si="4"/>
        <v/>
      </c>
      <c r="K27" s="20"/>
      <c r="L27" s="21" t="str">
        <f t="shared" si="5"/>
        <v/>
      </c>
      <c r="M27" s="20"/>
      <c r="N27" s="23"/>
      <c r="O27" s="21" t="str">
        <f t="shared" si="6"/>
        <v/>
      </c>
      <c r="P27" s="20"/>
      <c r="Q27" s="20"/>
      <c r="R27" s="24"/>
      <c r="S27" s="21" t="str">
        <f t="shared" si="7"/>
        <v/>
      </c>
      <c r="T27" s="25" t="str">
        <f t="shared" si="8"/>
        <v/>
      </c>
    </row>
    <row r="28" spans="1:20" x14ac:dyDescent="0.25">
      <c r="A28" s="19">
        <v>13</v>
      </c>
      <c r="B28" s="20"/>
      <c r="C28" s="21" t="str">
        <f t="shared" si="0"/>
        <v/>
      </c>
      <c r="D28" s="22"/>
      <c r="E28" s="21" t="str">
        <f t="shared" si="1"/>
        <v/>
      </c>
      <c r="F28" s="20"/>
      <c r="G28" s="21" t="str">
        <f t="shared" si="2"/>
        <v/>
      </c>
      <c r="H28" s="20"/>
      <c r="I28" s="21" t="str">
        <f t="shared" si="3"/>
        <v/>
      </c>
      <c r="J28" s="21" t="str">
        <f t="shared" si="4"/>
        <v/>
      </c>
      <c r="K28" s="20"/>
      <c r="L28" s="21" t="str">
        <f t="shared" si="5"/>
        <v/>
      </c>
      <c r="M28" s="20"/>
      <c r="N28" s="23"/>
      <c r="O28" s="21" t="str">
        <f t="shared" si="6"/>
        <v/>
      </c>
      <c r="P28" s="20"/>
      <c r="Q28" s="20"/>
      <c r="R28" s="24"/>
      <c r="S28" s="21" t="str">
        <f t="shared" si="7"/>
        <v/>
      </c>
      <c r="T28" s="25" t="str">
        <f t="shared" si="8"/>
        <v/>
      </c>
    </row>
    <row r="29" spans="1:20" x14ac:dyDescent="0.25">
      <c r="A29" s="19">
        <v>14</v>
      </c>
      <c r="B29" s="20"/>
      <c r="C29" s="21" t="str">
        <f t="shared" si="0"/>
        <v/>
      </c>
      <c r="D29" s="22"/>
      <c r="E29" s="21" t="str">
        <f t="shared" si="1"/>
        <v/>
      </c>
      <c r="F29" s="20"/>
      <c r="G29" s="21" t="str">
        <f t="shared" si="2"/>
        <v/>
      </c>
      <c r="H29" s="20"/>
      <c r="I29" s="21" t="str">
        <f t="shared" si="3"/>
        <v/>
      </c>
      <c r="J29" s="21" t="str">
        <f t="shared" si="4"/>
        <v/>
      </c>
      <c r="K29" s="20"/>
      <c r="L29" s="21" t="str">
        <f t="shared" si="5"/>
        <v/>
      </c>
      <c r="M29" s="20"/>
      <c r="N29" s="23"/>
      <c r="O29" s="21" t="str">
        <f t="shared" si="6"/>
        <v/>
      </c>
      <c r="P29" s="20"/>
      <c r="Q29" s="20"/>
      <c r="R29" s="24"/>
      <c r="S29" s="21" t="str">
        <f t="shared" si="7"/>
        <v/>
      </c>
      <c r="T29" s="25" t="str">
        <f t="shared" si="8"/>
        <v/>
      </c>
    </row>
    <row r="30" spans="1:20" x14ac:dyDescent="0.25">
      <c r="A30" s="19">
        <v>15</v>
      </c>
      <c r="B30" s="20"/>
      <c r="C30" s="21" t="str">
        <f t="shared" si="0"/>
        <v/>
      </c>
      <c r="D30" s="22"/>
      <c r="E30" s="21" t="str">
        <f t="shared" si="1"/>
        <v/>
      </c>
      <c r="F30" s="20"/>
      <c r="G30" s="21" t="str">
        <f t="shared" si="2"/>
        <v/>
      </c>
      <c r="H30" s="20"/>
      <c r="I30" s="21" t="str">
        <f t="shared" si="3"/>
        <v/>
      </c>
      <c r="J30" s="21" t="str">
        <f t="shared" si="4"/>
        <v/>
      </c>
      <c r="K30" s="20"/>
      <c r="L30" s="21" t="str">
        <f t="shared" si="5"/>
        <v/>
      </c>
      <c r="M30" s="20"/>
      <c r="N30" s="23"/>
      <c r="O30" s="21" t="str">
        <f t="shared" si="6"/>
        <v/>
      </c>
      <c r="P30" s="20"/>
      <c r="Q30" s="20"/>
      <c r="R30" s="24"/>
      <c r="S30" s="21" t="str">
        <f t="shared" si="7"/>
        <v/>
      </c>
      <c r="T30" s="25" t="str">
        <f t="shared" si="8"/>
        <v/>
      </c>
    </row>
    <row r="33" spans="1:20" ht="21.95" customHeight="1" x14ac:dyDescent="0.25">
      <c r="A33" s="38" t="s">
        <v>867</v>
      </c>
      <c r="B33" s="39"/>
      <c r="C33" s="39"/>
      <c r="D33" s="39"/>
      <c r="E33" s="39"/>
      <c r="F33" s="39"/>
      <c r="G33" s="39"/>
      <c r="H33" s="39"/>
      <c r="I33" s="39"/>
      <c r="J33" s="39"/>
      <c r="K33" s="39"/>
      <c r="L33" s="39"/>
      <c r="M33" s="39"/>
      <c r="N33" s="39"/>
      <c r="O33" s="39"/>
      <c r="P33" s="39"/>
      <c r="Q33" s="39"/>
      <c r="R33" s="39"/>
      <c r="S33" s="39"/>
      <c r="T33" s="39"/>
    </row>
    <row r="34" spans="1:20" ht="15.95" customHeight="1" x14ac:dyDescent="0.25">
      <c r="A34" s="40" t="s">
        <v>778</v>
      </c>
      <c r="B34" s="31"/>
      <c r="C34" s="31"/>
      <c r="D34" s="31"/>
      <c r="E34" s="31"/>
      <c r="F34" s="31"/>
      <c r="G34" s="31"/>
      <c r="H34" s="31"/>
      <c r="I34" s="31"/>
      <c r="J34" s="31"/>
      <c r="K34" s="31"/>
      <c r="L34" s="31"/>
      <c r="M34" s="31"/>
      <c r="N34" s="31"/>
      <c r="O34" s="31"/>
      <c r="P34" s="31"/>
      <c r="Q34" s="31"/>
      <c r="R34" s="31"/>
      <c r="S34" s="31"/>
      <c r="T34" s="31"/>
    </row>
    <row r="36" spans="1:20" ht="18" customHeight="1" x14ac:dyDescent="0.25">
      <c r="A36" s="36" t="s">
        <v>795</v>
      </c>
      <c r="B36" s="31"/>
      <c r="C36" s="31"/>
      <c r="D36" s="31"/>
      <c r="E36" s="31"/>
      <c r="F36" s="31"/>
      <c r="G36" s="31"/>
      <c r="H36" s="31"/>
      <c r="I36" s="31"/>
      <c r="J36" s="31"/>
      <c r="K36" s="31"/>
      <c r="L36" s="31"/>
      <c r="M36" s="31"/>
      <c r="N36" s="31"/>
      <c r="O36" s="31"/>
      <c r="P36" s="31"/>
      <c r="Q36" s="31"/>
      <c r="R36" s="31"/>
      <c r="S36" s="31"/>
      <c r="T36" s="31"/>
    </row>
    <row r="37" spans="1:20" ht="21" customHeight="1" x14ac:dyDescent="0.25">
      <c r="A37" s="37" t="s">
        <v>868</v>
      </c>
      <c r="B37" s="31"/>
      <c r="C37" s="31"/>
      <c r="D37" s="31"/>
      <c r="E37" s="31"/>
      <c r="F37" s="31"/>
      <c r="G37" s="31"/>
      <c r="H37" s="31"/>
      <c r="I37" s="31"/>
      <c r="J37" s="31"/>
      <c r="K37" s="31"/>
      <c r="L37" s="31"/>
      <c r="M37" s="31"/>
      <c r="N37" s="31"/>
      <c r="O37" s="31"/>
      <c r="P37" s="31"/>
      <c r="Q37" s="31"/>
      <c r="R37" s="31"/>
      <c r="S37" s="31"/>
      <c r="T37" s="31"/>
    </row>
    <row r="38" spans="1:20" ht="6" customHeight="1" x14ac:dyDescent="0.25"/>
    <row r="39" spans="1:20" ht="18" customHeight="1" x14ac:dyDescent="0.25">
      <c r="A39" s="36" t="s">
        <v>869</v>
      </c>
      <c r="B39" s="31"/>
      <c r="C39" s="31"/>
      <c r="D39" s="31"/>
      <c r="E39" s="31"/>
      <c r="F39" s="31"/>
      <c r="G39" s="31"/>
      <c r="H39" s="31"/>
      <c r="I39" s="31"/>
      <c r="J39" s="31"/>
      <c r="K39" s="31"/>
      <c r="L39" s="31"/>
      <c r="M39" s="31"/>
      <c r="N39" s="31"/>
      <c r="O39" s="31"/>
      <c r="P39" s="31"/>
      <c r="Q39" s="31"/>
      <c r="R39" s="31"/>
      <c r="S39" s="31"/>
      <c r="T39" s="31"/>
    </row>
    <row r="40" spans="1:20" ht="21" customHeight="1" x14ac:dyDescent="0.25">
      <c r="A40" s="37" t="s">
        <v>870</v>
      </c>
      <c r="B40" s="31"/>
      <c r="C40" s="31"/>
      <c r="D40" s="31"/>
      <c r="E40" s="31"/>
      <c r="F40" s="31"/>
      <c r="G40" s="31"/>
      <c r="H40" s="31"/>
      <c r="I40" s="31"/>
      <c r="J40" s="31"/>
      <c r="K40" s="31"/>
      <c r="L40" s="31"/>
      <c r="M40" s="31"/>
      <c r="N40" s="31"/>
      <c r="O40" s="31"/>
      <c r="P40" s="31"/>
      <c r="Q40" s="31"/>
      <c r="R40" s="31"/>
      <c r="S40" s="31"/>
      <c r="T40" s="31"/>
    </row>
    <row r="41" spans="1:20" ht="6" customHeight="1" x14ac:dyDescent="0.25"/>
    <row r="42" spans="1:20" ht="18" customHeight="1" x14ac:dyDescent="0.25">
      <c r="A42" s="36" t="s">
        <v>728</v>
      </c>
      <c r="B42" s="31"/>
      <c r="C42" s="31"/>
      <c r="D42" s="31"/>
      <c r="E42" s="31"/>
      <c r="F42" s="31"/>
      <c r="G42" s="31"/>
      <c r="H42" s="31"/>
      <c r="I42" s="31"/>
      <c r="J42" s="31"/>
      <c r="K42" s="31"/>
      <c r="L42" s="31"/>
      <c r="M42" s="31"/>
      <c r="N42" s="31"/>
      <c r="O42" s="31"/>
      <c r="P42" s="31"/>
      <c r="Q42" s="31"/>
      <c r="R42" s="31"/>
      <c r="S42" s="31"/>
      <c r="T42" s="31"/>
    </row>
    <row r="43" spans="1:20" ht="51" customHeight="1" x14ac:dyDescent="0.25">
      <c r="A43" s="37" t="s">
        <v>729</v>
      </c>
      <c r="B43" s="31"/>
      <c r="C43" s="31"/>
      <c r="D43" s="31"/>
      <c r="E43" s="31"/>
      <c r="F43" s="31"/>
      <c r="G43" s="31"/>
      <c r="H43" s="31"/>
      <c r="I43" s="31"/>
      <c r="J43" s="31"/>
      <c r="K43" s="31"/>
      <c r="L43" s="31"/>
      <c r="M43" s="31"/>
      <c r="N43" s="31"/>
      <c r="O43" s="31"/>
      <c r="P43" s="31"/>
      <c r="Q43" s="31"/>
      <c r="R43" s="31"/>
      <c r="S43" s="31"/>
      <c r="T43" s="31"/>
    </row>
    <row r="44" spans="1:20" ht="6" customHeight="1" x14ac:dyDescent="0.25"/>
    <row r="47" spans="1:20" ht="21.95" customHeight="1" x14ac:dyDescent="0.25">
      <c r="A47" s="38" t="s">
        <v>730</v>
      </c>
      <c r="B47" s="39"/>
      <c r="C47" s="39"/>
      <c r="D47" s="39"/>
      <c r="E47" s="39"/>
      <c r="F47" s="39"/>
      <c r="G47" s="39"/>
      <c r="H47" s="39"/>
      <c r="I47" s="39"/>
      <c r="J47" s="39"/>
      <c r="K47" s="39"/>
      <c r="L47" s="39"/>
      <c r="M47" s="39"/>
      <c r="N47" s="39"/>
      <c r="O47" s="39"/>
      <c r="P47" s="39"/>
      <c r="Q47" s="39"/>
      <c r="R47" s="39"/>
      <c r="S47" s="39"/>
      <c r="T47" s="39"/>
    </row>
    <row r="49" spans="1:20" ht="18" customHeight="1" x14ac:dyDescent="0.25">
      <c r="A49" s="36" t="s">
        <v>70</v>
      </c>
      <c r="B49" s="31"/>
      <c r="C49" s="31"/>
      <c r="D49" s="31"/>
      <c r="E49" s="31"/>
      <c r="F49" s="31"/>
      <c r="G49" s="31"/>
      <c r="H49" s="31"/>
      <c r="I49" s="31"/>
      <c r="J49" s="31"/>
      <c r="K49" s="31"/>
      <c r="L49" s="31"/>
      <c r="M49" s="31"/>
      <c r="N49" s="31"/>
      <c r="O49" s="31"/>
      <c r="P49" s="31"/>
      <c r="Q49" s="31"/>
      <c r="R49" s="31"/>
      <c r="S49" s="31"/>
      <c r="T49" s="31"/>
    </row>
    <row r="50" spans="1:20" ht="21" customHeight="1" x14ac:dyDescent="0.25">
      <c r="A50" s="37" t="s">
        <v>731</v>
      </c>
      <c r="B50" s="31"/>
      <c r="C50" s="31"/>
      <c r="D50" s="31"/>
      <c r="E50" s="31"/>
      <c r="F50" s="31"/>
      <c r="G50" s="31"/>
      <c r="H50" s="31"/>
      <c r="I50" s="31"/>
      <c r="J50" s="31"/>
      <c r="K50" s="31"/>
      <c r="L50" s="31"/>
      <c r="M50" s="31"/>
      <c r="N50" s="31"/>
      <c r="O50" s="31"/>
      <c r="P50" s="31"/>
      <c r="Q50" s="31"/>
      <c r="R50" s="31"/>
      <c r="S50" s="31"/>
      <c r="T50" s="31"/>
    </row>
    <row r="51" spans="1:20" ht="6" customHeight="1" x14ac:dyDescent="0.25"/>
    <row r="52" spans="1:20" ht="18" customHeight="1" x14ac:dyDescent="0.25">
      <c r="A52" s="36" t="s">
        <v>84</v>
      </c>
      <c r="B52" s="31"/>
      <c r="C52" s="31"/>
      <c r="D52" s="31"/>
      <c r="E52" s="31"/>
      <c r="F52" s="31"/>
      <c r="G52" s="31"/>
      <c r="H52" s="31"/>
      <c r="I52" s="31"/>
      <c r="J52" s="31"/>
      <c r="K52" s="31"/>
      <c r="L52" s="31"/>
      <c r="M52" s="31"/>
      <c r="N52" s="31"/>
      <c r="O52" s="31"/>
      <c r="P52" s="31"/>
      <c r="Q52" s="31"/>
      <c r="R52" s="31"/>
      <c r="S52" s="31"/>
      <c r="T52" s="31"/>
    </row>
    <row r="53" spans="1:20" ht="36" customHeight="1" x14ac:dyDescent="0.25">
      <c r="A53" s="37" t="s">
        <v>732</v>
      </c>
      <c r="B53" s="31"/>
      <c r="C53" s="31"/>
      <c r="D53" s="31"/>
      <c r="E53" s="31"/>
      <c r="F53" s="31"/>
      <c r="G53" s="31"/>
      <c r="H53" s="31"/>
      <c r="I53" s="31"/>
      <c r="J53" s="31"/>
      <c r="K53" s="31"/>
      <c r="L53" s="31"/>
      <c r="M53" s="31"/>
      <c r="N53" s="31"/>
      <c r="O53" s="31"/>
      <c r="P53" s="31"/>
      <c r="Q53" s="31"/>
      <c r="R53" s="31"/>
      <c r="S53" s="31"/>
      <c r="T53" s="31"/>
    </row>
    <row r="54" spans="1:20" ht="6" customHeight="1" x14ac:dyDescent="0.25"/>
    <row r="55" spans="1:20" ht="18" customHeight="1" x14ac:dyDescent="0.25">
      <c r="A55" s="36" t="s">
        <v>684</v>
      </c>
      <c r="B55" s="31"/>
      <c r="C55" s="31"/>
      <c r="D55" s="31"/>
      <c r="E55" s="31"/>
      <c r="F55" s="31"/>
      <c r="G55" s="31"/>
      <c r="H55" s="31"/>
      <c r="I55" s="31"/>
      <c r="J55" s="31"/>
      <c r="K55" s="31"/>
      <c r="L55" s="31"/>
      <c r="M55" s="31"/>
      <c r="N55" s="31"/>
      <c r="O55" s="31"/>
      <c r="P55" s="31"/>
      <c r="Q55" s="31"/>
      <c r="R55" s="31"/>
      <c r="S55" s="31"/>
      <c r="T55" s="31"/>
    </row>
    <row r="56" spans="1:20" ht="21" customHeight="1" x14ac:dyDescent="0.25">
      <c r="A56" s="37" t="s">
        <v>733</v>
      </c>
      <c r="B56" s="31"/>
      <c r="C56" s="31"/>
      <c r="D56" s="31"/>
      <c r="E56" s="31"/>
      <c r="F56" s="31"/>
      <c r="G56" s="31"/>
      <c r="H56" s="31"/>
      <c r="I56" s="31"/>
      <c r="J56" s="31"/>
      <c r="K56" s="31"/>
      <c r="L56" s="31"/>
      <c r="M56" s="31"/>
      <c r="N56" s="31"/>
      <c r="O56" s="31"/>
      <c r="P56" s="31"/>
      <c r="Q56" s="31"/>
      <c r="R56" s="31"/>
      <c r="S56" s="31"/>
      <c r="T56" s="31"/>
    </row>
    <row r="57" spans="1:20" ht="6" customHeight="1" x14ac:dyDescent="0.25"/>
    <row r="58" spans="1:20" ht="18" customHeight="1" x14ac:dyDescent="0.25">
      <c r="A58" s="36" t="s">
        <v>686</v>
      </c>
      <c r="B58" s="31"/>
      <c r="C58" s="31"/>
      <c r="D58" s="31"/>
      <c r="E58" s="31"/>
      <c r="F58" s="31"/>
      <c r="G58" s="31"/>
      <c r="H58" s="31"/>
      <c r="I58" s="31"/>
      <c r="J58" s="31"/>
      <c r="K58" s="31"/>
      <c r="L58" s="31"/>
      <c r="M58" s="31"/>
      <c r="N58" s="31"/>
      <c r="O58" s="31"/>
      <c r="P58" s="31"/>
      <c r="Q58" s="31"/>
      <c r="R58" s="31"/>
      <c r="S58" s="31"/>
      <c r="T58" s="31"/>
    </row>
    <row r="59" spans="1:20" ht="21" customHeight="1" x14ac:dyDescent="0.25">
      <c r="A59" s="37" t="s">
        <v>871</v>
      </c>
      <c r="B59" s="31"/>
      <c r="C59" s="31"/>
      <c r="D59" s="31"/>
      <c r="E59" s="31"/>
      <c r="F59" s="31"/>
      <c r="G59" s="31"/>
      <c r="H59" s="31"/>
      <c r="I59" s="31"/>
      <c r="J59" s="31"/>
      <c r="K59" s="31"/>
      <c r="L59" s="31"/>
      <c r="M59" s="31"/>
      <c r="N59" s="31"/>
      <c r="O59" s="31"/>
      <c r="P59" s="31"/>
      <c r="Q59" s="31"/>
      <c r="R59" s="31"/>
      <c r="S59" s="31"/>
      <c r="T59" s="31"/>
    </row>
    <row r="60" spans="1:20" ht="6" customHeight="1" x14ac:dyDescent="0.25"/>
    <row r="61" spans="1:20" ht="18" customHeight="1" x14ac:dyDescent="0.25">
      <c r="A61" s="36" t="s">
        <v>689</v>
      </c>
      <c r="B61" s="31"/>
      <c r="C61" s="31"/>
      <c r="D61" s="31"/>
      <c r="E61" s="31"/>
      <c r="F61" s="31"/>
      <c r="G61" s="31"/>
      <c r="H61" s="31"/>
      <c r="I61" s="31"/>
      <c r="J61" s="31"/>
      <c r="K61" s="31"/>
      <c r="L61" s="31"/>
      <c r="M61" s="31"/>
      <c r="N61" s="31"/>
      <c r="O61" s="31"/>
      <c r="P61" s="31"/>
      <c r="Q61" s="31"/>
      <c r="R61" s="31"/>
      <c r="S61" s="31"/>
      <c r="T61" s="31"/>
    </row>
    <row r="62" spans="1:20" ht="21" customHeight="1" x14ac:dyDescent="0.25">
      <c r="A62" s="37" t="s">
        <v>872</v>
      </c>
      <c r="B62" s="31"/>
      <c r="C62" s="31"/>
      <c r="D62" s="31"/>
      <c r="E62" s="31"/>
      <c r="F62" s="31"/>
      <c r="G62" s="31"/>
      <c r="H62" s="31"/>
      <c r="I62" s="31"/>
      <c r="J62" s="31"/>
      <c r="K62" s="31"/>
      <c r="L62" s="31"/>
      <c r="M62" s="31"/>
      <c r="N62" s="31"/>
      <c r="O62" s="31"/>
      <c r="P62" s="31"/>
      <c r="Q62" s="31"/>
      <c r="R62" s="31"/>
      <c r="S62" s="31"/>
      <c r="T62" s="31"/>
    </row>
    <row r="63" spans="1:20" ht="6" customHeight="1" x14ac:dyDescent="0.25"/>
    <row r="64" spans="1:20" ht="18" customHeight="1" x14ac:dyDescent="0.25">
      <c r="A64" s="36" t="s">
        <v>692</v>
      </c>
      <c r="B64" s="31"/>
      <c r="C64" s="31"/>
      <c r="D64" s="31"/>
      <c r="E64" s="31"/>
      <c r="F64" s="31"/>
      <c r="G64" s="31"/>
      <c r="H64" s="31"/>
      <c r="I64" s="31"/>
      <c r="J64" s="31"/>
      <c r="K64" s="31"/>
      <c r="L64" s="31"/>
      <c r="M64" s="31"/>
      <c r="N64" s="31"/>
      <c r="O64" s="31"/>
      <c r="P64" s="31"/>
      <c r="Q64" s="31"/>
      <c r="R64" s="31"/>
      <c r="S64" s="31"/>
      <c r="T64" s="31"/>
    </row>
    <row r="65" spans="1:20" ht="21" customHeight="1" x14ac:dyDescent="0.25">
      <c r="A65" s="37" t="s">
        <v>737</v>
      </c>
      <c r="B65" s="31"/>
      <c r="C65" s="31"/>
      <c r="D65" s="31"/>
      <c r="E65" s="31"/>
      <c r="F65" s="31"/>
      <c r="G65" s="31"/>
      <c r="H65" s="31"/>
      <c r="I65" s="31"/>
      <c r="J65" s="31"/>
      <c r="K65" s="31"/>
      <c r="L65" s="31"/>
      <c r="M65" s="31"/>
      <c r="N65" s="31"/>
      <c r="O65" s="31"/>
      <c r="P65" s="31"/>
      <c r="Q65" s="31"/>
      <c r="R65" s="31"/>
      <c r="S65" s="31"/>
      <c r="T65" s="31"/>
    </row>
    <row r="66" spans="1:20" ht="6" customHeight="1" x14ac:dyDescent="0.25"/>
    <row r="67" spans="1:20" ht="18" customHeight="1" x14ac:dyDescent="0.25">
      <c r="A67" s="36" t="s">
        <v>693</v>
      </c>
      <c r="B67" s="31"/>
      <c r="C67" s="31"/>
      <c r="D67" s="31"/>
      <c r="E67" s="31"/>
      <c r="F67" s="31"/>
      <c r="G67" s="31"/>
      <c r="H67" s="31"/>
      <c r="I67" s="31"/>
      <c r="J67" s="31"/>
      <c r="K67" s="31"/>
      <c r="L67" s="31"/>
      <c r="M67" s="31"/>
      <c r="N67" s="31"/>
      <c r="O67" s="31"/>
      <c r="P67" s="31"/>
      <c r="Q67" s="31"/>
      <c r="R67" s="31"/>
      <c r="S67" s="31"/>
      <c r="T67" s="31"/>
    </row>
    <row r="68" spans="1:20" ht="21" customHeight="1" x14ac:dyDescent="0.25">
      <c r="A68" s="37" t="s">
        <v>738</v>
      </c>
      <c r="B68" s="31"/>
      <c r="C68" s="31"/>
      <c r="D68" s="31"/>
      <c r="E68" s="31"/>
      <c r="F68" s="31"/>
      <c r="G68" s="31"/>
      <c r="H68" s="31"/>
      <c r="I68" s="31"/>
      <c r="J68" s="31"/>
      <c r="K68" s="31"/>
      <c r="L68" s="31"/>
      <c r="M68" s="31"/>
      <c r="N68" s="31"/>
      <c r="O68" s="31"/>
      <c r="P68" s="31"/>
      <c r="Q68" s="31"/>
      <c r="R68" s="31"/>
      <c r="S68" s="31"/>
      <c r="T68" s="31"/>
    </row>
    <row r="69" spans="1:20" ht="6" customHeight="1" x14ac:dyDescent="0.25"/>
    <row r="70" spans="1:20" ht="18" customHeight="1" x14ac:dyDescent="0.25">
      <c r="A70" s="36" t="s">
        <v>849</v>
      </c>
      <c r="B70" s="31"/>
      <c r="C70" s="31"/>
      <c r="D70" s="31"/>
      <c r="E70" s="31"/>
      <c r="F70" s="31"/>
      <c r="G70" s="31"/>
      <c r="H70" s="31"/>
      <c r="I70" s="31"/>
      <c r="J70" s="31"/>
      <c r="K70" s="31"/>
      <c r="L70" s="31"/>
      <c r="M70" s="31"/>
      <c r="N70" s="31"/>
      <c r="O70" s="31"/>
      <c r="P70" s="31"/>
      <c r="Q70" s="31"/>
      <c r="R70" s="31"/>
      <c r="S70" s="31"/>
      <c r="T70" s="31"/>
    </row>
    <row r="71" spans="1:20" ht="21" customHeight="1" x14ac:dyDescent="0.25">
      <c r="A71" s="37" t="s">
        <v>855</v>
      </c>
      <c r="B71" s="31"/>
      <c r="C71" s="31"/>
      <c r="D71" s="31"/>
      <c r="E71" s="31"/>
      <c r="F71" s="31"/>
      <c r="G71" s="31"/>
      <c r="H71" s="31"/>
      <c r="I71" s="31"/>
      <c r="J71" s="31"/>
      <c r="K71" s="31"/>
      <c r="L71" s="31"/>
      <c r="M71" s="31"/>
      <c r="N71" s="31"/>
      <c r="O71" s="31"/>
      <c r="P71" s="31"/>
      <c r="Q71" s="31"/>
      <c r="R71" s="31"/>
      <c r="S71" s="31"/>
      <c r="T71" s="31"/>
    </row>
    <row r="72" spans="1:20" ht="6" customHeight="1" x14ac:dyDescent="0.25"/>
    <row r="73" spans="1:20" ht="18" customHeight="1" x14ac:dyDescent="0.25">
      <c r="A73" s="36" t="s">
        <v>850</v>
      </c>
      <c r="B73" s="31"/>
      <c r="C73" s="31"/>
      <c r="D73" s="31"/>
      <c r="E73" s="31"/>
      <c r="F73" s="31"/>
      <c r="G73" s="31"/>
      <c r="H73" s="31"/>
      <c r="I73" s="31"/>
      <c r="J73" s="31"/>
      <c r="K73" s="31"/>
      <c r="L73" s="31"/>
      <c r="M73" s="31"/>
      <c r="N73" s="31"/>
      <c r="O73" s="31"/>
      <c r="P73" s="31"/>
      <c r="Q73" s="31"/>
      <c r="R73" s="31"/>
      <c r="S73" s="31"/>
      <c r="T73" s="31"/>
    </row>
    <row r="74" spans="1:20" ht="21" customHeight="1" x14ac:dyDescent="0.25">
      <c r="A74" s="37" t="s">
        <v>856</v>
      </c>
      <c r="B74" s="31"/>
      <c r="C74" s="31"/>
      <c r="D74" s="31"/>
      <c r="E74" s="31"/>
      <c r="F74" s="31"/>
      <c r="G74" s="31"/>
      <c r="H74" s="31"/>
      <c r="I74" s="31"/>
      <c r="J74" s="31"/>
      <c r="K74" s="31"/>
      <c r="L74" s="31"/>
      <c r="M74" s="31"/>
      <c r="N74" s="31"/>
      <c r="O74" s="31"/>
      <c r="P74" s="31"/>
      <c r="Q74" s="31"/>
      <c r="R74" s="31"/>
      <c r="S74" s="31"/>
      <c r="T74" s="31"/>
    </row>
    <row r="75" spans="1:20" ht="6" customHeight="1" x14ac:dyDescent="0.25"/>
    <row r="76" spans="1:20" ht="18" customHeight="1" x14ac:dyDescent="0.25">
      <c r="A76" s="36" t="s">
        <v>699</v>
      </c>
      <c r="B76" s="31"/>
      <c r="C76" s="31"/>
      <c r="D76" s="31"/>
      <c r="E76" s="31"/>
      <c r="F76" s="31"/>
      <c r="G76" s="31"/>
      <c r="H76" s="31"/>
      <c r="I76" s="31"/>
      <c r="J76" s="31"/>
      <c r="K76" s="31"/>
      <c r="L76" s="31"/>
      <c r="M76" s="31"/>
      <c r="N76" s="31"/>
      <c r="O76" s="31"/>
      <c r="P76" s="31"/>
      <c r="Q76" s="31"/>
      <c r="R76" s="31"/>
      <c r="S76" s="31"/>
      <c r="T76" s="31"/>
    </row>
    <row r="77" spans="1:20" ht="21" customHeight="1" x14ac:dyDescent="0.25">
      <c r="A77" s="37" t="s">
        <v>743</v>
      </c>
      <c r="B77" s="31"/>
      <c r="C77" s="31"/>
      <c r="D77" s="31"/>
      <c r="E77" s="31"/>
      <c r="F77" s="31"/>
      <c r="G77" s="31"/>
      <c r="H77" s="31"/>
      <c r="I77" s="31"/>
      <c r="J77" s="31"/>
      <c r="K77" s="31"/>
      <c r="L77" s="31"/>
      <c r="M77" s="31"/>
      <c r="N77" s="31"/>
      <c r="O77" s="31"/>
      <c r="P77" s="31"/>
      <c r="Q77" s="31"/>
      <c r="R77" s="31"/>
      <c r="S77" s="31"/>
      <c r="T77" s="31"/>
    </row>
    <row r="78" spans="1:20" ht="6" customHeight="1" x14ac:dyDescent="0.25"/>
    <row r="81" spans="1:20" x14ac:dyDescent="0.25">
      <c r="A81" s="40" t="s">
        <v>744</v>
      </c>
      <c r="B81" s="31"/>
      <c r="C81" s="31"/>
      <c r="D81" s="31"/>
      <c r="E81" s="31"/>
      <c r="F81" s="31"/>
      <c r="G81" s="31"/>
      <c r="H81" s="31"/>
      <c r="I81" s="31"/>
      <c r="J81" s="31"/>
      <c r="K81" s="31"/>
      <c r="L81" s="31"/>
      <c r="M81" s="31"/>
      <c r="N81" s="31"/>
      <c r="O81" s="31"/>
      <c r="P81" s="31"/>
      <c r="Q81" s="31"/>
      <c r="R81" s="31"/>
      <c r="S81" s="31"/>
      <c r="T81" s="31"/>
    </row>
  </sheetData>
  <mergeCells count="30">
    <mergeCell ref="A81:T81"/>
    <mergeCell ref="A52:T52"/>
    <mergeCell ref="A68:T68"/>
    <mergeCell ref="A33:T33"/>
    <mergeCell ref="A71:T71"/>
    <mergeCell ref="A47:T47"/>
    <mergeCell ref="A42:T42"/>
    <mergeCell ref="A76:T76"/>
    <mergeCell ref="A62:T62"/>
    <mergeCell ref="A53:T53"/>
    <mergeCell ref="A43:T43"/>
    <mergeCell ref="A77:T77"/>
    <mergeCell ref="A64:T64"/>
    <mergeCell ref="A59:T59"/>
    <mergeCell ref="A73:T73"/>
    <mergeCell ref="A49:T49"/>
    <mergeCell ref="A61:T61"/>
    <mergeCell ref="A70:T70"/>
    <mergeCell ref="A65:T65"/>
    <mergeCell ref="A74:T74"/>
    <mergeCell ref="A50:T50"/>
    <mergeCell ref="A56:T56"/>
    <mergeCell ref="A55:T55"/>
    <mergeCell ref="A67:T67"/>
    <mergeCell ref="A58:T58"/>
    <mergeCell ref="A34:T34"/>
    <mergeCell ref="A40:T40"/>
    <mergeCell ref="A39:T39"/>
    <mergeCell ref="A36:T36"/>
    <mergeCell ref="A37:T37"/>
  </mergeCells>
  <dataValidations count="10">
    <dataValidation type="list" allowBlank="1" errorTitle="Valore non valido" error="Seleziona dalla lista." promptTitle="Author" prompt="Autore della codifica." sqref="B5:B30" xr:uid="{00000000-0002-0000-0D00-000000000000}">
      <formula1>Author_Name</formula1>
    </dataValidation>
    <dataValidation type="list" allowBlank="1" errorTitle="Valore non valido" error="Seleziona dalla lista, oppure lascia vuoto." promptTitle="In Place" sqref="D5:D30" xr:uid="{00000000-0002-0000-0D00-000001000000}">
      <formula1>InPl_Name</formula1>
    </dataValidation>
    <dataValidation type="list" allowBlank="1" errorTitle="Valore non valido" error="Seleziona dalla lista." promptTitle="Famiglia di sistema" prompt="Famiglia di sistema Revit." sqref="F5:F30" xr:uid="{00000000-0002-0000-0D00-000002000000}">
      <formula1>HR_Cat_Name</formula1>
    </dataValidation>
    <dataValidation type="list" allowBlank="1" errorTitle="Valore non valido" error="Seleziona dalla lista." promptTitle="Group1" prompt="Sezione del profilo. Tabella condivisa con i Top Rails." sqref="H5:H30" xr:uid="{00000000-0002-0000-0D00-000003000000}">
      <formula1>TR_G1_Name</formula1>
    </dataValidation>
    <dataValidation type="list" allowBlank="1" errorTitle="Valore non valido" error="Seleziona dalla lista." promptTitle="Group2" prompt="Montaggio del corrimano." sqref="K5:K30" xr:uid="{00000000-0002-0000-0D00-000004000000}">
      <formula1>HR_G2_Name</formula1>
    </dataValidation>
    <dataValidation type="custom" allowBlank="1" errorTitle="Non valido" error="Inserisci un intero tra 0 e 99, oppure XX se i tipi non sono ancora definiti. Se Group1 è Other compila il Type Mark manuale." promptTitle="TM sequenza" prompt="Due cifre da 0 a 99. Distingue le varianti di stesso Group1 e stesso Group2. Tipo non ancora definito → XX. Non si compila con Group1 = OT." sqref="M5:M30" xr:uid="{00000000-0002-0000-0D00-000005000000}">
      <formula1>AND($I5&lt;&gt;"OT",OR(UPPER($M5)="XX",AND(ISNUMBER($M5),$M5&gt;=0,$M5&lt;=99,$M5=INT($M5))))</formula1>
    </dataValidation>
    <dataValidation type="custom" allowBlank="1" errorTitle="Non ammesso qui" error="Si usa solo quando Group1 è Other." promptTitle="Type Mark manuale" prompt="Solo con Group1 = OT. Sostituisce tutto il Type Mark, prefisso di categoria compreso. Finiture → prefisso materiale + tre cifre: PT-001, WD-001, MT-001." sqref="N5:N30" xr:uid="{00000000-0002-0000-0D00-000006000000}">
      <formula1>$I5="OT"</formula1>
    </dataValidation>
    <dataValidation type="decimal" operator="greaterThan" allowBlank="1" errorTitle="Non valido" error="Inserisci un valore maggiore di 0." promptTitle="Width or Ø mm" prompt="Larghezza totale del profilo in mm. Profilo tondo → diametro, e la colonna successiva resta vuota." sqref="P5:P30" xr:uid="{00000000-0002-0000-0D00-000007000000}">
      <formula1>0</formula1>
    </dataValidation>
    <dataValidation type="decimal" operator="greaterThan" allowBlank="1" errorTitle="Non valido" error="Inserisci un valore maggiore di 0." promptTitle="Depth or section height mm" prompt="Seconda dimensione della sezione in mm. Profilo tondo → vuota; il nome diventa D + diametro." sqref="Q5:Q30" xr:uid="{00000000-0002-0000-0D00-000008000000}">
      <formula1>0</formula1>
    </dataValidation>
    <dataValidation type="textLength" operator="lessThanOrEqual" allowBlank="1" errorTitle="Troppo lunga" error="Massimo 40 caratteri." promptTitle="Description" prompt="Facoltativa. Solo se aggiunge un’informazione non già nei codici: destinazione, posizione, o ciò che distingue due tipi altrimenti identici. Senza spazi, iniziali maiuscole, massimo 40 caratteri, senza accenti." sqref="R5:R30" xr:uid="{00000000-0002-0000-0D00-000009000000}">
      <formula1>40</formula1>
    </dataValidation>
  </dataValidations>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S78"/>
  <sheetViews>
    <sheetView showGridLines="0" workbookViewId="0">
      <pane ySplit="4" topLeftCell="A5" activePane="bottomLeft" state="frozen"/>
      <selection pane="bottomLeft"/>
    </sheetView>
  </sheetViews>
  <sheetFormatPr defaultRowHeight="15" x14ac:dyDescent="0.25"/>
  <cols>
    <col min="1" max="1" width="3" customWidth="1"/>
    <col min="2" max="2" width="15" customWidth="1"/>
    <col min="3" max="3" width="5" customWidth="1"/>
    <col min="4" max="4" width="10" customWidth="1"/>
    <col min="5" max="5" width="4" customWidth="1"/>
    <col min="6" max="6" width="17" customWidth="1"/>
    <col min="7" max="7" width="4" customWidth="1"/>
    <col min="8" max="8" width="15" customWidth="1"/>
    <col min="9" max="9" width="4" customWidth="1"/>
    <col min="10" max="10" width="6" customWidth="1"/>
    <col min="11" max="11" width="15" customWidth="1"/>
    <col min="12" max="12" width="4" customWidth="1"/>
    <col min="13" max="13" width="12" customWidth="1"/>
    <col min="14" max="14" width="19" customWidth="1"/>
    <col min="15" max="15" width="12" customWidth="1"/>
    <col min="16" max="16" width="10" customWidth="1"/>
    <col min="17" max="17" width="22" customWidth="1"/>
    <col min="18" max="18" width="12" customWidth="1"/>
    <col min="19" max="19" width="40" customWidth="1"/>
  </cols>
  <sheetData>
    <row r="1" spans="1:19" ht="19.5" x14ac:dyDescent="0.3">
      <c r="A1" s="6" t="s">
        <v>873</v>
      </c>
    </row>
    <row r="2" spans="1:19" x14ac:dyDescent="0.25">
      <c r="A2" s="7" t="s">
        <v>680</v>
      </c>
    </row>
    <row r="3" spans="1:19" x14ac:dyDescent="0.25">
      <c r="A3" s="8" t="s">
        <v>874</v>
      </c>
    </row>
    <row r="4" spans="1:19" ht="30" customHeight="1" x14ac:dyDescent="0.25">
      <c r="A4" s="9" t="s">
        <v>682</v>
      </c>
      <c r="B4" s="9" t="s">
        <v>70</v>
      </c>
      <c r="C4" s="9" t="s">
        <v>683</v>
      </c>
      <c r="D4" s="10" t="s">
        <v>84</v>
      </c>
      <c r="E4" s="9" t="s">
        <v>83</v>
      </c>
      <c r="F4" s="9" t="s">
        <v>684</v>
      </c>
      <c r="G4" s="9" t="s">
        <v>685</v>
      </c>
      <c r="H4" s="9" t="s">
        <v>686</v>
      </c>
      <c r="I4" s="9" t="s">
        <v>687</v>
      </c>
      <c r="J4" s="9" t="s">
        <v>688</v>
      </c>
      <c r="K4" s="9" t="s">
        <v>689</v>
      </c>
      <c r="L4" s="9" t="s">
        <v>690</v>
      </c>
      <c r="M4" s="9" t="s">
        <v>692</v>
      </c>
      <c r="N4" s="9" t="s">
        <v>693</v>
      </c>
      <c r="O4" s="9" t="s">
        <v>694</v>
      </c>
      <c r="P4" s="9" t="s">
        <v>695</v>
      </c>
      <c r="Q4" s="10" t="s">
        <v>699</v>
      </c>
      <c r="R4" s="9" t="s">
        <v>700</v>
      </c>
      <c r="S4" s="9" t="s">
        <v>701</v>
      </c>
    </row>
    <row r="5" spans="1:19" x14ac:dyDescent="0.25">
      <c r="A5" s="11" t="s">
        <v>704</v>
      </c>
      <c r="B5" s="12" t="s">
        <v>80</v>
      </c>
      <c r="C5" s="13" t="str">
        <f t="shared" ref="C5:C30" si="0">IFERROR(INDEX(Author_Code,MATCH($B5,Author_Name,0)),"")</f>
        <v>e</v>
      </c>
      <c r="D5" s="14"/>
      <c r="E5" s="13" t="str">
        <f t="shared" ref="E5:E30" si="1">IFERROR(INDEX(InPl_Code,MATCH($D5,InPl_Name,0)),"")</f>
        <v/>
      </c>
      <c r="F5" s="12" t="s">
        <v>619</v>
      </c>
      <c r="G5" s="13" t="str">
        <f t="shared" ref="G5:G30" si="2">IFERROR(INDEX(CP_Cat_Code,MATCH($F5,CP_Cat_Name,0)),"")</f>
        <v>SP</v>
      </c>
      <c r="H5" s="12" t="s">
        <v>623</v>
      </c>
      <c r="I5" s="13" t="str">
        <f t="shared" ref="I5:I30" si="3">IFERROR(INDEX(CP_G1_Code,MATCH($H5,CP_G1_Name,0)),"")</f>
        <v>GL</v>
      </c>
      <c r="J5" s="13" t="str">
        <f t="shared" ref="J5:J30" si="4">IFERROR(LEFT(INDEX(CP_G1_TM,MATCH($H5,CP_G1_Name,0)),1),"")</f>
        <v>1</v>
      </c>
      <c r="K5" s="12" t="s">
        <v>621</v>
      </c>
      <c r="L5" s="13" t="str">
        <f t="shared" ref="L5:L30" si="5">IFERROR(INDEX(CP_G2_Code,MATCH($K5,CP_G2_Name,0)),"")</f>
        <v>VS</v>
      </c>
      <c r="M5" s="12">
        <v>1</v>
      </c>
      <c r="N5" s="15"/>
      <c r="O5" s="13" t="str">
        <f t="shared" ref="O5:O30" si="6">IF($I5="OT",$N5,IF(OR($G5="",$J5="",$M5=""),"",$G5&amp;"-"&amp;$J5&amp;IF(UPPER($M5)="XX","XX",TEXT($M5,"00"))))</f>
        <v>SP-101</v>
      </c>
      <c r="P5" s="12">
        <v>28</v>
      </c>
      <c r="Q5" s="16"/>
      <c r="R5" s="13" t="str">
        <f t="shared" ref="R5:R30" si="7">$G5&amp;IF($I5&lt;&gt;"","."&amp;$I5,"")&amp;IF($L5&lt;&gt;"","."&amp;$L5,"")</f>
        <v>SP.GL.VS</v>
      </c>
      <c r="S5" s="17" t="str">
        <f t="shared" ref="S5:S30" si="8">IF(AND($F5&lt;&gt;"",$H5&lt;&gt;"",$O5&lt;&gt;""),$C5&amp;"_"&amp;$O5&amp;"_"&amp;$E5&amp;$R5&amp;IF($P5="","","_"&amp;"T"&amp;TEXT($P5,"0"))&amp;IF($Q5&lt;&gt;"","_"&amp;$Q5,""),"")</f>
        <v>e_SP-101_SP.GL.VS_T28</v>
      </c>
    </row>
    <row r="6" spans="1:19" x14ac:dyDescent="0.25">
      <c r="A6" s="11" t="s">
        <v>705</v>
      </c>
      <c r="B6" s="12" t="s">
        <v>80</v>
      </c>
      <c r="C6" s="13" t="str">
        <f t="shared" si="0"/>
        <v>e</v>
      </c>
      <c r="D6" s="14"/>
      <c r="E6" s="13" t="str">
        <f t="shared" si="1"/>
        <v/>
      </c>
      <c r="F6" s="12" t="s">
        <v>619</v>
      </c>
      <c r="G6" s="13" t="str">
        <f t="shared" si="2"/>
        <v>SP</v>
      </c>
      <c r="H6" s="12" t="s">
        <v>623</v>
      </c>
      <c r="I6" s="13" t="str">
        <f t="shared" si="3"/>
        <v>GL</v>
      </c>
      <c r="J6" s="13" t="str">
        <f t="shared" si="4"/>
        <v>1</v>
      </c>
      <c r="K6" s="12" t="s">
        <v>515</v>
      </c>
      <c r="L6" s="13" t="str">
        <f t="shared" si="5"/>
        <v>SR</v>
      </c>
      <c r="M6" s="12">
        <v>2</v>
      </c>
      <c r="N6" s="15"/>
      <c r="O6" s="13" t="str">
        <f t="shared" si="6"/>
        <v>SP-102</v>
      </c>
      <c r="P6" s="12">
        <v>28</v>
      </c>
      <c r="Q6" s="16" t="s">
        <v>875</v>
      </c>
      <c r="R6" s="13" t="str">
        <f t="shared" si="7"/>
        <v>SP.GL.SR</v>
      </c>
      <c r="S6" s="17" t="str">
        <f t="shared" si="8"/>
        <v>e_SP-102_SP.GL.SR_T28_ShadowBox</v>
      </c>
    </row>
    <row r="7" spans="1:19" x14ac:dyDescent="0.25">
      <c r="A7" s="11" t="s">
        <v>707</v>
      </c>
      <c r="B7" s="12" t="s">
        <v>80</v>
      </c>
      <c r="C7" s="13" t="str">
        <f t="shared" si="0"/>
        <v>e</v>
      </c>
      <c r="D7" s="14"/>
      <c r="E7" s="13" t="str">
        <f t="shared" si="1"/>
        <v/>
      </c>
      <c r="F7" s="12" t="s">
        <v>619</v>
      </c>
      <c r="G7" s="13" t="str">
        <f t="shared" si="2"/>
        <v>SP</v>
      </c>
      <c r="H7" s="12" t="s">
        <v>623</v>
      </c>
      <c r="I7" s="13" t="str">
        <f t="shared" si="3"/>
        <v>GL</v>
      </c>
      <c r="J7" s="13" t="str">
        <f t="shared" si="4"/>
        <v>1</v>
      </c>
      <c r="K7" s="12" t="s">
        <v>630</v>
      </c>
      <c r="L7" s="13" t="str">
        <f t="shared" si="5"/>
        <v>VN</v>
      </c>
      <c r="M7" s="12">
        <v>3</v>
      </c>
      <c r="N7" s="15"/>
      <c r="O7" s="13" t="str">
        <f t="shared" si="6"/>
        <v>SP-103</v>
      </c>
      <c r="P7" s="12">
        <v>32</v>
      </c>
      <c r="Q7" s="16"/>
      <c r="R7" s="13" t="str">
        <f t="shared" si="7"/>
        <v>SP.GL.VN</v>
      </c>
      <c r="S7" s="17" t="str">
        <f t="shared" si="8"/>
        <v>e_SP-103_SP.GL.VN_T32</v>
      </c>
    </row>
    <row r="8" spans="1:19" x14ac:dyDescent="0.25">
      <c r="A8" s="11" t="s">
        <v>709</v>
      </c>
      <c r="B8" s="12" t="s">
        <v>80</v>
      </c>
      <c r="C8" s="13" t="str">
        <f t="shared" si="0"/>
        <v>e</v>
      </c>
      <c r="D8" s="14"/>
      <c r="E8" s="13" t="str">
        <f t="shared" si="1"/>
        <v/>
      </c>
      <c r="F8" s="12" t="s">
        <v>619</v>
      </c>
      <c r="G8" s="13" t="str">
        <f t="shared" si="2"/>
        <v>SP</v>
      </c>
      <c r="H8" s="12" t="s">
        <v>623</v>
      </c>
      <c r="I8" s="13" t="str">
        <f t="shared" si="3"/>
        <v>GL</v>
      </c>
      <c r="J8" s="13" t="str">
        <f t="shared" si="4"/>
        <v>1</v>
      </c>
      <c r="K8" s="12" t="s">
        <v>621</v>
      </c>
      <c r="L8" s="13" t="str">
        <f t="shared" si="5"/>
        <v>VS</v>
      </c>
      <c r="M8" s="12">
        <v>4</v>
      </c>
      <c r="N8" s="15"/>
      <c r="O8" s="13" t="str">
        <f t="shared" si="6"/>
        <v>SP-104</v>
      </c>
      <c r="P8" s="12">
        <v>52</v>
      </c>
      <c r="Q8" s="16" t="s">
        <v>876</v>
      </c>
      <c r="R8" s="13" t="str">
        <f t="shared" si="7"/>
        <v>SP.GL.VS</v>
      </c>
      <c r="S8" s="17" t="str">
        <f t="shared" si="8"/>
        <v>e_SP-104_SP.GL.VS_T52_TripleGlazing</v>
      </c>
    </row>
    <row r="9" spans="1:19" x14ac:dyDescent="0.25">
      <c r="A9" s="11" t="s">
        <v>711</v>
      </c>
      <c r="B9" s="12" t="s">
        <v>80</v>
      </c>
      <c r="C9" s="13" t="str">
        <f t="shared" si="0"/>
        <v>e</v>
      </c>
      <c r="D9" s="14"/>
      <c r="E9" s="13" t="str">
        <f t="shared" si="1"/>
        <v/>
      </c>
      <c r="F9" s="12" t="s">
        <v>619</v>
      </c>
      <c r="G9" s="13" t="str">
        <f t="shared" si="2"/>
        <v>SP</v>
      </c>
      <c r="H9" s="12" t="s">
        <v>627</v>
      </c>
      <c r="I9" s="13" t="str">
        <f t="shared" si="3"/>
        <v>SW</v>
      </c>
      <c r="J9" s="13" t="str">
        <f t="shared" si="4"/>
        <v>2</v>
      </c>
      <c r="K9" s="12" t="s">
        <v>515</v>
      </c>
      <c r="L9" s="13" t="str">
        <f t="shared" si="5"/>
        <v>SR</v>
      </c>
      <c r="M9" s="12">
        <v>1</v>
      </c>
      <c r="N9" s="15"/>
      <c r="O9" s="13" t="str">
        <f t="shared" si="6"/>
        <v>SP-201</v>
      </c>
      <c r="P9" s="12">
        <v>60</v>
      </c>
      <c r="Q9" s="16"/>
      <c r="R9" s="13" t="str">
        <f t="shared" si="7"/>
        <v>SP.SW.SR</v>
      </c>
      <c r="S9" s="17" t="str">
        <f t="shared" si="8"/>
        <v>e_SP-201_SP.SW.SR_T60</v>
      </c>
    </row>
    <row r="10" spans="1:19" x14ac:dyDescent="0.25">
      <c r="A10" s="11" t="s">
        <v>712</v>
      </c>
      <c r="B10" s="12" t="s">
        <v>80</v>
      </c>
      <c r="C10" s="13" t="str">
        <f t="shared" si="0"/>
        <v>e</v>
      </c>
      <c r="D10" s="14"/>
      <c r="E10" s="13" t="str">
        <f t="shared" si="1"/>
        <v/>
      </c>
      <c r="F10" s="12" t="s">
        <v>619</v>
      </c>
      <c r="G10" s="13" t="str">
        <f t="shared" si="2"/>
        <v>SP</v>
      </c>
      <c r="H10" s="12" t="s">
        <v>137</v>
      </c>
      <c r="I10" s="13" t="str">
        <f t="shared" si="3"/>
        <v>SL</v>
      </c>
      <c r="J10" s="13" t="str">
        <f t="shared" si="4"/>
        <v>3</v>
      </c>
      <c r="K10" s="12" t="s">
        <v>515</v>
      </c>
      <c r="L10" s="13" t="str">
        <f t="shared" si="5"/>
        <v>SR</v>
      </c>
      <c r="M10" s="12">
        <v>1</v>
      </c>
      <c r="N10" s="15"/>
      <c r="O10" s="13" t="str">
        <f t="shared" si="6"/>
        <v>SP-301</v>
      </c>
      <c r="P10" s="12">
        <v>40</v>
      </c>
      <c r="Q10" s="16"/>
      <c r="R10" s="13" t="str">
        <f t="shared" si="7"/>
        <v>SP.SL.SR</v>
      </c>
      <c r="S10" s="17" t="str">
        <f t="shared" si="8"/>
        <v>e_SP-301_SP.SL.SR_T40</v>
      </c>
    </row>
    <row r="11" spans="1:19" x14ac:dyDescent="0.25">
      <c r="A11" s="11" t="s">
        <v>713</v>
      </c>
      <c r="B11" s="12" t="s">
        <v>80</v>
      </c>
      <c r="C11" s="13" t="str">
        <f t="shared" si="0"/>
        <v>e</v>
      </c>
      <c r="D11" s="14"/>
      <c r="E11" s="13" t="str">
        <f t="shared" si="1"/>
        <v/>
      </c>
      <c r="F11" s="12" t="s">
        <v>619</v>
      </c>
      <c r="G11" s="13" t="str">
        <f t="shared" si="2"/>
        <v>SP</v>
      </c>
      <c r="H11" s="12" t="s">
        <v>137</v>
      </c>
      <c r="I11" s="13" t="str">
        <f t="shared" si="3"/>
        <v>SL</v>
      </c>
      <c r="J11" s="13" t="str">
        <f t="shared" si="4"/>
        <v>3</v>
      </c>
      <c r="K11" s="12" t="s">
        <v>270</v>
      </c>
      <c r="L11" s="13" t="str">
        <f t="shared" si="5"/>
        <v>SH</v>
      </c>
      <c r="M11" s="12">
        <v>2</v>
      </c>
      <c r="N11" s="15"/>
      <c r="O11" s="13" t="str">
        <f t="shared" si="6"/>
        <v>SP-302</v>
      </c>
      <c r="P11" s="12">
        <v>30</v>
      </c>
      <c r="Q11" s="16"/>
      <c r="R11" s="13" t="str">
        <f t="shared" si="7"/>
        <v>SP.SL.SH</v>
      </c>
      <c r="S11" s="17" t="str">
        <f t="shared" si="8"/>
        <v>e_SP-302_SP.SL.SH_T30</v>
      </c>
    </row>
    <row r="12" spans="1:19" x14ac:dyDescent="0.25">
      <c r="A12" s="11" t="s">
        <v>715</v>
      </c>
      <c r="B12" s="12" t="s">
        <v>80</v>
      </c>
      <c r="C12" s="13" t="str">
        <f t="shared" si="0"/>
        <v>e</v>
      </c>
      <c r="D12" s="14"/>
      <c r="E12" s="13" t="str">
        <f t="shared" si="1"/>
        <v/>
      </c>
      <c r="F12" s="12" t="s">
        <v>619</v>
      </c>
      <c r="G12" s="13" t="str">
        <f t="shared" si="2"/>
        <v>SP</v>
      </c>
      <c r="H12" s="12" t="s">
        <v>343</v>
      </c>
      <c r="I12" s="13" t="str">
        <f t="shared" si="3"/>
        <v>MS</v>
      </c>
      <c r="J12" s="13" t="str">
        <f t="shared" si="4"/>
        <v>4</v>
      </c>
      <c r="K12" s="12" t="s">
        <v>634</v>
      </c>
      <c r="L12" s="13" t="str">
        <f t="shared" si="5"/>
        <v>LV</v>
      </c>
      <c r="M12" s="12">
        <v>1</v>
      </c>
      <c r="N12" s="15"/>
      <c r="O12" s="13" t="str">
        <f t="shared" si="6"/>
        <v>SP-401</v>
      </c>
      <c r="P12" s="12">
        <v>30</v>
      </c>
      <c r="Q12" s="16"/>
      <c r="R12" s="13" t="str">
        <f t="shared" si="7"/>
        <v>SP.MS.LV</v>
      </c>
      <c r="S12" s="17" t="str">
        <f t="shared" si="8"/>
        <v>e_SP-401_SP.MS.LV_T30</v>
      </c>
    </row>
    <row r="13" spans="1:19" x14ac:dyDescent="0.25">
      <c r="A13" s="11" t="s">
        <v>716</v>
      </c>
      <c r="B13" s="12" t="s">
        <v>80</v>
      </c>
      <c r="C13" s="13" t="str">
        <f t="shared" si="0"/>
        <v>e</v>
      </c>
      <c r="D13" s="14"/>
      <c r="E13" s="13" t="str">
        <f t="shared" si="1"/>
        <v/>
      </c>
      <c r="F13" s="12" t="s">
        <v>619</v>
      </c>
      <c r="G13" s="13" t="str">
        <f t="shared" si="2"/>
        <v>SP</v>
      </c>
      <c r="H13" s="12" t="s">
        <v>639</v>
      </c>
      <c r="I13" s="13" t="str">
        <f t="shared" si="3"/>
        <v>EM</v>
      </c>
      <c r="J13" s="13" t="str">
        <f t="shared" si="4"/>
        <v>5</v>
      </c>
      <c r="K13" s="12" t="s">
        <v>621</v>
      </c>
      <c r="L13" s="13" t="str">
        <f t="shared" si="5"/>
        <v>VS</v>
      </c>
      <c r="M13" s="12">
        <v>1</v>
      </c>
      <c r="N13" s="15"/>
      <c r="O13" s="13" t="str">
        <f t="shared" si="6"/>
        <v>SP-501</v>
      </c>
      <c r="P13" s="12"/>
      <c r="Q13" s="16"/>
      <c r="R13" s="13" t="str">
        <f t="shared" si="7"/>
        <v>SP.EM.VS</v>
      </c>
      <c r="S13" s="17" t="str">
        <f t="shared" si="8"/>
        <v>e_SP-501_SP.EM.VS</v>
      </c>
    </row>
    <row r="14" spans="1:19" x14ac:dyDescent="0.25">
      <c r="A14" s="11" t="s">
        <v>717</v>
      </c>
      <c r="B14" s="12" t="s">
        <v>80</v>
      </c>
      <c r="C14" s="13" t="str">
        <f t="shared" si="0"/>
        <v>e</v>
      </c>
      <c r="D14" s="14"/>
      <c r="E14" s="13" t="str">
        <f t="shared" si="1"/>
        <v/>
      </c>
      <c r="F14" s="12" t="s">
        <v>619</v>
      </c>
      <c r="G14" s="13" t="str">
        <f t="shared" si="2"/>
        <v>SP</v>
      </c>
      <c r="H14" s="12" t="s">
        <v>151</v>
      </c>
      <c r="I14" s="13" t="str">
        <f t="shared" si="3"/>
        <v>GN</v>
      </c>
      <c r="J14" s="13" t="str">
        <f t="shared" si="4"/>
        <v>0</v>
      </c>
      <c r="K14" s="12" t="s">
        <v>621</v>
      </c>
      <c r="L14" s="13" t="str">
        <f t="shared" si="5"/>
        <v>VS</v>
      </c>
      <c r="M14" s="12">
        <v>1</v>
      </c>
      <c r="N14" s="15"/>
      <c r="O14" s="13" t="str">
        <f t="shared" si="6"/>
        <v>SP-001</v>
      </c>
      <c r="P14" s="12">
        <v>28</v>
      </c>
      <c r="Q14" s="16"/>
      <c r="R14" s="13" t="str">
        <f t="shared" si="7"/>
        <v>SP.GN.VS</v>
      </c>
      <c r="S14" s="17" t="str">
        <f t="shared" si="8"/>
        <v>e_SP-001_SP.GN.VS_T28</v>
      </c>
    </row>
    <row r="15" spans="1:19" x14ac:dyDescent="0.25">
      <c r="A15" s="11" t="s">
        <v>719</v>
      </c>
      <c r="B15" s="12" t="s">
        <v>80</v>
      </c>
      <c r="C15" s="13" t="str">
        <f t="shared" si="0"/>
        <v>e</v>
      </c>
      <c r="D15" s="14" t="s">
        <v>84</v>
      </c>
      <c r="E15" s="13" t="str">
        <f t="shared" si="1"/>
        <v>(I)</v>
      </c>
      <c r="F15" s="12" t="s">
        <v>619</v>
      </c>
      <c r="G15" s="13" t="str">
        <f t="shared" si="2"/>
        <v>SP</v>
      </c>
      <c r="H15" s="12" t="s">
        <v>623</v>
      </c>
      <c r="I15" s="13" t="str">
        <f t="shared" si="3"/>
        <v>GL</v>
      </c>
      <c r="J15" s="13" t="str">
        <f t="shared" si="4"/>
        <v>1</v>
      </c>
      <c r="K15" s="12" t="s">
        <v>621</v>
      </c>
      <c r="L15" s="13" t="str">
        <f t="shared" si="5"/>
        <v>VS</v>
      </c>
      <c r="M15" s="12">
        <v>1</v>
      </c>
      <c r="N15" s="15"/>
      <c r="O15" s="13" t="str">
        <f t="shared" si="6"/>
        <v>SP-101</v>
      </c>
      <c r="P15" s="12">
        <v>28</v>
      </c>
      <c r="Q15" s="16"/>
      <c r="R15" s="13" t="str">
        <f t="shared" si="7"/>
        <v>SP.GL.VS</v>
      </c>
      <c r="S15" s="17" t="str">
        <f t="shared" si="8"/>
        <v>e_SP-101_(I)SP.GL.VS_T28</v>
      </c>
    </row>
    <row r="16" spans="1:19" x14ac:dyDescent="0.25">
      <c r="A16" s="19">
        <v>1</v>
      </c>
      <c r="B16" s="20"/>
      <c r="C16" s="21" t="str">
        <f t="shared" si="0"/>
        <v/>
      </c>
      <c r="D16" s="22"/>
      <c r="E16" s="21" t="str">
        <f t="shared" si="1"/>
        <v/>
      </c>
      <c r="F16" s="20"/>
      <c r="G16" s="21" t="str">
        <f t="shared" si="2"/>
        <v/>
      </c>
      <c r="H16" s="20"/>
      <c r="I16" s="21" t="str">
        <f t="shared" si="3"/>
        <v/>
      </c>
      <c r="J16" s="21" t="str">
        <f t="shared" si="4"/>
        <v/>
      </c>
      <c r="K16" s="20"/>
      <c r="L16" s="21" t="str">
        <f t="shared" si="5"/>
        <v/>
      </c>
      <c r="M16" s="20"/>
      <c r="N16" s="23"/>
      <c r="O16" s="21" t="str">
        <f t="shared" si="6"/>
        <v/>
      </c>
      <c r="P16" s="20"/>
      <c r="Q16" s="24"/>
      <c r="R16" s="21" t="str">
        <f t="shared" si="7"/>
        <v/>
      </c>
      <c r="S16" s="25" t="str">
        <f t="shared" si="8"/>
        <v/>
      </c>
    </row>
    <row r="17" spans="1:19" x14ac:dyDescent="0.25">
      <c r="A17" s="19">
        <v>2</v>
      </c>
      <c r="B17" s="20"/>
      <c r="C17" s="21" t="str">
        <f t="shared" si="0"/>
        <v/>
      </c>
      <c r="D17" s="22"/>
      <c r="E17" s="21" t="str">
        <f t="shared" si="1"/>
        <v/>
      </c>
      <c r="F17" s="20"/>
      <c r="G17" s="21" t="str">
        <f t="shared" si="2"/>
        <v/>
      </c>
      <c r="H17" s="20"/>
      <c r="I17" s="21" t="str">
        <f t="shared" si="3"/>
        <v/>
      </c>
      <c r="J17" s="21" t="str">
        <f t="shared" si="4"/>
        <v/>
      </c>
      <c r="K17" s="20"/>
      <c r="L17" s="21" t="str">
        <f t="shared" si="5"/>
        <v/>
      </c>
      <c r="M17" s="20"/>
      <c r="N17" s="23"/>
      <c r="O17" s="21" t="str">
        <f t="shared" si="6"/>
        <v/>
      </c>
      <c r="P17" s="20"/>
      <c r="Q17" s="24"/>
      <c r="R17" s="21" t="str">
        <f t="shared" si="7"/>
        <v/>
      </c>
      <c r="S17" s="25" t="str">
        <f t="shared" si="8"/>
        <v/>
      </c>
    </row>
    <row r="18" spans="1:19" x14ac:dyDescent="0.25">
      <c r="A18" s="19">
        <v>3</v>
      </c>
      <c r="B18" s="20"/>
      <c r="C18" s="21" t="str">
        <f t="shared" si="0"/>
        <v/>
      </c>
      <c r="D18" s="22"/>
      <c r="E18" s="21" t="str">
        <f t="shared" si="1"/>
        <v/>
      </c>
      <c r="F18" s="20"/>
      <c r="G18" s="21" t="str">
        <f t="shared" si="2"/>
        <v/>
      </c>
      <c r="H18" s="20"/>
      <c r="I18" s="21" t="str">
        <f t="shared" si="3"/>
        <v/>
      </c>
      <c r="J18" s="21" t="str">
        <f t="shared" si="4"/>
        <v/>
      </c>
      <c r="K18" s="20"/>
      <c r="L18" s="21" t="str">
        <f t="shared" si="5"/>
        <v/>
      </c>
      <c r="M18" s="20"/>
      <c r="N18" s="23"/>
      <c r="O18" s="21" t="str">
        <f t="shared" si="6"/>
        <v/>
      </c>
      <c r="P18" s="20"/>
      <c r="Q18" s="24"/>
      <c r="R18" s="21" t="str">
        <f t="shared" si="7"/>
        <v/>
      </c>
      <c r="S18" s="25" t="str">
        <f t="shared" si="8"/>
        <v/>
      </c>
    </row>
    <row r="19" spans="1:19" x14ac:dyDescent="0.25">
      <c r="A19" s="19">
        <v>4</v>
      </c>
      <c r="B19" s="20"/>
      <c r="C19" s="21" t="str">
        <f t="shared" si="0"/>
        <v/>
      </c>
      <c r="D19" s="22"/>
      <c r="E19" s="21" t="str">
        <f t="shared" si="1"/>
        <v/>
      </c>
      <c r="F19" s="20"/>
      <c r="G19" s="21" t="str">
        <f t="shared" si="2"/>
        <v/>
      </c>
      <c r="H19" s="20"/>
      <c r="I19" s="21" t="str">
        <f t="shared" si="3"/>
        <v/>
      </c>
      <c r="J19" s="21" t="str">
        <f t="shared" si="4"/>
        <v/>
      </c>
      <c r="K19" s="20"/>
      <c r="L19" s="21" t="str">
        <f t="shared" si="5"/>
        <v/>
      </c>
      <c r="M19" s="20"/>
      <c r="N19" s="23"/>
      <c r="O19" s="21" t="str">
        <f t="shared" si="6"/>
        <v/>
      </c>
      <c r="P19" s="20"/>
      <c r="Q19" s="24"/>
      <c r="R19" s="21" t="str">
        <f t="shared" si="7"/>
        <v/>
      </c>
      <c r="S19" s="25" t="str">
        <f t="shared" si="8"/>
        <v/>
      </c>
    </row>
    <row r="20" spans="1:19" x14ac:dyDescent="0.25">
      <c r="A20" s="19">
        <v>5</v>
      </c>
      <c r="B20" s="20"/>
      <c r="C20" s="21" t="str">
        <f t="shared" si="0"/>
        <v/>
      </c>
      <c r="D20" s="22"/>
      <c r="E20" s="21" t="str">
        <f t="shared" si="1"/>
        <v/>
      </c>
      <c r="F20" s="20"/>
      <c r="G20" s="21" t="str">
        <f t="shared" si="2"/>
        <v/>
      </c>
      <c r="H20" s="20"/>
      <c r="I20" s="21" t="str">
        <f t="shared" si="3"/>
        <v/>
      </c>
      <c r="J20" s="21" t="str">
        <f t="shared" si="4"/>
        <v/>
      </c>
      <c r="K20" s="20"/>
      <c r="L20" s="21" t="str">
        <f t="shared" si="5"/>
        <v/>
      </c>
      <c r="M20" s="20"/>
      <c r="N20" s="23"/>
      <c r="O20" s="21" t="str">
        <f t="shared" si="6"/>
        <v/>
      </c>
      <c r="P20" s="20"/>
      <c r="Q20" s="24"/>
      <c r="R20" s="21" t="str">
        <f t="shared" si="7"/>
        <v/>
      </c>
      <c r="S20" s="25" t="str">
        <f t="shared" si="8"/>
        <v/>
      </c>
    </row>
    <row r="21" spans="1:19" x14ac:dyDescent="0.25">
      <c r="A21" s="19">
        <v>6</v>
      </c>
      <c r="B21" s="20"/>
      <c r="C21" s="21" t="str">
        <f t="shared" si="0"/>
        <v/>
      </c>
      <c r="D21" s="22"/>
      <c r="E21" s="21" t="str">
        <f t="shared" si="1"/>
        <v/>
      </c>
      <c r="F21" s="20"/>
      <c r="G21" s="21" t="str">
        <f t="shared" si="2"/>
        <v/>
      </c>
      <c r="H21" s="20"/>
      <c r="I21" s="21" t="str">
        <f t="shared" si="3"/>
        <v/>
      </c>
      <c r="J21" s="21" t="str">
        <f t="shared" si="4"/>
        <v/>
      </c>
      <c r="K21" s="20"/>
      <c r="L21" s="21" t="str">
        <f t="shared" si="5"/>
        <v/>
      </c>
      <c r="M21" s="20"/>
      <c r="N21" s="23"/>
      <c r="O21" s="21" t="str">
        <f t="shared" si="6"/>
        <v/>
      </c>
      <c r="P21" s="20"/>
      <c r="Q21" s="24"/>
      <c r="R21" s="21" t="str">
        <f t="shared" si="7"/>
        <v/>
      </c>
      <c r="S21" s="25" t="str">
        <f t="shared" si="8"/>
        <v/>
      </c>
    </row>
    <row r="22" spans="1:19" x14ac:dyDescent="0.25">
      <c r="A22" s="19">
        <v>7</v>
      </c>
      <c r="B22" s="20"/>
      <c r="C22" s="21" t="str">
        <f t="shared" si="0"/>
        <v/>
      </c>
      <c r="D22" s="22"/>
      <c r="E22" s="21" t="str">
        <f t="shared" si="1"/>
        <v/>
      </c>
      <c r="F22" s="20"/>
      <c r="G22" s="21" t="str">
        <f t="shared" si="2"/>
        <v/>
      </c>
      <c r="H22" s="20"/>
      <c r="I22" s="21" t="str">
        <f t="shared" si="3"/>
        <v/>
      </c>
      <c r="J22" s="21" t="str">
        <f t="shared" si="4"/>
        <v/>
      </c>
      <c r="K22" s="20"/>
      <c r="L22" s="21" t="str">
        <f t="shared" si="5"/>
        <v/>
      </c>
      <c r="M22" s="20"/>
      <c r="N22" s="23"/>
      <c r="O22" s="21" t="str">
        <f t="shared" si="6"/>
        <v/>
      </c>
      <c r="P22" s="20"/>
      <c r="Q22" s="24"/>
      <c r="R22" s="21" t="str">
        <f t="shared" si="7"/>
        <v/>
      </c>
      <c r="S22" s="25" t="str">
        <f t="shared" si="8"/>
        <v/>
      </c>
    </row>
    <row r="23" spans="1:19" x14ac:dyDescent="0.25">
      <c r="A23" s="19">
        <v>8</v>
      </c>
      <c r="B23" s="20"/>
      <c r="C23" s="21" t="str">
        <f t="shared" si="0"/>
        <v/>
      </c>
      <c r="D23" s="22"/>
      <c r="E23" s="21" t="str">
        <f t="shared" si="1"/>
        <v/>
      </c>
      <c r="F23" s="20"/>
      <c r="G23" s="21" t="str">
        <f t="shared" si="2"/>
        <v/>
      </c>
      <c r="H23" s="20"/>
      <c r="I23" s="21" t="str">
        <f t="shared" si="3"/>
        <v/>
      </c>
      <c r="J23" s="21" t="str">
        <f t="shared" si="4"/>
        <v/>
      </c>
      <c r="K23" s="20"/>
      <c r="L23" s="21" t="str">
        <f t="shared" si="5"/>
        <v/>
      </c>
      <c r="M23" s="20"/>
      <c r="N23" s="23"/>
      <c r="O23" s="21" t="str">
        <f t="shared" si="6"/>
        <v/>
      </c>
      <c r="P23" s="20"/>
      <c r="Q23" s="24"/>
      <c r="R23" s="21" t="str">
        <f t="shared" si="7"/>
        <v/>
      </c>
      <c r="S23" s="25" t="str">
        <f t="shared" si="8"/>
        <v/>
      </c>
    </row>
    <row r="24" spans="1:19" x14ac:dyDescent="0.25">
      <c r="A24" s="19">
        <v>9</v>
      </c>
      <c r="B24" s="20"/>
      <c r="C24" s="21" t="str">
        <f t="shared" si="0"/>
        <v/>
      </c>
      <c r="D24" s="22"/>
      <c r="E24" s="21" t="str">
        <f t="shared" si="1"/>
        <v/>
      </c>
      <c r="F24" s="20"/>
      <c r="G24" s="21" t="str">
        <f t="shared" si="2"/>
        <v/>
      </c>
      <c r="H24" s="20"/>
      <c r="I24" s="21" t="str">
        <f t="shared" si="3"/>
        <v/>
      </c>
      <c r="J24" s="21" t="str">
        <f t="shared" si="4"/>
        <v/>
      </c>
      <c r="K24" s="20"/>
      <c r="L24" s="21" t="str">
        <f t="shared" si="5"/>
        <v/>
      </c>
      <c r="M24" s="20"/>
      <c r="N24" s="23"/>
      <c r="O24" s="21" t="str">
        <f t="shared" si="6"/>
        <v/>
      </c>
      <c r="P24" s="20"/>
      <c r="Q24" s="24"/>
      <c r="R24" s="21" t="str">
        <f t="shared" si="7"/>
        <v/>
      </c>
      <c r="S24" s="25" t="str">
        <f t="shared" si="8"/>
        <v/>
      </c>
    </row>
    <row r="25" spans="1:19" x14ac:dyDescent="0.25">
      <c r="A25" s="19">
        <v>10</v>
      </c>
      <c r="B25" s="20"/>
      <c r="C25" s="21" t="str">
        <f t="shared" si="0"/>
        <v/>
      </c>
      <c r="D25" s="22"/>
      <c r="E25" s="21" t="str">
        <f t="shared" si="1"/>
        <v/>
      </c>
      <c r="F25" s="20"/>
      <c r="G25" s="21" t="str">
        <f t="shared" si="2"/>
        <v/>
      </c>
      <c r="H25" s="20"/>
      <c r="I25" s="21" t="str">
        <f t="shared" si="3"/>
        <v/>
      </c>
      <c r="J25" s="21" t="str">
        <f t="shared" si="4"/>
        <v/>
      </c>
      <c r="K25" s="20"/>
      <c r="L25" s="21" t="str">
        <f t="shared" si="5"/>
        <v/>
      </c>
      <c r="M25" s="20"/>
      <c r="N25" s="23"/>
      <c r="O25" s="21" t="str">
        <f t="shared" si="6"/>
        <v/>
      </c>
      <c r="P25" s="20"/>
      <c r="Q25" s="24"/>
      <c r="R25" s="21" t="str">
        <f t="shared" si="7"/>
        <v/>
      </c>
      <c r="S25" s="25" t="str">
        <f t="shared" si="8"/>
        <v/>
      </c>
    </row>
    <row r="26" spans="1:19" x14ac:dyDescent="0.25">
      <c r="A26" s="19">
        <v>11</v>
      </c>
      <c r="B26" s="20"/>
      <c r="C26" s="21" t="str">
        <f t="shared" si="0"/>
        <v/>
      </c>
      <c r="D26" s="22"/>
      <c r="E26" s="21" t="str">
        <f t="shared" si="1"/>
        <v/>
      </c>
      <c r="F26" s="20"/>
      <c r="G26" s="21" t="str">
        <f t="shared" si="2"/>
        <v/>
      </c>
      <c r="H26" s="20"/>
      <c r="I26" s="21" t="str">
        <f t="shared" si="3"/>
        <v/>
      </c>
      <c r="J26" s="21" t="str">
        <f t="shared" si="4"/>
        <v/>
      </c>
      <c r="K26" s="20"/>
      <c r="L26" s="21" t="str">
        <f t="shared" si="5"/>
        <v/>
      </c>
      <c r="M26" s="20"/>
      <c r="N26" s="23"/>
      <c r="O26" s="21" t="str">
        <f t="shared" si="6"/>
        <v/>
      </c>
      <c r="P26" s="20"/>
      <c r="Q26" s="24"/>
      <c r="R26" s="21" t="str">
        <f t="shared" si="7"/>
        <v/>
      </c>
      <c r="S26" s="25" t="str">
        <f t="shared" si="8"/>
        <v/>
      </c>
    </row>
    <row r="27" spans="1:19" x14ac:dyDescent="0.25">
      <c r="A27" s="19">
        <v>12</v>
      </c>
      <c r="B27" s="20"/>
      <c r="C27" s="21" t="str">
        <f t="shared" si="0"/>
        <v/>
      </c>
      <c r="D27" s="22"/>
      <c r="E27" s="21" t="str">
        <f t="shared" si="1"/>
        <v/>
      </c>
      <c r="F27" s="20"/>
      <c r="G27" s="21" t="str">
        <f t="shared" si="2"/>
        <v/>
      </c>
      <c r="H27" s="20"/>
      <c r="I27" s="21" t="str">
        <f t="shared" si="3"/>
        <v/>
      </c>
      <c r="J27" s="21" t="str">
        <f t="shared" si="4"/>
        <v/>
      </c>
      <c r="K27" s="20"/>
      <c r="L27" s="21" t="str">
        <f t="shared" si="5"/>
        <v/>
      </c>
      <c r="M27" s="20"/>
      <c r="N27" s="23"/>
      <c r="O27" s="21" t="str">
        <f t="shared" si="6"/>
        <v/>
      </c>
      <c r="P27" s="20"/>
      <c r="Q27" s="24"/>
      <c r="R27" s="21" t="str">
        <f t="shared" si="7"/>
        <v/>
      </c>
      <c r="S27" s="25" t="str">
        <f t="shared" si="8"/>
        <v/>
      </c>
    </row>
    <row r="28" spans="1:19" x14ac:dyDescent="0.25">
      <c r="A28" s="19">
        <v>13</v>
      </c>
      <c r="B28" s="20"/>
      <c r="C28" s="21" t="str">
        <f t="shared" si="0"/>
        <v/>
      </c>
      <c r="D28" s="22"/>
      <c r="E28" s="21" t="str">
        <f t="shared" si="1"/>
        <v/>
      </c>
      <c r="F28" s="20"/>
      <c r="G28" s="21" t="str">
        <f t="shared" si="2"/>
        <v/>
      </c>
      <c r="H28" s="20"/>
      <c r="I28" s="21" t="str">
        <f t="shared" si="3"/>
        <v/>
      </c>
      <c r="J28" s="21" t="str">
        <f t="shared" si="4"/>
        <v/>
      </c>
      <c r="K28" s="20"/>
      <c r="L28" s="21" t="str">
        <f t="shared" si="5"/>
        <v/>
      </c>
      <c r="M28" s="20"/>
      <c r="N28" s="23"/>
      <c r="O28" s="21" t="str">
        <f t="shared" si="6"/>
        <v/>
      </c>
      <c r="P28" s="20"/>
      <c r="Q28" s="24"/>
      <c r="R28" s="21" t="str">
        <f t="shared" si="7"/>
        <v/>
      </c>
      <c r="S28" s="25" t="str">
        <f t="shared" si="8"/>
        <v/>
      </c>
    </row>
    <row r="29" spans="1:19" x14ac:dyDescent="0.25">
      <c r="A29" s="19">
        <v>14</v>
      </c>
      <c r="B29" s="20"/>
      <c r="C29" s="21" t="str">
        <f t="shared" si="0"/>
        <v/>
      </c>
      <c r="D29" s="22"/>
      <c r="E29" s="21" t="str">
        <f t="shared" si="1"/>
        <v/>
      </c>
      <c r="F29" s="20"/>
      <c r="G29" s="21" t="str">
        <f t="shared" si="2"/>
        <v/>
      </c>
      <c r="H29" s="20"/>
      <c r="I29" s="21" t="str">
        <f t="shared" si="3"/>
        <v/>
      </c>
      <c r="J29" s="21" t="str">
        <f t="shared" si="4"/>
        <v/>
      </c>
      <c r="K29" s="20"/>
      <c r="L29" s="21" t="str">
        <f t="shared" si="5"/>
        <v/>
      </c>
      <c r="M29" s="20"/>
      <c r="N29" s="23"/>
      <c r="O29" s="21" t="str">
        <f t="shared" si="6"/>
        <v/>
      </c>
      <c r="P29" s="20"/>
      <c r="Q29" s="24"/>
      <c r="R29" s="21" t="str">
        <f t="shared" si="7"/>
        <v/>
      </c>
      <c r="S29" s="25" t="str">
        <f t="shared" si="8"/>
        <v/>
      </c>
    </row>
    <row r="30" spans="1:19" x14ac:dyDescent="0.25">
      <c r="A30" s="19">
        <v>15</v>
      </c>
      <c r="B30" s="20"/>
      <c r="C30" s="21" t="str">
        <f t="shared" si="0"/>
        <v/>
      </c>
      <c r="D30" s="22"/>
      <c r="E30" s="21" t="str">
        <f t="shared" si="1"/>
        <v/>
      </c>
      <c r="F30" s="20"/>
      <c r="G30" s="21" t="str">
        <f t="shared" si="2"/>
        <v/>
      </c>
      <c r="H30" s="20"/>
      <c r="I30" s="21" t="str">
        <f t="shared" si="3"/>
        <v/>
      </c>
      <c r="J30" s="21" t="str">
        <f t="shared" si="4"/>
        <v/>
      </c>
      <c r="K30" s="20"/>
      <c r="L30" s="21" t="str">
        <f t="shared" si="5"/>
        <v/>
      </c>
      <c r="M30" s="20"/>
      <c r="N30" s="23"/>
      <c r="O30" s="21" t="str">
        <f t="shared" si="6"/>
        <v/>
      </c>
      <c r="P30" s="20"/>
      <c r="Q30" s="24"/>
      <c r="R30" s="21" t="str">
        <f t="shared" si="7"/>
        <v/>
      </c>
      <c r="S30" s="25" t="str">
        <f t="shared" si="8"/>
        <v/>
      </c>
    </row>
    <row r="33" spans="1:19" ht="21.95" customHeight="1" x14ac:dyDescent="0.25">
      <c r="A33" s="38" t="s">
        <v>877</v>
      </c>
      <c r="B33" s="39"/>
      <c r="C33" s="39"/>
      <c r="D33" s="39"/>
      <c r="E33" s="39"/>
      <c r="F33" s="39"/>
      <c r="G33" s="39"/>
      <c r="H33" s="39"/>
      <c r="I33" s="39"/>
      <c r="J33" s="39"/>
      <c r="K33" s="39"/>
      <c r="L33" s="39"/>
      <c r="M33" s="39"/>
      <c r="N33" s="39"/>
      <c r="O33" s="39"/>
      <c r="P33" s="39"/>
      <c r="Q33" s="39"/>
      <c r="R33" s="39"/>
      <c r="S33" s="39"/>
    </row>
    <row r="34" spans="1:19" ht="15.95" customHeight="1" x14ac:dyDescent="0.25">
      <c r="A34" s="40" t="s">
        <v>778</v>
      </c>
      <c r="B34" s="31"/>
      <c r="C34" s="31"/>
      <c r="D34" s="31"/>
      <c r="E34" s="31"/>
      <c r="F34" s="31"/>
      <c r="G34" s="31"/>
      <c r="H34" s="31"/>
      <c r="I34" s="31"/>
      <c r="J34" s="31"/>
      <c r="K34" s="31"/>
      <c r="L34" s="31"/>
      <c r="M34" s="31"/>
      <c r="N34" s="31"/>
      <c r="O34" s="31"/>
      <c r="P34" s="31"/>
      <c r="Q34" s="31"/>
      <c r="R34" s="31"/>
      <c r="S34" s="31"/>
    </row>
    <row r="36" spans="1:19" ht="18" customHeight="1" x14ac:dyDescent="0.25">
      <c r="A36" s="36" t="s">
        <v>795</v>
      </c>
      <c r="B36" s="31"/>
      <c r="C36" s="31"/>
      <c r="D36" s="31"/>
      <c r="E36" s="31"/>
      <c r="F36" s="31"/>
      <c r="G36" s="31"/>
      <c r="H36" s="31"/>
      <c r="I36" s="31"/>
      <c r="J36" s="31"/>
      <c r="K36" s="31"/>
      <c r="L36" s="31"/>
      <c r="M36" s="31"/>
      <c r="N36" s="31"/>
      <c r="O36" s="31"/>
      <c r="P36" s="31"/>
      <c r="Q36" s="31"/>
      <c r="R36" s="31"/>
      <c r="S36" s="31"/>
    </row>
    <row r="37" spans="1:19" ht="21" customHeight="1" x14ac:dyDescent="0.25">
      <c r="A37" s="37" t="s">
        <v>878</v>
      </c>
      <c r="B37" s="31"/>
      <c r="C37" s="31"/>
      <c r="D37" s="31"/>
      <c r="E37" s="31"/>
      <c r="F37" s="31"/>
      <c r="G37" s="31"/>
      <c r="H37" s="31"/>
      <c r="I37" s="31"/>
      <c r="J37" s="31"/>
      <c r="K37" s="31"/>
      <c r="L37" s="31"/>
      <c r="M37" s="31"/>
      <c r="N37" s="31"/>
      <c r="O37" s="31"/>
      <c r="P37" s="31"/>
      <c r="Q37" s="31"/>
      <c r="R37" s="31"/>
      <c r="S37" s="31"/>
    </row>
    <row r="38" spans="1:19" ht="6" customHeight="1" x14ac:dyDescent="0.25"/>
    <row r="39" spans="1:19" ht="18" customHeight="1" x14ac:dyDescent="0.25">
      <c r="A39" s="36" t="s">
        <v>879</v>
      </c>
      <c r="B39" s="31"/>
      <c r="C39" s="31"/>
      <c r="D39" s="31"/>
      <c r="E39" s="31"/>
      <c r="F39" s="31"/>
      <c r="G39" s="31"/>
      <c r="H39" s="31"/>
      <c r="I39" s="31"/>
      <c r="J39" s="31"/>
      <c r="K39" s="31"/>
      <c r="L39" s="31"/>
      <c r="M39" s="31"/>
      <c r="N39" s="31"/>
      <c r="O39" s="31"/>
      <c r="P39" s="31"/>
      <c r="Q39" s="31"/>
      <c r="R39" s="31"/>
      <c r="S39" s="31"/>
    </row>
    <row r="40" spans="1:19" ht="21" customHeight="1" x14ac:dyDescent="0.25">
      <c r="A40" s="37" t="s">
        <v>880</v>
      </c>
      <c r="B40" s="31"/>
      <c r="C40" s="31"/>
      <c r="D40" s="31"/>
      <c r="E40" s="31"/>
      <c r="F40" s="31"/>
      <c r="G40" s="31"/>
      <c r="H40" s="31"/>
      <c r="I40" s="31"/>
      <c r="J40" s="31"/>
      <c r="K40" s="31"/>
      <c r="L40" s="31"/>
      <c r="M40" s="31"/>
      <c r="N40" s="31"/>
      <c r="O40" s="31"/>
      <c r="P40" s="31"/>
      <c r="Q40" s="31"/>
      <c r="R40" s="31"/>
      <c r="S40" s="31"/>
    </row>
    <row r="41" spans="1:19" ht="6" customHeight="1" x14ac:dyDescent="0.25"/>
    <row r="42" spans="1:19" ht="18" customHeight="1" x14ac:dyDescent="0.25">
      <c r="A42" s="36" t="s">
        <v>728</v>
      </c>
      <c r="B42" s="31"/>
      <c r="C42" s="31"/>
      <c r="D42" s="31"/>
      <c r="E42" s="31"/>
      <c r="F42" s="31"/>
      <c r="G42" s="31"/>
      <c r="H42" s="31"/>
      <c r="I42" s="31"/>
      <c r="J42" s="31"/>
      <c r="K42" s="31"/>
      <c r="L42" s="31"/>
      <c r="M42" s="31"/>
      <c r="N42" s="31"/>
      <c r="O42" s="31"/>
      <c r="P42" s="31"/>
      <c r="Q42" s="31"/>
      <c r="R42" s="31"/>
      <c r="S42" s="31"/>
    </row>
    <row r="43" spans="1:19" ht="51" customHeight="1" x14ac:dyDescent="0.25">
      <c r="A43" s="37" t="s">
        <v>729</v>
      </c>
      <c r="B43" s="31"/>
      <c r="C43" s="31"/>
      <c r="D43" s="31"/>
      <c r="E43" s="31"/>
      <c r="F43" s="31"/>
      <c r="G43" s="31"/>
      <c r="H43" s="31"/>
      <c r="I43" s="31"/>
      <c r="J43" s="31"/>
      <c r="K43" s="31"/>
      <c r="L43" s="31"/>
      <c r="M43" s="31"/>
      <c r="N43" s="31"/>
      <c r="O43" s="31"/>
      <c r="P43" s="31"/>
      <c r="Q43" s="31"/>
      <c r="R43" s="31"/>
      <c r="S43" s="31"/>
    </row>
    <row r="44" spans="1:19" ht="6" customHeight="1" x14ac:dyDescent="0.25"/>
    <row r="47" spans="1:19" ht="21.95" customHeight="1" x14ac:dyDescent="0.25">
      <c r="A47" s="38" t="s">
        <v>730</v>
      </c>
      <c r="B47" s="39"/>
      <c r="C47" s="39"/>
      <c r="D47" s="39"/>
      <c r="E47" s="39"/>
      <c r="F47" s="39"/>
      <c r="G47" s="39"/>
      <c r="H47" s="39"/>
      <c r="I47" s="39"/>
      <c r="J47" s="39"/>
      <c r="K47" s="39"/>
      <c r="L47" s="39"/>
      <c r="M47" s="39"/>
      <c r="N47" s="39"/>
      <c r="O47" s="39"/>
      <c r="P47" s="39"/>
      <c r="Q47" s="39"/>
      <c r="R47" s="39"/>
      <c r="S47" s="39"/>
    </row>
    <row r="49" spans="1:19" ht="18" customHeight="1" x14ac:dyDescent="0.25">
      <c r="A49" s="36" t="s">
        <v>70</v>
      </c>
      <c r="B49" s="31"/>
      <c r="C49" s="31"/>
      <c r="D49" s="31"/>
      <c r="E49" s="31"/>
      <c r="F49" s="31"/>
      <c r="G49" s="31"/>
      <c r="H49" s="31"/>
      <c r="I49" s="31"/>
      <c r="J49" s="31"/>
      <c r="K49" s="31"/>
      <c r="L49" s="31"/>
      <c r="M49" s="31"/>
      <c r="N49" s="31"/>
      <c r="O49" s="31"/>
      <c r="P49" s="31"/>
      <c r="Q49" s="31"/>
      <c r="R49" s="31"/>
      <c r="S49" s="31"/>
    </row>
    <row r="50" spans="1:19" ht="21" customHeight="1" x14ac:dyDescent="0.25">
      <c r="A50" s="37" t="s">
        <v>731</v>
      </c>
      <c r="B50" s="31"/>
      <c r="C50" s="31"/>
      <c r="D50" s="31"/>
      <c r="E50" s="31"/>
      <c r="F50" s="31"/>
      <c r="G50" s="31"/>
      <c r="H50" s="31"/>
      <c r="I50" s="31"/>
      <c r="J50" s="31"/>
      <c r="K50" s="31"/>
      <c r="L50" s="31"/>
      <c r="M50" s="31"/>
      <c r="N50" s="31"/>
      <c r="O50" s="31"/>
      <c r="P50" s="31"/>
      <c r="Q50" s="31"/>
      <c r="R50" s="31"/>
      <c r="S50" s="31"/>
    </row>
    <row r="51" spans="1:19" ht="6" customHeight="1" x14ac:dyDescent="0.25"/>
    <row r="52" spans="1:19" ht="18" customHeight="1" x14ac:dyDescent="0.25">
      <c r="A52" s="36" t="s">
        <v>84</v>
      </c>
      <c r="B52" s="31"/>
      <c r="C52" s="31"/>
      <c r="D52" s="31"/>
      <c r="E52" s="31"/>
      <c r="F52" s="31"/>
      <c r="G52" s="31"/>
      <c r="H52" s="31"/>
      <c r="I52" s="31"/>
      <c r="J52" s="31"/>
      <c r="K52" s="31"/>
      <c r="L52" s="31"/>
      <c r="M52" s="31"/>
      <c r="N52" s="31"/>
      <c r="O52" s="31"/>
      <c r="P52" s="31"/>
      <c r="Q52" s="31"/>
      <c r="R52" s="31"/>
      <c r="S52" s="31"/>
    </row>
    <row r="53" spans="1:19" ht="36" customHeight="1" x14ac:dyDescent="0.25">
      <c r="A53" s="37" t="s">
        <v>732</v>
      </c>
      <c r="B53" s="31"/>
      <c r="C53" s="31"/>
      <c r="D53" s="31"/>
      <c r="E53" s="31"/>
      <c r="F53" s="31"/>
      <c r="G53" s="31"/>
      <c r="H53" s="31"/>
      <c r="I53" s="31"/>
      <c r="J53" s="31"/>
      <c r="K53" s="31"/>
      <c r="L53" s="31"/>
      <c r="M53" s="31"/>
      <c r="N53" s="31"/>
      <c r="O53" s="31"/>
      <c r="P53" s="31"/>
      <c r="Q53" s="31"/>
      <c r="R53" s="31"/>
      <c r="S53" s="31"/>
    </row>
    <row r="54" spans="1:19" ht="6" customHeight="1" x14ac:dyDescent="0.25"/>
    <row r="55" spans="1:19" ht="18" customHeight="1" x14ac:dyDescent="0.25">
      <c r="A55" s="36" t="s">
        <v>684</v>
      </c>
      <c r="B55" s="31"/>
      <c r="C55" s="31"/>
      <c r="D55" s="31"/>
      <c r="E55" s="31"/>
      <c r="F55" s="31"/>
      <c r="G55" s="31"/>
      <c r="H55" s="31"/>
      <c r="I55" s="31"/>
      <c r="J55" s="31"/>
      <c r="K55" s="31"/>
      <c r="L55" s="31"/>
      <c r="M55" s="31"/>
      <c r="N55" s="31"/>
      <c r="O55" s="31"/>
      <c r="P55" s="31"/>
      <c r="Q55" s="31"/>
      <c r="R55" s="31"/>
      <c r="S55" s="31"/>
    </row>
    <row r="56" spans="1:19" ht="21" customHeight="1" x14ac:dyDescent="0.25">
      <c r="A56" s="37" t="s">
        <v>733</v>
      </c>
      <c r="B56" s="31"/>
      <c r="C56" s="31"/>
      <c r="D56" s="31"/>
      <c r="E56" s="31"/>
      <c r="F56" s="31"/>
      <c r="G56" s="31"/>
      <c r="H56" s="31"/>
      <c r="I56" s="31"/>
      <c r="J56" s="31"/>
      <c r="K56" s="31"/>
      <c r="L56" s="31"/>
      <c r="M56" s="31"/>
      <c r="N56" s="31"/>
      <c r="O56" s="31"/>
      <c r="P56" s="31"/>
      <c r="Q56" s="31"/>
      <c r="R56" s="31"/>
      <c r="S56" s="31"/>
    </row>
    <row r="57" spans="1:19" ht="6" customHeight="1" x14ac:dyDescent="0.25"/>
    <row r="58" spans="1:19" ht="18" customHeight="1" x14ac:dyDescent="0.25">
      <c r="A58" s="36" t="s">
        <v>686</v>
      </c>
      <c r="B58" s="31"/>
      <c r="C58" s="31"/>
      <c r="D58" s="31"/>
      <c r="E58" s="31"/>
      <c r="F58" s="31"/>
      <c r="G58" s="31"/>
      <c r="H58" s="31"/>
      <c r="I58" s="31"/>
      <c r="J58" s="31"/>
      <c r="K58" s="31"/>
      <c r="L58" s="31"/>
      <c r="M58" s="31"/>
      <c r="N58" s="31"/>
      <c r="O58" s="31"/>
      <c r="P58" s="31"/>
      <c r="Q58" s="31"/>
      <c r="R58" s="31"/>
      <c r="S58" s="31"/>
    </row>
    <row r="59" spans="1:19" ht="21" customHeight="1" x14ac:dyDescent="0.25">
      <c r="A59" s="37" t="s">
        <v>881</v>
      </c>
      <c r="B59" s="31"/>
      <c r="C59" s="31"/>
      <c r="D59" s="31"/>
      <c r="E59" s="31"/>
      <c r="F59" s="31"/>
      <c r="G59" s="31"/>
      <c r="H59" s="31"/>
      <c r="I59" s="31"/>
      <c r="J59" s="31"/>
      <c r="K59" s="31"/>
      <c r="L59" s="31"/>
      <c r="M59" s="31"/>
      <c r="N59" s="31"/>
      <c r="O59" s="31"/>
      <c r="P59" s="31"/>
      <c r="Q59" s="31"/>
      <c r="R59" s="31"/>
      <c r="S59" s="31"/>
    </row>
    <row r="60" spans="1:19" ht="6" customHeight="1" x14ac:dyDescent="0.25"/>
    <row r="61" spans="1:19" ht="18" customHeight="1" x14ac:dyDescent="0.25">
      <c r="A61" s="36" t="s">
        <v>689</v>
      </c>
      <c r="B61" s="31"/>
      <c r="C61" s="31"/>
      <c r="D61" s="31"/>
      <c r="E61" s="31"/>
      <c r="F61" s="31"/>
      <c r="G61" s="31"/>
      <c r="H61" s="31"/>
      <c r="I61" s="31"/>
      <c r="J61" s="31"/>
      <c r="K61" s="31"/>
      <c r="L61" s="31"/>
      <c r="M61" s="31"/>
      <c r="N61" s="31"/>
      <c r="O61" s="31"/>
      <c r="P61" s="31"/>
      <c r="Q61" s="31"/>
      <c r="R61" s="31"/>
      <c r="S61" s="31"/>
    </row>
    <row r="62" spans="1:19" ht="21" customHeight="1" x14ac:dyDescent="0.25">
      <c r="A62" s="37" t="s">
        <v>882</v>
      </c>
      <c r="B62" s="31"/>
      <c r="C62" s="31"/>
      <c r="D62" s="31"/>
      <c r="E62" s="31"/>
      <c r="F62" s="31"/>
      <c r="G62" s="31"/>
      <c r="H62" s="31"/>
      <c r="I62" s="31"/>
      <c r="J62" s="31"/>
      <c r="K62" s="31"/>
      <c r="L62" s="31"/>
      <c r="M62" s="31"/>
      <c r="N62" s="31"/>
      <c r="O62" s="31"/>
      <c r="P62" s="31"/>
      <c r="Q62" s="31"/>
      <c r="R62" s="31"/>
      <c r="S62" s="31"/>
    </row>
    <row r="63" spans="1:19" ht="6" customHeight="1" x14ac:dyDescent="0.25"/>
    <row r="64" spans="1:19" ht="18" customHeight="1" x14ac:dyDescent="0.25">
      <c r="A64" s="36" t="s">
        <v>692</v>
      </c>
      <c r="B64" s="31"/>
      <c r="C64" s="31"/>
      <c r="D64" s="31"/>
      <c r="E64" s="31"/>
      <c r="F64" s="31"/>
      <c r="G64" s="31"/>
      <c r="H64" s="31"/>
      <c r="I64" s="31"/>
      <c r="J64" s="31"/>
      <c r="K64" s="31"/>
      <c r="L64" s="31"/>
      <c r="M64" s="31"/>
      <c r="N64" s="31"/>
      <c r="O64" s="31"/>
      <c r="P64" s="31"/>
      <c r="Q64" s="31"/>
      <c r="R64" s="31"/>
      <c r="S64" s="31"/>
    </row>
    <row r="65" spans="1:19" ht="21" customHeight="1" x14ac:dyDescent="0.25">
      <c r="A65" s="37" t="s">
        <v>737</v>
      </c>
      <c r="B65" s="31"/>
      <c r="C65" s="31"/>
      <c r="D65" s="31"/>
      <c r="E65" s="31"/>
      <c r="F65" s="31"/>
      <c r="G65" s="31"/>
      <c r="H65" s="31"/>
      <c r="I65" s="31"/>
      <c r="J65" s="31"/>
      <c r="K65" s="31"/>
      <c r="L65" s="31"/>
      <c r="M65" s="31"/>
      <c r="N65" s="31"/>
      <c r="O65" s="31"/>
      <c r="P65" s="31"/>
      <c r="Q65" s="31"/>
      <c r="R65" s="31"/>
      <c r="S65" s="31"/>
    </row>
    <row r="66" spans="1:19" ht="6" customHeight="1" x14ac:dyDescent="0.25"/>
    <row r="67" spans="1:19" ht="18" customHeight="1" x14ac:dyDescent="0.25">
      <c r="A67" s="36" t="s">
        <v>693</v>
      </c>
      <c r="B67" s="31"/>
      <c r="C67" s="31"/>
      <c r="D67" s="31"/>
      <c r="E67" s="31"/>
      <c r="F67" s="31"/>
      <c r="G67" s="31"/>
      <c r="H67" s="31"/>
      <c r="I67" s="31"/>
      <c r="J67" s="31"/>
      <c r="K67" s="31"/>
      <c r="L67" s="31"/>
      <c r="M67" s="31"/>
      <c r="N67" s="31"/>
      <c r="O67" s="31"/>
      <c r="P67" s="31"/>
      <c r="Q67" s="31"/>
      <c r="R67" s="31"/>
      <c r="S67" s="31"/>
    </row>
    <row r="68" spans="1:19" ht="21" customHeight="1" x14ac:dyDescent="0.25">
      <c r="A68" s="37" t="s">
        <v>738</v>
      </c>
      <c r="B68" s="31"/>
      <c r="C68" s="31"/>
      <c r="D68" s="31"/>
      <c r="E68" s="31"/>
      <c r="F68" s="31"/>
      <c r="G68" s="31"/>
      <c r="H68" s="31"/>
      <c r="I68" s="31"/>
      <c r="J68" s="31"/>
      <c r="K68" s="31"/>
      <c r="L68" s="31"/>
      <c r="M68" s="31"/>
      <c r="N68" s="31"/>
      <c r="O68" s="31"/>
      <c r="P68" s="31"/>
      <c r="Q68" s="31"/>
      <c r="R68" s="31"/>
      <c r="S68" s="31"/>
    </row>
    <row r="69" spans="1:19" ht="6" customHeight="1" x14ac:dyDescent="0.25"/>
    <row r="70" spans="1:19" ht="18" customHeight="1" x14ac:dyDescent="0.25">
      <c r="A70" s="36" t="s">
        <v>695</v>
      </c>
      <c r="B70" s="31"/>
      <c r="C70" s="31"/>
      <c r="D70" s="31"/>
      <c r="E70" s="31"/>
      <c r="F70" s="31"/>
      <c r="G70" s="31"/>
      <c r="H70" s="31"/>
      <c r="I70" s="31"/>
      <c r="J70" s="31"/>
      <c r="K70" s="31"/>
      <c r="L70" s="31"/>
      <c r="M70" s="31"/>
      <c r="N70" s="31"/>
      <c r="O70" s="31"/>
      <c r="P70" s="31"/>
      <c r="Q70" s="31"/>
      <c r="R70" s="31"/>
      <c r="S70" s="31"/>
    </row>
    <row r="71" spans="1:19" ht="21" customHeight="1" x14ac:dyDescent="0.25">
      <c r="A71" s="37" t="s">
        <v>739</v>
      </c>
      <c r="B71" s="31"/>
      <c r="C71" s="31"/>
      <c r="D71" s="31"/>
      <c r="E71" s="31"/>
      <c r="F71" s="31"/>
      <c r="G71" s="31"/>
      <c r="H71" s="31"/>
      <c r="I71" s="31"/>
      <c r="J71" s="31"/>
      <c r="K71" s="31"/>
      <c r="L71" s="31"/>
      <c r="M71" s="31"/>
      <c r="N71" s="31"/>
      <c r="O71" s="31"/>
      <c r="P71" s="31"/>
      <c r="Q71" s="31"/>
      <c r="R71" s="31"/>
      <c r="S71" s="31"/>
    </row>
    <row r="72" spans="1:19" ht="6" customHeight="1" x14ac:dyDescent="0.25"/>
    <row r="73" spans="1:19" ht="18" customHeight="1" x14ac:dyDescent="0.25">
      <c r="A73" s="36" t="s">
        <v>699</v>
      </c>
      <c r="B73" s="31"/>
      <c r="C73" s="31"/>
      <c r="D73" s="31"/>
      <c r="E73" s="31"/>
      <c r="F73" s="31"/>
      <c r="G73" s="31"/>
      <c r="H73" s="31"/>
      <c r="I73" s="31"/>
      <c r="J73" s="31"/>
      <c r="K73" s="31"/>
      <c r="L73" s="31"/>
      <c r="M73" s="31"/>
      <c r="N73" s="31"/>
      <c r="O73" s="31"/>
      <c r="P73" s="31"/>
      <c r="Q73" s="31"/>
      <c r="R73" s="31"/>
      <c r="S73" s="31"/>
    </row>
    <row r="74" spans="1:19" ht="36" customHeight="1" x14ac:dyDescent="0.25">
      <c r="A74" s="37" t="s">
        <v>743</v>
      </c>
      <c r="B74" s="31"/>
      <c r="C74" s="31"/>
      <c r="D74" s="31"/>
      <c r="E74" s="31"/>
      <c r="F74" s="31"/>
      <c r="G74" s="31"/>
      <c r="H74" s="31"/>
      <c r="I74" s="31"/>
      <c r="J74" s="31"/>
      <c r="K74" s="31"/>
      <c r="L74" s="31"/>
      <c r="M74" s="31"/>
      <c r="N74" s="31"/>
      <c r="O74" s="31"/>
      <c r="P74" s="31"/>
      <c r="Q74" s="31"/>
      <c r="R74" s="31"/>
      <c r="S74" s="31"/>
    </row>
    <row r="75" spans="1:19" ht="6" customHeight="1" x14ac:dyDescent="0.25"/>
    <row r="78" spans="1:19" x14ac:dyDescent="0.25">
      <c r="A78" s="40" t="s">
        <v>744</v>
      </c>
      <c r="B78" s="31"/>
      <c r="C78" s="31"/>
      <c r="D78" s="31"/>
      <c r="E78" s="31"/>
      <c r="F78" s="31"/>
      <c r="G78" s="31"/>
      <c r="H78" s="31"/>
      <c r="I78" s="31"/>
      <c r="J78" s="31"/>
      <c r="K78" s="31"/>
      <c r="L78" s="31"/>
      <c r="M78" s="31"/>
      <c r="N78" s="31"/>
      <c r="O78" s="31"/>
      <c r="P78" s="31"/>
      <c r="Q78" s="31"/>
      <c r="R78" s="31"/>
      <c r="S78" s="31"/>
    </row>
  </sheetData>
  <mergeCells count="28">
    <mergeCell ref="A78:S78"/>
    <mergeCell ref="A65:S65"/>
    <mergeCell ref="A37:S37"/>
    <mergeCell ref="A74:S74"/>
    <mergeCell ref="A56:S56"/>
    <mergeCell ref="A55:S55"/>
    <mergeCell ref="A50:S50"/>
    <mergeCell ref="A73:S73"/>
    <mergeCell ref="A64:S64"/>
    <mergeCell ref="A49:S49"/>
    <mergeCell ref="A36:S36"/>
    <mergeCell ref="A61:S61"/>
    <mergeCell ref="A70:S70"/>
    <mergeCell ref="A42:S42"/>
    <mergeCell ref="A33:S33"/>
    <mergeCell ref="A71:S71"/>
    <mergeCell ref="A47:S47"/>
    <mergeCell ref="A53:S53"/>
    <mergeCell ref="A62:S62"/>
    <mergeCell ref="A52:S52"/>
    <mergeCell ref="A43:S43"/>
    <mergeCell ref="A68:S68"/>
    <mergeCell ref="A58:S58"/>
    <mergeCell ref="A40:S40"/>
    <mergeCell ref="A67:S67"/>
    <mergeCell ref="A39:S39"/>
    <mergeCell ref="A34:S34"/>
    <mergeCell ref="A59:S59"/>
  </mergeCells>
  <dataValidations count="9">
    <dataValidation type="list" allowBlank="1" errorTitle="Valore non valido" error="Seleziona dalla lista." promptTitle="Author" prompt="Autore della codifica." sqref="B5:B30" xr:uid="{00000000-0002-0000-0E00-000000000000}">
      <formula1>Author_Name</formula1>
    </dataValidation>
    <dataValidation type="list" allowBlank="1" errorTitle="Valore non valido" error="Seleziona dalla lista, oppure lascia vuoto." promptTitle="In Place" sqref="D5:D30" xr:uid="{00000000-0002-0000-0E00-000001000000}">
      <formula1>InPl_Name</formula1>
    </dataValidation>
    <dataValidation type="list" allowBlank="1" errorTitle="Valore non valido" error="Seleziona dalla lista." promptTitle="Famiglia di sistema" prompt="Famiglia di sistema Revit." sqref="F5:F30" xr:uid="{00000000-0002-0000-0E00-000002000000}">
      <formula1>CP_Cat_Name</formula1>
    </dataValidation>
    <dataValidation type="list" allowBlank="1" errorTitle="Valore non valido" error="Seleziona dalla lista." promptTitle="Group1" prompt="Composizione del pannello." sqref="H5:H30" xr:uid="{00000000-0002-0000-0E00-000003000000}">
      <formula1>CP_G1_Name</formula1>
    </dataValidation>
    <dataValidation type="list" allowBlank="1" errorTitle="Valore non valido" error="Seleziona dalla lista." promptTitle="Group2" prompt="Ruolo nella facciata." sqref="K5:K30" xr:uid="{00000000-0002-0000-0E00-000004000000}">
      <formula1>CP_G2_Name</formula1>
    </dataValidation>
    <dataValidation type="custom" allowBlank="1" errorTitle="Non valido" error="Inserisci un intero tra 0 e 99, oppure XX se i tipi non sono ancora definiti. Se Group1 è Other compila il Type Mark manuale." promptTitle="TM sequenza" prompt="Due cifre da 0 a 99. Distingue le varianti di stesso Group1 e stesso Group2. Tipo non ancora definito → XX. Non si compila con Group1 = OT." sqref="M5:M30" xr:uid="{00000000-0002-0000-0E00-000005000000}">
      <formula1>AND($I5&lt;&gt;"OT",OR(UPPER($M5)="XX",AND(ISNUMBER($M5),$M5&gt;=0,$M5&lt;=99,$M5=INT($M5))))</formula1>
    </dataValidation>
    <dataValidation type="custom" allowBlank="1" errorTitle="Non ammesso qui" error="Si usa solo quando Group1 è Other." promptTitle="Type Mark manuale" prompt="Solo con Group1 = OT. Sostituisce tutto il Type Mark, prefisso di categoria compreso. Finiture → prefisso materiale + tre cifre: PT-001, WD-001, MT-001." sqref="N5:N30" xr:uid="{00000000-0002-0000-0E00-000006000000}">
      <formula1>$I5="OT"</formula1>
    </dataValidation>
    <dataValidation type="decimal" operator="greaterThan" allowBlank="1" errorTitle="Non valido" error="Inserisci un valore maggiore di 0." promptTitle="Thickness mm" prompt="Spessore totale in mm." sqref="P5:P30" xr:uid="{00000000-0002-0000-0E00-000007000000}">
      <formula1>0</formula1>
    </dataValidation>
    <dataValidation type="textLength" operator="lessThanOrEqual" allowBlank="1" errorTitle="Troppo lunga" error="Massimo 40 caratteri." promptTitle="Description" prompt="Facoltativa. Solo se aggiunge un’informazione non già nei codici: destinazione, posizione, o ciò che distingue due tipi altrimenti identici. Senza spazi, iniziali maiuscole, massimo 40 caratteri, senza accenti." sqref="Q5:Q30" xr:uid="{00000000-0002-0000-0E00-000008000000}">
      <formula1>40</formula1>
    </dataValidation>
  </dataValidations>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S78"/>
  <sheetViews>
    <sheetView showGridLines="0" workbookViewId="0">
      <pane ySplit="4" topLeftCell="A5" activePane="bottomLeft" state="frozen"/>
      <selection pane="bottomLeft"/>
    </sheetView>
  </sheetViews>
  <sheetFormatPr defaultRowHeight="15" x14ac:dyDescent="0.25"/>
  <cols>
    <col min="1" max="1" width="3" customWidth="1"/>
    <col min="2" max="2" width="15" customWidth="1"/>
    <col min="3" max="3" width="5" customWidth="1"/>
    <col min="4" max="4" width="10" customWidth="1"/>
    <col min="5" max="5" width="4" customWidth="1"/>
    <col min="6" max="6" width="17" customWidth="1"/>
    <col min="7" max="7" width="4" customWidth="1"/>
    <col min="8" max="8" width="15" customWidth="1"/>
    <col min="9" max="9" width="4" customWidth="1"/>
    <col min="10" max="10" width="6" customWidth="1"/>
    <col min="11" max="11" width="15" customWidth="1"/>
    <col min="12" max="12" width="4" customWidth="1"/>
    <col min="13" max="13" width="12" customWidth="1"/>
    <col min="14" max="14" width="19" customWidth="1"/>
    <col min="15" max="15" width="12" customWidth="1"/>
    <col min="16" max="16" width="10" customWidth="1"/>
    <col min="17" max="17" width="22" customWidth="1"/>
    <col min="18" max="18" width="12" customWidth="1"/>
    <col min="19" max="19" width="40" customWidth="1"/>
  </cols>
  <sheetData>
    <row r="1" spans="1:19" ht="19.5" x14ac:dyDescent="0.3">
      <c r="A1" s="6" t="s">
        <v>883</v>
      </c>
    </row>
    <row r="2" spans="1:19" x14ac:dyDescent="0.25">
      <c r="A2" s="7" t="s">
        <v>680</v>
      </c>
    </row>
    <row r="3" spans="1:19" x14ac:dyDescent="0.25">
      <c r="A3" s="8" t="s">
        <v>884</v>
      </c>
    </row>
    <row r="4" spans="1:19" ht="30" customHeight="1" x14ac:dyDescent="0.25">
      <c r="A4" s="9" t="s">
        <v>682</v>
      </c>
      <c r="B4" s="9" t="s">
        <v>70</v>
      </c>
      <c r="C4" s="9" t="s">
        <v>683</v>
      </c>
      <c r="D4" s="10" t="s">
        <v>84</v>
      </c>
      <c r="E4" s="9" t="s">
        <v>83</v>
      </c>
      <c r="F4" s="9" t="s">
        <v>684</v>
      </c>
      <c r="G4" s="9" t="s">
        <v>685</v>
      </c>
      <c r="H4" s="9" t="s">
        <v>686</v>
      </c>
      <c r="I4" s="9" t="s">
        <v>687</v>
      </c>
      <c r="J4" s="9" t="s">
        <v>688</v>
      </c>
      <c r="K4" s="9" t="s">
        <v>689</v>
      </c>
      <c r="L4" s="9" t="s">
        <v>690</v>
      </c>
      <c r="M4" s="9" t="s">
        <v>692</v>
      </c>
      <c r="N4" s="9" t="s">
        <v>693</v>
      </c>
      <c r="O4" s="9" t="s">
        <v>694</v>
      </c>
      <c r="P4" s="9" t="s">
        <v>695</v>
      </c>
      <c r="Q4" s="10" t="s">
        <v>699</v>
      </c>
      <c r="R4" s="9" t="s">
        <v>700</v>
      </c>
      <c r="S4" s="9" t="s">
        <v>701</v>
      </c>
    </row>
    <row r="5" spans="1:19" x14ac:dyDescent="0.25">
      <c r="A5" s="11" t="s">
        <v>704</v>
      </c>
      <c r="B5" s="12" t="s">
        <v>80</v>
      </c>
      <c r="C5" s="13" t="str">
        <f t="shared" ref="C5:C30" si="0">IFERROR(INDEX(Author_Code,MATCH($B5,Author_Name,0)),"")</f>
        <v>e</v>
      </c>
      <c r="D5" s="14"/>
      <c r="E5" s="13" t="str">
        <f t="shared" ref="E5:E30" si="1">IFERROR(INDEX(InPl_Code,MATCH($D5,InPl_Name,0)),"")</f>
        <v/>
      </c>
      <c r="F5" s="12" t="s">
        <v>651</v>
      </c>
      <c r="G5" s="13" t="str">
        <f t="shared" ref="G5:G30" si="2">IFERROR(INDEX(TS_Cat_Code,MATCH($F5,TS_Cat_Name,0)),"")</f>
        <v>TS</v>
      </c>
      <c r="H5" s="12" t="s">
        <v>656</v>
      </c>
      <c r="I5" s="13" t="str">
        <f t="shared" ref="I5:I30" si="3">IFERROR(INDEX(TS_G1_Code,MATCH($H5,TS_G1_Name,0)),"")</f>
        <v>NT</v>
      </c>
      <c r="J5" s="13" t="str">
        <f t="shared" ref="J5:J30" si="4">IFERROR(LEFT(INDEX(TS_G1_TM,MATCH($H5,TS_G1_Name,0)),1),"")</f>
        <v>1</v>
      </c>
      <c r="K5" s="12" t="s">
        <v>653</v>
      </c>
      <c r="L5" s="13" t="str">
        <f t="shared" ref="L5:L30" si="5">IFERROR(INDEX(TS_G2_Code,MATCH($K5,TS_G2_Name,0)),"")</f>
        <v>EG</v>
      </c>
      <c r="M5" s="12">
        <v>1</v>
      </c>
      <c r="N5" s="15"/>
      <c r="O5" s="13" t="str">
        <f t="shared" ref="O5:O30" si="6">IF($I5="OT",$N5,IF(OR($G5="",$J5="",$M5=""),"",$G5&amp;"-"&amp;$J5&amp;IF(UPPER($M5)="XX","XX",TEXT($M5,"00"))))</f>
        <v>TS-101</v>
      </c>
      <c r="P5" s="12">
        <v>300</v>
      </c>
      <c r="Q5" s="16"/>
      <c r="R5" s="13" t="str">
        <f t="shared" ref="R5:R30" si="7">$G5&amp;IF($I5&lt;&gt;"","."&amp;$I5,"")&amp;IF($L5&lt;&gt;"","."&amp;$L5,"")</f>
        <v>TS.NT.EG</v>
      </c>
      <c r="S5" s="17" t="str">
        <f t="shared" ref="S5:S30" si="8">IF(AND($F5&lt;&gt;"",$H5&lt;&gt;"",$O5&lt;&gt;"",$P5&lt;&gt;""),$C5&amp;"_"&amp;$O5&amp;"_"&amp;$E5&amp;$R5&amp;"_"&amp;"T"&amp;TEXT($P5,"0")&amp;IF($Q5&lt;&gt;"","_"&amp;$Q5,""),"")</f>
        <v>e_TS-101_TS.NT.EG_T300</v>
      </c>
    </row>
    <row r="6" spans="1:19" x14ac:dyDescent="0.25">
      <c r="A6" s="11" t="s">
        <v>705</v>
      </c>
      <c r="B6" s="12" t="s">
        <v>80</v>
      </c>
      <c r="C6" s="13" t="str">
        <f t="shared" si="0"/>
        <v>e</v>
      </c>
      <c r="D6" s="14"/>
      <c r="E6" s="13" t="str">
        <f t="shared" si="1"/>
        <v/>
      </c>
      <c r="F6" s="12" t="s">
        <v>651</v>
      </c>
      <c r="G6" s="13" t="str">
        <f t="shared" si="2"/>
        <v>TS</v>
      </c>
      <c r="H6" s="12" t="s">
        <v>656</v>
      </c>
      <c r="I6" s="13" t="str">
        <f t="shared" si="3"/>
        <v>NT</v>
      </c>
      <c r="J6" s="13" t="str">
        <f t="shared" si="4"/>
        <v>1</v>
      </c>
      <c r="K6" s="12" t="s">
        <v>659</v>
      </c>
      <c r="L6" s="13" t="str">
        <f t="shared" si="5"/>
        <v>PG</v>
      </c>
      <c r="M6" s="12">
        <v>2</v>
      </c>
      <c r="N6" s="15"/>
      <c r="O6" s="13" t="str">
        <f t="shared" si="6"/>
        <v>TS-102</v>
      </c>
      <c r="P6" s="12">
        <v>300</v>
      </c>
      <c r="Q6" s="16"/>
      <c r="R6" s="13" t="str">
        <f t="shared" si="7"/>
        <v>TS.NT.PG</v>
      </c>
      <c r="S6" s="17" t="str">
        <f t="shared" si="8"/>
        <v>e_TS-102_TS.NT.PG_T300</v>
      </c>
    </row>
    <row r="7" spans="1:19" x14ac:dyDescent="0.25">
      <c r="A7" s="11" t="s">
        <v>707</v>
      </c>
      <c r="B7" s="12" t="s">
        <v>80</v>
      </c>
      <c r="C7" s="13" t="str">
        <f t="shared" si="0"/>
        <v>e</v>
      </c>
      <c r="D7" s="14"/>
      <c r="E7" s="13" t="str">
        <f t="shared" si="1"/>
        <v/>
      </c>
      <c r="F7" s="12" t="s">
        <v>651</v>
      </c>
      <c r="G7" s="13" t="str">
        <f t="shared" si="2"/>
        <v>TS</v>
      </c>
      <c r="H7" s="12" t="s">
        <v>656</v>
      </c>
      <c r="I7" s="13" t="str">
        <f t="shared" si="3"/>
        <v>NT</v>
      </c>
      <c r="J7" s="13" t="str">
        <f t="shared" si="4"/>
        <v>1</v>
      </c>
      <c r="K7" s="12" t="s">
        <v>664</v>
      </c>
      <c r="L7" s="13" t="str">
        <f t="shared" si="5"/>
        <v>EC</v>
      </c>
      <c r="M7" s="12">
        <v>3</v>
      </c>
      <c r="N7" s="15"/>
      <c r="O7" s="13" t="str">
        <f t="shared" si="6"/>
        <v>TS-103</v>
      </c>
      <c r="P7" s="12">
        <v>500</v>
      </c>
      <c r="Q7" s="16"/>
      <c r="R7" s="13" t="str">
        <f t="shared" si="7"/>
        <v>TS.NT.EC</v>
      </c>
      <c r="S7" s="17" t="str">
        <f t="shared" si="8"/>
        <v>e_TS-103_TS.NT.EC_T500</v>
      </c>
    </row>
    <row r="8" spans="1:19" x14ac:dyDescent="0.25">
      <c r="A8" s="11" t="s">
        <v>709</v>
      </c>
      <c r="B8" s="12" t="s">
        <v>80</v>
      </c>
      <c r="C8" s="13" t="str">
        <f t="shared" si="0"/>
        <v>e</v>
      </c>
      <c r="D8" s="14"/>
      <c r="E8" s="13" t="str">
        <f t="shared" si="1"/>
        <v/>
      </c>
      <c r="F8" s="12" t="s">
        <v>651</v>
      </c>
      <c r="G8" s="13" t="str">
        <f t="shared" si="2"/>
        <v>TS</v>
      </c>
      <c r="H8" s="12" t="s">
        <v>661</v>
      </c>
      <c r="I8" s="13" t="str">
        <f t="shared" si="3"/>
        <v>ST</v>
      </c>
      <c r="J8" s="13" t="str">
        <f t="shared" si="4"/>
        <v>2</v>
      </c>
      <c r="K8" s="12" t="s">
        <v>669</v>
      </c>
      <c r="L8" s="13" t="str">
        <f t="shared" si="5"/>
        <v>LS</v>
      </c>
      <c r="M8" s="12">
        <v>1</v>
      </c>
      <c r="N8" s="15"/>
      <c r="O8" s="13" t="str">
        <f t="shared" si="6"/>
        <v>TS-201</v>
      </c>
      <c r="P8" s="12">
        <v>600</v>
      </c>
      <c r="Q8" s="16" t="s">
        <v>885</v>
      </c>
      <c r="R8" s="13" t="str">
        <f t="shared" si="7"/>
        <v>TS.ST.LS</v>
      </c>
      <c r="S8" s="17" t="str">
        <f t="shared" si="8"/>
        <v>e_TS-201_TS.ST.LS_T600_PlantingBed</v>
      </c>
    </row>
    <row r="9" spans="1:19" x14ac:dyDescent="0.25">
      <c r="A9" s="11" t="s">
        <v>711</v>
      </c>
      <c r="B9" s="12" t="s">
        <v>80</v>
      </c>
      <c r="C9" s="13" t="str">
        <f t="shared" si="0"/>
        <v>e</v>
      </c>
      <c r="D9" s="14"/>
      <c r="E9" s="13" t="str">
        <f t="shared" si="1"/>
        <v/>
      </c>
      <c r="F9" s="12" t="s">
        <v>651</v>
      </c>
      <c r="G9" s="13" t="str">
        <f t="shared" si="2"/>
        <v>TS</v>
      </c>
      <c r="H9" s="12" t="s">
        <v>661</v>
      </c>
      <c r="I9" s="13" t="str">
        <f t="shared" si="3"/>
        <v>ST</v>
      </c>
      <c r="J9" s="13" t="str">
        <f t="shared" si="4"/>
        <v>2</v>
      </c>
      <c r="K9" s="12" t="s">
        <v>659</v>
      </c>
      <c r="L9" s="13" t="str">
        <f t="shared" si="5"/>
        <v>PG</v>
      </c>
      <c r="M9" s="12">
        <v>2</v>
      </c>
      <c r="N9" s="15"/>
      <c r="O9" s="13" t="str">
        <f t="shared" si="6"/>
        <v>TS-202</v>
      </c>
      <c r="P9" s="12">
        <v>450</v>
      </c>
      <c r="Q9" s="16"/>
      <c r="R9" s="13" t="str">
        <f t="shared" si="7"/>
        <v>TS.ST.PG</v>
      </c>
      <c r="S9" s="17" t="str">
        <f t="shared" si="8"/>
        <v>e_TS-202_TS.ST.PG_T450</v>
      </c>
    </row>
    <row r="10" spans="1:19" x14ac:dyDescent="0.25">
      <c r="A10" s="11" t="s">
        <v>712</v>
      </c>
      <c r="B10" s="12" t="s">
        <v>80</v>
      </c>
      <c r="C10" s="13" t="str">
        <f t="shared" si="0"/>
        <v>e</v>
      </c>
      <c r="D10" s="14"/>
      <c r="E10" s="13" t="str">
        <f t="shared" si="1"/>
        <v/>
      </c>
      <c r="F10" s="12" t="s">
        <v>651</v>
      </c>
      <c r="G10" s="13" t="str">
        <f t="shared" si="2"/>
        <v>TS</v>
      </c>
      <c r="H10" s="12" t="s">
        <v>666</v>
      </c>
      <c r="I10" s="13" t="str">
        <f t="shared" si="3"/>
        <v>PA</v>
      </c>
      <c r="J10" s="13" t="str">
        <f t="shared" si="4"/>
        <v>3</v>
      </c>
      <c r="K10" s="12" t="s">
        <v>675</v>
      </c>
      <c r="L10" s="13" t="str">
        <f t="shared" si="5"/>
        <v>PV</v>
      </c>
      <c r="M10" s="12">
        <v>1</v>
      </c>
      <c r="N10" s="15"/>
      <c r="O10" s="13" t="str">
        <f t="shared" si="6"/>
        <v>TS-301</v>
      </c>
      <c r="P10" s="12">
        <v>450</v>
      </c>
      <c r="Q10" s="16" t="s">
        <v>886</v>
      </c>
      <c r="R10" s="13" t="str">
        <f t="shared" si="7"/>
        <v>TS.PA.PV</v>
      </c>
      <c r="S10" s="17" t="str">
        <f t="shared" si="8"/>
        <v>e_TS-301_TS.PA.PV_T450_Road</v>
      </c>
    </row>
    <row r="11" spans="1:19" x14ac:dyDescent="0.25">
      <c r="A11" s="11" t="s">
        <v>713</v>
      </c>
      <c r="B11" s="12" t="s">
        <v>80</v>
      </c>
      <c r="C11" s="13" t="str">
        <f t="shared" si="0"/>
        <v>e</v>
      </c>
      <c r="D11" s="14"/>
      <c r="E11" s="13" t="str">
        <f t="shared" si="1"/>
        <v/>
      </c>
      <c r="F11" s="12" t="s">
        <v>651</v>
      </c>
      <c r="G11" s="13" t="str">
        <f t="shared" si="2"/>
        <v>TS</v>
      </c>
      <c r="H11" s="12" t="s">
        <v>666</v>
      </c>
      <c r="I11" s="13" t="str">
        <f t="shared" si="3"/>
        <v>PA</v>
      </c>
      <c r="J11" s="13" t="str">
        <f t="shared" si="4"/>
        <v>3</v>
      </c>
      <c r="K11" s="12" t="s">
        <v>675</v>
      </c>
      <c r="L11" s="13" t="str">
        <f t="shared" si="5"/>
        <v>PV</v>
      </c>
      <c r="M11" s="12">
        <v>2</v>
      </c>
      <c r="N11" s="15"/>
      <c r="O11" s="13" t="str">
        <f t="shared" si="6"/>
        <v>TS-302</v>
      </c>
      <c r="P11" s="12">
        <v>350</v>
      </c>
      <c r="Q11" s="16" t="s">
        <v>887</v>
      </c>
      <c r="R11" s="13" t="str">
        <f t="shared" si="7"/>
        <v>TS.PA.PV</v>
      </c>
      <c r="S11" s="17" t="str">
        <f t="shared" si="8"/>
        <v>e_TS-302_TS.PA.PV_T350_Square</v>
      </c>
    </row>
    <row r="12" spans="1:19" x14ac:dyDescent="0.25">
      <c r="A12" s="11" t="s">
        <v>715</v>
      </c>
      <c r="B12" s="12" t="s">
        <v>80</v>
      </c>
      <c r="C12" s="13" t="str">
        <f t="shared" si="0"/>
        <v>e</v>
      </c>
      <c r="D12" s="14"/>
      <c r="E12" s="13" t="str">
        <f t="shared" si="1"/>
        <v/>
      </c>
      <c r="F12" s="12" t="s">
        <v>651</v>
      </c>
      <c r="G12" s="13" t="str">
        <f t="shared" si="2"/>
        <v>TS</v>
      </c>
      <c r="H12" s="12" t="s">
        <v>666</v>
      </c>
      <c r="I12" s="13" t="str">
        <f t="shared" si="3"/>
        <v>PA</v>
      </c>
      <c r="J12" s="13" t="str">
        <f t="shared" si="4"/>
        <v>3</v>
      </c>
      <c r="K12" s="12" t="s">
        <v>675</v>
      </c>
      <c r="L12" s="13" t="str">
        <f t="shared" si="5"/>
        <v>PV</v>
      </c>
      <c r="M12" s="12">
        <v>3</v>
      </c>
      <c r="N12" s="15"/>
      <c r="O12" s="13" t="str">
        <f t="shared" si="6"/>
        <v>TS-303</v>
      </c>
      <c r="P12" s="12">
        <v>300</v>
      </c>
      <c r="Q12" s="16" t="s">
        <v>888</v>
      </c>
      <c r="R12" s="13" t="str">
        <f t="shared" si="7"/>
        <v>TS.PA.PV</v>
      </c>
      <c r="S12" s="17" t="str">
        <f t="shared" si="8"/>
        <v>e_TS-303_TS.PA.PV_T300_Footpath</v>
      </c>
    </row>
    <row r="13" spans="1:19" x14ac:dyDescent="0.25">
      <c r="A13" s="11" t="s">
        <v>716</v>
      </c>
      <c r="B13" s="12" t="s">
        <v>80</v>
      </c>
      <c r="C13" s="13" t="str">
        <f t="shared" si="0"/>
        <v>e</v>
      </c>
      <c r="D13" s="14"/>
      <c r="E13" s="13" t="str">
        <f t="shared" si="1"/>
        <v/>
      </c>
      <c r="F13" s="12" t="s">
        <v>651</v>
      </c>
      <c r="G13" s="13" t="str">
        <f t="shared" si="2"/>
        <v>TS</v>
      </c>
      <c r="H13" s="12" t="s">
        <v>672</v>
      </c>
      <c r="I13" s="13" t="str">
        <f t="shared" si="3"/>
        <v>SB</v>
      </c>
      <c r="J13" s="13" t="str">
        <f t="shared" si="4"/>
        <v>4</v>
      </c>
      <c r="K13" s="12" t="s">
        <v>659</v>
      </c>
      <c r="L13" s="13" t="str">
        <f t="shared" si="5"/>
        <v>PG</v>
      </c>
      <c r="M13" s="12">
        <v>1</v>
      </c>
      <c r="N13" s="15"/>
      <c r="O13" s="13" t="str">
        <f t="shared" si="6"/>
        <v>TS-401</v>
      </c>
      <c r="P13" s="12">
        <v>200</v>
      </c>
      <c r="Q13" s="16"/>
      <c r="R13" s="13" t="str">
        <f t="shared" si="7"/>
        <v>TS.SB.PG</v>
      </c>
      <c r="S13" s="17" t="str">
        <f t="shared" si="8"/>
        <v>e_TS-401_TS.SB.PG_T200</v>
      </c>
    </row>
    <row r="14" spans="1:19" x14ac:dyDescent="0.25">
      <c r="A14" s="11" t="s">
        <v>717</v>
      </c>
      <c r="B14" s="12" t="s">
        <v>80</v>
      </c>
      <c r="C14" s="13" t="str">
        <f t="shared" si="0"/>
        <v>e</v>
      </c>
      <c r="D14" s="14"/>
      <c r="E14" s="13" t="str">
        <f t="shared" si="1"/>
        <v/>
      </c>
      <c r="F14" s="12" t="s">
        <v>651</v>
      </c>
      <c r="G14" s="13" t="str">
        <f t="shared" si="2"/>
        <v>TS</v>
      </c>
      <c r="H14" s="12" t="s">
        <v>151</v>
      </c>
      <c r="I14" s="13" t="str">
        <f t="shared" si="3"/>
        <v>GN</v>
      </c>
      <c r="J14" s="13" t="str">
        <f t="shared" si="4"/>
        <v>0</v>
      </c>
      <c r="K14" s="12" t="s">
        <v>653</v>
      </c>
      <c r="L14" s="13" t="str">
        <f t="shared" si="5"/>
        <v>EG</v>
      </c>
      <c r="M14" s="12">
        <v>1</v>
      </c>
      <c r="N14" s="15"/>
      <c r="O14" s="13" t="str">
        <f t="shared" si="6"/>
        <v>TS-001</v>
      </c>
      <c r="P14" s="12">
        <v>300</v>
      </c>
      <c r="Q14" s="16"/>
      <c r="R14" s="13" t="str">
        <f t="shared" si="7"/>
        <v>TS.GN.EG</v>
      </c>
      <c r="S14" s="17" t="str">
        <f t="shared" si="8"/>
        <v>e_TS-001_TS.GN.EG_T300</v>
      </c>
    </row>
    <row r="15" spans="1:19" x14ac:dyDescent="0.25">
      <c r="A15" s="11" t="s">
        <v>719</v>
      </c>
      <c r="B15" s="12" t="s">
        <v>80</v>
      </c>
      <c r="C15" s="13" t="str">
        <f t="shared" si="0"/>
        <v>e</v>
      </c>
      <c r="D15" s="14" t="s">
        <v>84</v>
      </c>
      <c r="E15" s="13" t="str">
        <f t="shared" si="1"/>
        <v>(I)</v>
      </c>
      <c r="F15" s="12" t="s">
        <v>651</v>
      </c>
      <c r="G15" s="13" t="str">
        <f t="shared" si="2"/>
        <v>TS</v>
      </c>
      <c r="H15" s="12" t="s">
        <v>656</v>
      </c>
      <c r="I15" s="13" t="str">
        <f t="shared" si="3"/>
        <v>NT</v>
      </c>
      <c r="J15" s="13" t="str">
        <f t="shared" si="4"/>
        <v>1</v>
      </c>
      <c r="K15" s="12" t="s">
        <v>653</v>
      </c>
      <c r="L15" s="13" t="str">
        <f t="shared" si="5"/>
        <v>EG</v>
      </c>
      <c r="M15" s="12">
        <v>1</v>
      </c>
      <c r="N15" s="15"/>
      <c r="O15" s="13" t="str">
        <f t="shared" si="6"/>
        <v>TS-101</v>
      </c>
      <c r="P15" s="12">
        <v>300</v>
      </c>
      <c r="Q15" s="16"/>
      <c r="R15" s="13" t="str">
        <f t="shared" si="7"/>
        <v>TS.NT.EG</v>
      </c>
      <c r="S15" s="17" t="str">
        <f t="shared" si="8"/>
        <v>e_TS-101_(I)TS.NT.EG_T300</v>
      </c>
    </row>
    <row r="16" spans="1:19" x14ac:dyDescent="0.25">
      <c r="A16" s="19">
        <v>1</v>
      </c>
      <c r="B16" s="20"/>
      <c r="C16" s="21" t="str">
        <f t="shared" si="0"/>
        <v/>
      </c>
      <c r="D16" s="22"/>
      <c r="E16" s="21" t="str">
        <f t="shared" si="1"/>
        <v/>
      </c>
      <c r="F16" s="20"/>
      <c r="G16" s="21" t="str">
        <f t="shared" si="2"/>
        <v/>
      </c>
      <c r="H16" s="20"/>
      <c r="I16" s="21" t="str">
        <f t="shared" si="3"/>
        <v/>
      </c>
      <c r="J16" s="21" t="str">
        <f t="shared" si="4"/>
        <v/>
      </c>
      <c r="K16" s="20"/>
      <c r="L16" s="21" t="str">
        <f t="shared" si="5"/>
        <v/>
      </c>
      <c r="M16" s="20"/>
      <c r="N16" s="23"/>
      <c r="O16" s="21" t="str">
        <f t="shared" si="6"/>
        <v/>
      </c>
      <c r="P16" s="20"/>
      <c r="Q16" s="24"/>
      <c r="R16" s="21" t="str">
        <f t="shared" si="7"/>
        <v/>
      </c>
      <c r="S16" s="25" t="str">
        <f t="shared" si="8"/>
        <v/>
      </c>
    </row>
    <row r="17" spans="1:19" x14ac:dyDescent="0.25">
      <c r="A17" s="19">
        <v>2</v>
      </c>
      <c r="B17" s="20"/>
      <c r="C17" s="21" t="str">
        <f t="shared" si="0"/>
        <v/>
      </c>
      <c r="D17" s="22"/>
      <c r="E17" s="21" t="str">
        <f t="shared" si="1"/>
        <v/>
      </c>
      <c r="F17" s="20"/>
      <c r="G17" s="21" t="str">
        <f t="shared" si="2"/>
        <v/>
      </c>
      <c r="H17" s="20"/>
      <c r="I17" s="21" t="str">
        <f t="shared" si="3"/>
        <v/>
      </c>
      <c r="J17" s="21" t="str">
        <f t="shared" si="4"/>
        <v/>
      </c>
      <c r="K17" s="20"/>
      <c r="L17" s="21" t="str">
        <f t="shared" si="5"/>
        <v/>
      </c>
      <c r="M17" s="20"/>
      <c r="N17" s="23"/>
      <c r="O17" s="21" t="str">
        <f t="shared" si="6"/>
        <v/>
      </c>
      <c r="P17" s="20"/>
      <c r="Q17" s="24"/>
      <c r="R17" s="21" t="str">
        <f t="shared" si="7"/>
        <v/>
      </c>
      <c r="S17" s="25" t="str">
        <f t="shared" si="8"/>
        <v/>
      </c>
    </row>
    <row r="18" spans="1:19" x14ac:dyDescent="0.25">
      <c r="A18" s="19">
        <v>3</v>
      </c>
      <c r="B18" s="20"/>
      <c r="C18" s="21" t="str">
        <f t="shared" si="0"/>
        <v/>
      </c>
      <c r="D18" s="22"/>
      <c r="E18" s="21" t="str">
        <f t="shared" si="1"/>
        <v/>
      </c>
      <c r="F18" s="20"/>
      <c r="G18" s="21" t="str">
        <f t="shared" si="2"/>
        <v/>
      </c>
      <c r="H18" s="20"/>
      <c r="I18" s="21" t="str">
        <f t="shared" si="3"/>
        <v/>
      </c>
      <c r="J18" s="21" t="str">
        <f t="shared" si="4"/>
        <v/>
      </c>
      <c r="K18" s="20"/>
      <c r="L18" s="21" t="str">
        <f t="shared" si="5"/>
        <v/>
      </c>
      <c r="M18" s="20"/>
      <c r="N18" s="23"/>
      <c r="O18" s="21" t="str">
        <f t="shared" si="6"/>
        <v/>
      </c>
      <c r="P18" s="20"/>
      <c r="Q18" s="24"/>
      <c r="R18" s="21" t="str">
        <f t="shared" si="7"/>
        <v/>
      </c>
      <c r="S18" s="25" t="str">
        <f t="shared" si="8"/>
        <v/>
      </c>
    </row>
    <row r="19" spans="1:19" x14ac:dyDescent="0.25">
      <c r="A19" s="19">
        <v>4</v>
      </c>
      <c r="B19" s="20"/>
      <c r="C19" s="21" t="str">
        <f t="shared" si="0"/>
        <v/>
      </c>
      <c r="D19" s="22"/>
      <c r="E19" s="21" t="str">
        <f t="shared" si="1"/>
        <v/>
      </c>
      <c r="F19" s="20"/>
      <c r="G19" s="21" t="str">
        <f t="shared" si="2"/>
        <v/>
      </c>
      <c r="H19" s="20"/>
      <c r="I19" s="21" t="str">
        <f t="shared" si="3"/>
        <v/>
      </c>
      <c r="J19" s="21" t="str">
        <f t="shared" si="4"/>
        <v/>
      </c>
      <c r="K19" s="20"/>
      <c r="L19" s="21" t="str">
        <f t="shared" si="5"/>
        <v/>
      </c>
      <c r="M19" s="20"/>
      <c r="N19" s="23"/>
      <c r="O19" s="21" t="str">
        <f t="shared" si="6"/>
        <v/>
      </c>
      <c r="P19" s="20"/>
      <c r="Q19" s="24"/>
      <c r="R19" s="21" t="str">
        <f t="shared" si="7"/>
        <v/>
      </c>
      <c r="S19" s="25" t="str">
        <f t="shared" si="8"/>
        <v/>
      </c>
    </row>
    <row r="20" spans="1:19" x14ac:dyDescent="0.25">
      <c r="A20" s="19">
        <v>5</v>
      </c>
      <c r="B20" s="20"/>
      <c r="C20" s="21" t="str">
        <f t="shared" si="0"/>
        <v/>
      </c>
      <c r="D20" s="22"/>
      <c r="E20" s="21" t="str">
        <f t="shared" si="1"/>
        <v/>
      </c>
      <c r="F20" s="20"/>
      <c r="G20" s="21" t="str">
        <f t="shared" si="2"/>
        <v/>
      </c>
      <c r="H20" s="20"/>
      <c r="I20" s="21" t="str">
        <f t="shared" si="3"/>
        <v/>
      </c>
      <c r="J20" s="21" t="str">
        <f t="shared" si="4"/>
        <v/>
      </c>
      <c r="K20" s="20"/>
      <c r="L20" s="21" t="str">
        <f t="shared" si="5"/>
        <v/>
      </c>
      <c r="M20" s="20"/>
      <c r="N20" s="23"/>
      <c r="O20" s="21" t="str">
        <f t="shared" si="6"/>
        <v/>
      </c>
      <c r="P20" s="20"/>
      <c r="Q20" s="24"/>
      <c r="R20" s="21" t="str">
        <f t="shared" si="7"/>
        <v/>
      </c>
      <c r="S20" s="25" t="str">
        <f t="shared" si="8"/>
        <v/>
      </c>
    </row>
    <row r="21" spans="1:19" x14ac:dyDescent="0.25">
      <c r="A21" s="19">
        <v>6</v>
      </c>
      <c r="B21" s="20"/>
      <c r="C21" s="21" t="str">
        <f t="shared" si="0"/>
        <v/>
      </c>
      <c r="D21" s="22"/>
      <c r="E21" s="21" t="str">
        <f t="shared" si="1"/>
        <v/>
      </c>
      <c r="F21" s="20"/>
      <c r="G21" s="21" t="str">
        <f t="shared" si="2"/>
        <v/>
      </c>
      <c r="H21" s="20"/>
      <c r="I21" s="21" t="str">
        <f t="shared" si="3"/>
        <v/>
      </c>
      <c r="J21" s="21" t="str">
        <f t="shared" si="4"/>
        <v/>
      </c>
      <c r="K21" s="20"/>
      <c r="L21" s="21" t="str">
        <f t="shared" si="5"/>
        <v/>
      </c>
      <c r="M21" s="20"/>
      <c r="N21" s="23"/>
      <c r="O21" s="21" t="str">
        <f t="shared" si="6"/>
        <v/>
      </c>
      <c r="P21" s="20"/>
      <c r="Q21" s="24"/>
      <c r="R21" s="21" t="str">
        <f t="shared" si="7"/>
        <v/>
      </c>
      <c r="S21" s="25" t="str">
        <f t="shared" si="8"/>
        <v/>
      </c>
    </row>
    <row r="22" spans="1:19" x14ac:dyDescent="0.25">
      <c r="A22" s="19">
        <v>7</v>
      </c>
      <c r="B22" s="20"/>
      <c r="C22" s="21" t="str">
        <f t="shared" si="0"/>
        <v/>
      </c>
      <c r="D22" s="22"/>
      <c r="E22" s="21" t="str">
        <f t="shared" si="1"/>
        <v/>
      </c>
      <c r="F22" s="20"/>
      <c r="G22" s="21" t="str">
        <f t="shared" si="2"/>
        <v/>
      </c>
      <c r="H22" s="20"/>
      <c r="I22" s="21" t="str">
        <f t="shared" si="3"/>
        <v/>
      </c>
      <c r="J22" s="21" t="str">
        <f t="shared" si="4"/>
        <v/>
      </c>
      <c r="K22" s="20"/>
      <c r="L22" s="21" t="str">
        <f t="shared" si="5"/>
        <v/>
      </c>
      <c r="M22" s="20"/>
      <c r="N22" s="23"/>
      <c r="O22" s="21" t="str">
        <f t="shared" si="6"/>
        <v/>
      </c>
      <c r="P22" s="20"/>
      <c r="Q22" s="24"/>
      <c r="R22" s="21" t="str">
        <f t="shared" si="7"/>
        <v/>
      </c>
      <c r="S22" s="25" t="str">
        <f t="shared" si="8"/>
        <v/>
      </c>
    </row>
    <row r="23" spans="1:19" x14ac:dyDescent="0.25">
      <c r="A23" s="19">
        <v>8</v>
      </c>
      <c r="B23" s="20"/>
      <c r="C23" s="21" t="str">
        <f t="shared" si="0"/>
        <v/>
      </c>
      <c r="D23" s="22"/>
      <c r="E23" s="21" t="str">
        <f t="shared" si="1"/>
        <v/>
      </c>
      <c r="F23" s="20"/>
      <c r="G23" s="21" t="str">
        <f t="shared" si="2"/>
        <v/>
      </c>
      <c r="H23" s="20"/>
      <c r="I23" s="21" t="str">
        <f t="shared" si="3"/>
        <v/>
      </c>
      <c r="J23" s="21" t="str">
        <f t="shared" si="4"/>
        <v/>
      </c>
      <c r="K23" s="20"/>
      <c r="L23" s="21" t="str">
        <f t="shared" si="5"/>
        <v/>
      </c>
      <c r="M23" s="20"/>
      <c r="N23" s="23"/>
      <c r="O23" s="21" t="str">
        <f t="shared" si="6"/>
        <v/>
      </c>
      <c r="P23" s="20"/>
      <c r="Q23" s="24"/>
      <c r="R23" s="21" t="str">
        <f t="shared" si="7"/>
        <v/>
      </c>
      <c r="S23" s="25" t="str">
        <f t="shared" si="8"/>
        <v/>
      </c>
    </row>
    <row r="24" spans="1:19" x14ac:dyDescent="0.25">
      <c r="A24" s="19">
        <v>9</v>
      </c>
      <c r="B24" s="20"/>
      <c r="C24" s="21" t="str">
        <f t="shared" si="0"/>
        <v/>
      </c>
      <c r="D24" s="22"/>
      <c r="E24" s="21" t="str">
        <f t="shared" si="1"/>
        <v/>
      </c>
      <c r="F24" s="20"/>
      <c r="G24" s="21" t="str">
        <f t="shared" si="2"/>
        <v/>
      </c>
      <c r="H24" s="20"/>
      <c r="I24" s="21" t="str">
        <f t="shared" si="3"/>
        <v/>
      </c>
      <c r="J24" s="21" t="str">
        <f t="shared" si="4"/>
        <v/>
      </c>
      <c r="K24" s="20"/>
      <c r="L24" s="21" t="str">
        <f t="shared" si="5"/>
        <v/>
      </c>
      <c r="M24" s="20"/>
      <c r="N24" s="23"/>
      <c r="O24" s="21" t="str">
        <f t="shared" si="6"/>
        <v/>
      </c>
      <c r="P24" s="20"/>
      <c r="Q24" s="24"/>
      <c r="R24" s="21" t="str">
        <f t="shared" si="7"/>
        <v/>
      </c>
      <c r="S24" s="25" t="str">
        <f t="shared" si="8"/>
        <v/>
      </c>
    </row>
    <row r="25" spans="1:19" x14ac:dyDescent="0.25">
      <c r="A25" s="19">
        <v>10</v>
      </c>
      <c r="B25" s="20"/>
      <c r="C25" s="21" t="str">
        <f t="shared" si="0"/>
        <v/>
      </c>
      <c r="D25" s="22"/>
      <c r="E25" s="21" t="str">
        <f t="shared" si="1"/>
        <v/>
      </c>
      <c r="F25" s="20"/>
      <c r="G25" s="21" t="str">
        <f t="shared" si="2"/>
        <v/>
      </c>
      <c r="H25" s="20"/>
      <c r="I25" s="21" t="str">
        <f t="shared" si="3"/>
        <v/>
      </c>
      <c r="J25" s="21" t="str">
        <f t="shared" si="4"/>
        <v/>
      </c>
      <c r="K25" s="20"/>
      <c r="L25" s="21" t="str">
        <f t="shared" si="5"/>
        <v/>
      </c>
      <c r="M25" s="20"/>
      <c r="N25" s="23"/>
      <c r="O25" s="21" t="str">
        <f t="shared" si="6"/>
        <v/>
      </c>
      <c r="P25" s="20"/>
      <c r="Q25" s="24"/>
      <c r="R25" s="21" t="str">
        <f t="shared" si="7"/>
        <v/>
      </c>
      <c r="S25" s="25" t="str">
        <f t="shared" si="8"/>
        <v/>
      </c>
    </row>
    <row r="26" spans="1:19" x14ac:dyDescent="0.25">
      <c r="A26" s="19">
        <v>11</v>
      </c>
      <c r="B26" s="20"/>
      <c r="C26" s="21" t="str">
        <f t="shared" si="0"/>
        <v/>
      </c>
      <c r="D26" s="22"/>
      <c r="E26" s="21" t="str">
        <f t="shared" si="1"/>
        <v/>
      </c>
      <c r="F26" s="20"/>
      <c r="G26" s="21" t="str">
        <f t="shared" si="2"/>
        <v/>
      </c>
      <c r="H26" s="20"/>
      <c r="I26" s="21" t="str">
        <f t="shared" si="3"/>
        <v/>
      </c>
      <c r="J26" s="21" t="str">
        <f t="shared" si="4"/>
        <v/>
      </c>
      <c r="K26" s="20"/>
      <c r="L26" s="21" t="str">
        <f t="shared" si="5"/>
        <v/>
      </c>
      <c r="M26" s="20"/>
      <c r="N26" s="23"/>
      <c r="O26" s="21" t="str">
        <f t="shared" si="6"/>
        <v/>
      </c>
      <c r="P26" s="20"/>
      <c r="Q26" s="24"/>
      <c r="R26" s="21" t="str">
        <f t="shared" si="7"/>
        <v/>
      </c>
      <c r="S26" s="25" t="str">
        <f t="shared" si="8"/>
        <v/>
      </c>
    </row>
    <row r="27" spans="1:19" x14ac:dyDescent="0.25">
      <c r="A27" s="19">
        <v>12</v>
      </c>
      <c r="B27" s="20"/>
      <c r="C27" s="21" t="str">
        <f t="shared" si="0"/>
        <v/>
      </c>
      <c r="D27" s="22"/>
      <c r="E27" s="21" t="str">
        <f t="shared" si="1"/>
        <v/>
      </c>
      <c r="F27" s="20"/>
      <c r="G27" s="21" t="str">
        <f t="shared" si="2"/>
        <v/>
      </c>
      <c r="H27" s="20"/>
      <c r="I27" s="21" t="str">
        <f t="shared" si="3"/>
        <v/>
      </c>
      <c r="J27" s="21" t="str">
        <f t="shared" si="4"/>
        <v/>
      </c>
      <c r="K27" s="20"/>
      <c r="L27" s="21" t="str">
        <f t="shared" si="5"/>
        <v/>
      </c>
      <c r="M27" s="20"/>
      <c r="N27" s="23"/>
      <c r="O27" s="21" t="str">
        <f t="shared" si="6"/>
        <v/>
      </c>
      <c r="P27" s="20"/>
      <c r="Q27" s="24"/>
      <c r="R27" s="21" t="str">
        <f t="shared" si="7"/>
        <v/>
      </c>
      <c r="S27" s="25" t="str">
        <f t="shared" si="8"/>
        <v/>
      </c>
    </row>
    <row r="28" spans="1:19" x14ac:dyDescent="0.25">
      <c r="A28" s="19">
        <v>13</v>
      </c>
      <c r="B28" s="20"/>
      <c r="C28" s="21" t="str">
        <f t="shared" si="0"/>
        <v/>
      </c>
      <c r="D28" s="22"/>
      <c r="E28" s="21" t="str">
        <f t="shared" si="1"/>
        <v/>
      </c>
      <c r="F28" s="20"/>
      <c r="G28" s="21" t="str">
        <f t="shared" si="2"/>
        <v/>
      </c>
      <c r="H28" s="20"/>
      <c r="I28" s="21" t="str">
        <f t="shared" si="3"/>
        <v/>
      </c>
      <c r="J28" s="21" t="str">
        <f t="shared" si="4"/>
        <v/>
      </c>
      <c r="K28" s="20"/>
      <c r="L28" s="21" t="str">
        <f t="shared" si="5"/>
        <v/>
      </c>
      <c r="M28" s="20"/>
      <c r="N28" s="23"/>
      <c r="O28" s="21" t="str">
        <f t="shared" si="6"/>
        <v/>
      </c>
      <c r="P28" s="20"/>
      <c r="Q28" s="24"/>
      <c r="R28" s="21" t="str">
        <f t="shared" si="7"/>
        <v/>
      </c>
      <c r="S28" s="25" t="str">
        <f t="shared" si="8"/>
        <v/>
      </c>
    </row>
    <row r="29" spans="1:19" x14ac:dyDescent="0.25">
      <c r="A29" s="19">
        <v>14</v>
      </c>
      <c r="B29" s="20"/>
      <c r="C29" s="21" t="str">
        <f t="shared" si="0"/>
        <v/>
      </c>
      <c r="D29" s="22"/>
      <c r="E29" s="21" t="str">
        <f t="shared" si="1"/>
        <v/>
      </c>
      <c r="F29" s="20"/>
      <c r="G29" s="21" t="str">
        <f t="shared" si="2"/>
        <v/>
      </c>
      <c r="H29" s="20"/>
      <c r="I29" s="21" t="str">
        <f t="shared" si="3"/>
        <v/>
      </c>
      <c r="J29" s="21" t="str">
        <f t="shared" si="4"/>
        <v/>
      </c>
      <c r="K29" s="20"/>
      <c r="L29" s="21" t="str">
        <f t="shared" si="5"/>
        <v/>
      </c>
      <c r="M29" s="20"/>
      <c r="N29" s="23"/>
      <c r="O29" s="21" t="str">
        <f t="shared" si="6"/>
        <v/>
      </c>
      <c r="P29" s="20"/>
      <c r="Q29" s="24"/>
      <c r="R29" s="21" t="str">
        <f t="shared" si="7"/>
        <v/>
      </c>
      <c r="S29" s="25" t="str">
        <f t="shared" si="8"/>
        <v/>
      </c>
    </row>
    <row r="30" spans="1:19" x14ac:dyDescent="0.25">
      <c r="A30" s="19">
        <v>15</v>
      </c>
      <c r="B30" s="20"/>
      <c r="C30" s="21" t="str">
        <f t="shared" si="0"/>
        <v/>
      </c>
      <c r="D30" s="22"/>
      <c r="E30" s="21" t="str">
        <f t="shared" si="1"/>
        <v/>
      </c>
      <c r="F30" s="20"/>
      <c r="G30" s="21" t="str">
        <f t="shared" si="2"/>
        <v/>
      </c>
      <c r="H30" s="20"/>
      <c r="I30" s="21" t="str">
        <f t="shared" si="3"/>
        <v/>
      </c>
      <c r="J30" s="21" t="str">
        <f t="shared" si="4"/>
        <v/>
      </c>
      <c r="K30" s="20"/>
      <c r="L30" s="21" t="str">
        <f t="shared" si="5"/>
        <v/>
      </c>
      <c r="M30" s="20"/>
      <c r="N30" s="23"/>
      <c r="O30" s="21" t="str">
        <f t="shared" si="6"/>
        <v/>
      </c>
      <c r="P30" s="20"/>
      <c r="Q30" s="24"/>
      <c r="R30" s="21" t="str">
        <f t="shared" si="7"/>
        <v/>
      </c>
      <c r="S30" s="25" t="str">
        <f t="shared" si="8"/>
        <v/>
      </c>
    </row>
    <row r="33" spans="1:19" ht="21.95" customHeight="1" x14ac:dyDescent="0.25">
      <c r="A33" s="38" t="s">
        <v>889</v>
      </c>
      <c r="B33" s="39"/>
      <c r="C33" s="39"/>
      <c r="D33" s="39"/>
      <c r="E33" s="39"/>
      <c r="F33" s="39"/>
      <c r="G33" s="39"/>
      <c r="H33" s="39"/>
      <c r="I33" s="39"/>
      <c r="J33" s="39"/>
      <c r="K33" s="39"/>
      <c r="L33" s="39"/>
      <c r="M33" s="39"/>
      <c r="N33" s="39"/>
      <c r="O33" s="39"/>
      <c r="P33" s="39"/>
      <c r="Q33" s="39"/>
      <c r="R33" s="39"/>
      <c r="S33" s="39"/>
    </row>
    <row r="34" spans="1:19" ht="15.95" customHeight="1" x14ac:dyDescent="0.25">
      <c r="A34" s="40" t="s">
        <v>778</v>
      </c>
      <c r="B34" s="31"/>
      <c r="C34" s="31"/>
      <c r="D34" s="31"/>
      <c r="E34" s="31"/>
      <c r="F34" s="31"/>
      <c r="G34" s="31"/>
      <c r="H34" s="31"/>
      <c r="I34" s="31"/>
      <c r="J34" s="31"/>
      <c r="K34" s="31"/>
      <c r="L34" s="31"/>
      <c r="M34" s="31"/>
      <c r="N34" s="31"/>
      <c r="O34" s="31"/>
      <c r="P34" s="31"/>
      <c r="Q34" s="31"/>
      <c r="R34" s="31"/>
      <c r="S34" s="31"/>
    </row>
    <row r="36" spans="1:19" ht="18" customHeight="1" x14ac:dyDescent="0.25">
      <c r="A36" s="36" t="s">
        <v>890</v>
      </c>
      <c r="B36" s="31"/>
      <c r="C36" s="31"/>
      <c r="D36" s="31"/>
      <c r="E36" s="31"/>
      <c r="F36" s="31"/>
      <c r="G36" s="31"/>
      <c r="H36" s="31"/>
      <c r="I36" s="31"/>
      <c r="J36" s="31"/>
      <c r="K36" s="31"/>
      <c r="L36" s="31"/>
      <c r="M36" s="31"/>
      <c r="N36" s="31"/>
      <c r="O36" s="31"/>
      <c r="P36" s="31"/>
      <c r="Q36" s="31"/>
      <c r="R36" s="31"/>
      <c r="S36" s="31"/>
    </row>
    <row r="37" spans="1:19" ht="21" customHeight="1" x14ac:dyDescent="0.25">
      <c r="A37" s="37" t="s">
        <v>891</v>
      </c>
      <c r="B37" s="31"/>
      <c r="C37" s="31"/>
      <c r="D37" s="31"/>
      <c r="E37" s="31"/>
      <c r="F37" s="31"/>
      <c r="G37" s="31"/>
      <c r="H37" s="31"/>
      <c r="I37" s="31"/>
      <c r="J37" s="31"/>
      <c r="K37" s="31"/>
      <c r="L37" s="31"/>
      <c r="M37" s="31"/>
      <c r="N37" s="31"/>
      <c r="O37" s="31"/>
      <c r="P37" s="31"/>
      <c r="Q37" s="31"/>
      <c r="R37" s="31"/>
      <c r="S37" s="31"/>
    </row>
    <row r="38" spans="1:19" ht="6" customHeight="1" x14ac:dyDescent="0.25"/>
    <row r="39" spans="1:19" ht="18" customHeight="1" x14ac:dyDescent="0.25">
      <c r="A39" s="36" t="s">
        <v>892</v>
      </c>
      <c r="B39" s="31"/>
      <c r="C39" s="31"/>
      <c r="D39" s="31"/>
      <c r="E39" s="31"/>
      <c r="F39" s="31"/>
      <c r="G39" s="31"/>
      <c r="H39" s="31"/>
      <c r="I39" s="31"/>
      <c r="J39" s="31"/>
      <c r="K39" s="31"/>
      <c r="L39" s="31"/>
      <c r="M39" s="31"/>
      <c r="N39" s="31"/>
      <c r="O39" s="31"/>
      <c r="P39" s="31"/>
      <c r="Q39" s="31"/>
      <c r="R39" s="31"/>
      <c r="S39" s="31"/>
    </row>
    <row r="40" spans="1:19" ht="21" customHeight="1" x14ac:dyDescent="0.25">
      <c r="A40" s="37" t="s">
        <v>893</v>
      </c>
      <c r="B40" s="31"/>
      <c r="C40" s="31"/>
      <c r="D40" s="31"/>
      <c r="E40" s="31"/>
      <c r="F40" s="31"/>
      <c r="G40" s="31"/>
      <c r="H40" s="31"/>
      <c r="I40" s="31"/>
      <c r="J40" s="31"/>
      <c r="K40" s="31"/>
      <c r="L40" s="31"/>
      <c r="M40" s="31"/>
      <c r="N40" s="31"/>
      <c r="O40" s="31"/>
      <c r="P40" s="31"/>
      <c r="Q40" s="31"/>
      <c r="R40" s="31"/>
      <c r="S40" s="31"/>
    </row>
    <row r="41" spans="1:19" ht="6" customHeight="1" x14ac:dyDescent="0.25"/>
    <row r="42" spans="1:19" ht="18" customHeight="1" x14ac:dyDescent="0.25">
      <c r="A42" s="36" t="s">
        <v>728</v>
      </c>
      <c r="B42" s="31"/>
      <c r="C42" s="31"/>
      <c r="D42" s="31"/>
      <c r="E42" s="31"/>
      <c r="F42" s="31"/>
      <c r="G42" s="31"/>
      <c r="H42" s="31"/>
      <c r="I42" s="31"/>
      <c r="J42" s="31"/>
      <c r="K42" s="31"/>
      <c r="L42" s="31"/>
      <c r="M42" s="31"/>
      <c r="N42" s="31"/>
      <c r="O42" s="31"/>
      <c r="P42" s="31"/>
      <c r="Q42" s="31"/>
      <c r="R42" s="31"/>
      <c r="S42" s="31"/>
    </row>
    <row r="43" spans="1:19" ht="51" customHeight="1" x14ac:dyDescent="0.25">
      <c r="A43" s="37" t="s">
        <v>729</v>
      </c>
      <c r="B43" s="31"/>
      <c r="C43" s="31"/>
      <c r="D43" s="31"/>
      <c r="E43" s="31"/>
      <c r="F43" s="31"/>
      <c r="G43" s="31"/>
      <c r="H43" s="31"/>
      <c r="I43" s="31"/>
      <c r="J43" s="31"/>
      <c r="K43" s="31"/>
      <c r="L43" s="31"/>
      <c r="M43" s="31"/>
      <c r="N43" s="31"/>
      <c r="O43" s="31"/>
      <c r="P43" s="31"/>
      <c r="Q43" s="31"/>
      <c r="R43" s="31"/>
      <c r="S43" s="31"/>
    </row>
    <row r="44" spans="1:19" ht="6" customHeight="1" x14ac:dyDescent="0.25"/>
    <row r="47" spans="1:19" ht="21.95" customHeight="1" x14ac:dyDescent="0.25">
      <c r="A47" s="38" t="s">
        <v>730</v>
      </c>
      <c r="B47" s="39"/>
      <c r="C47" s="39"/>
      <c r="D47" s="39"/>
      <c r="E47" s="39"/>
      <c r="F47" s="39"/>
      <c r="G47" s="39"/>
      <c r="H47" s="39"/>
      <c r="I47" s="39"/>
      <c r="J47" s="39"/>
      <c r="K47" s="39"/>
      <c r="L47" s="39"/>
      <c r="M47" s="39"/>
      <c r="N47" s="39"/>
      <c r="O47" s="39"/>
      <c r="P47" s="39"/>
      <c r="Q47" s="39"/>
      <c r="R47" s="39"/>
      <c r="S47" s="39"/>
    </row>
    <row r="49" spans="1:19" ht="18" customHeight="1" x14ac:dyDescent="0.25">
      <c r="A49" s="36" t="s">
        <v>70</v>
      </c>
      <c r="B49" s="31"/>
      <c r="C49" s="31"/>
      <c r="D49" s="31"/>
      <c r="E49" s="31"/>
      <c r="F49" s="31"/>
      <c r="G49" s="31"/>
      <c r="H49" s="31"/>
      <c r="I49" s="31"/>
      <c r="J49" s="31"/>
      <c r="K49" s="31"/>
      <c r="L49" s="31"/>
      <c r="M49" s="31"/>
      <c r="N49" s="31"/>
      <c r="O49" s="31"/>
      <c r="P49" s="31"/>
      <c r="Q49" s="31"/>
      <c r="R49" s="31"/>
      <c r="S49" s="31"/>
    </row>
    <row r="50" spans="1:19" ht="21" customHeight="1" x14ac:dyDescent="0.25">
      <c r="A50" s="37" t="s">
        <v>731</v>
      </c>
      <c r="B50" s="31"/>
      <c r="C50" s="31"/>
      <c r="D50" s="31"/>
      <c r="E50" s="31"/>
      <c r="F50" s="31"/>
      <c r="G50" s="31"/>
      <c r="H50" s="31"/>
      <c r="I50" s="31"/>
      <c r="J50" s="31"/>
      <c r="K50" s="31"/>
      <c r="L50" s="31"/>
      <c r="M50" s="31"/>
      <c r="N50" s="31"/>
      <c r="O50" s="31"/>
      <c r="P50" s="31"/>
      <c r="Q50" s="31"/>
      <c r="R50" s="31"/>
      <c r="S50" s="31"/>
    </row>
    <row r="51" spans="1:19" ht="6" customHeight="1" x14ac:dyDescent="0.25"/>
    <row r="52" spans="1:19" ht="18" customHeight="1" x14ac:dyDescent="0.25">
      <c r="A52" s="36" t="s">
        <v>84</v>
      </c>
      <c r="B52" s="31"/>
      <c r="C52" s="31"/>
      <c r="D52" s="31"/>
      <c r="E52" s="31"/>
      <c r="F52" s="31"/>
      <c r="G52" s="31"/>
      <c r="H52" s="31"/>
      <c r="I52" s="31"/>
      <c r="J52" s="31"/>
      <c r="K52" s="31"/>
      <c r="L52" s="31"/>
      <c r="M52" s="31"/>
      <c r="N52" s="31"/>
      <c r="O52" s="31"/>
      <c r="P52" s="31"/>
      <c r="Q52" s="31"/>
      <c r="R52" s="31"/>
      <c r="S52" s="31"/>
    </row>
    <row r="53" spans="1:19" ht="36" customHeight="1" x14ac:dyDescent="0.25">
      <c r="A53" s="37" t="s">
        <v>732</v>
      </c>
      <c r="B53" s="31"/>
      <c r="C53" s="31"/>
      <c r="D53" s="31"/>
      <c r="E53" s="31"/>
      <c r="F53" s="31"/>
      <c r="G53" s="31"/>
      <c r="H53" s="31"/>
      <c r="I53" s="31"/>
      <c r="J53" s="31"/>
      <c r="K53" s="31"/>
      <c r="L53" s="31"/>
      <c r="M53" s="31"/>
      <c r="N53" s="31"/>
      <c r="O53" s="31"/>
      <c r="P53" s="31"/>
      <c r="Q53" s="31"/>
      <c r="R53" s="31"/>
      <c r="S53" s="31"/>
    </row>
    <row r="54" spans="1:19" ht="6" customHeight="1" x14ac:dyDescent="0.25"/>
    <row r="55" spans="1:19" ht="18" customHeight="1" x14ac:dyDescent="0.25">
      <c r="A55" s="36" t="s">
        <v>684</v>
      </c>
      <c r="B55" s="31"/>
      <c r="C55" s="31"/>
      <c r="D55" s="31"/>
      <c r="E55" s="31"/>
      <c r="F55" s="31"/>
      <c r="G55" s="31"/>
      <c r="H55" s="31"/>
      <c r="I55" s="31"/>
      <c r="J55" s="31"/>
      <c r="K55" s="31"/>
      <c r="L55" s="31"/>
      <c r="M55" s="31"/>
      <c r="N55" s="31"/>
      <c r="O55" s="31"/>
      <c r="P55" s="31"/>
      <c r="Q55" s="31"/>
      <c r="R55" s="31"/>
      <c r="S55" s="31"/>
    </row>
    <row r="56" spans="1:19" ht="21" customHeight="1" x14ac:dyDescent="0.25">
      <c r="A56" s="37" t="s">
        <v>733</v>
      </c>
      <c r="B56" s="31"/>
      <c r="C56" s="31"/>
      <c r="D56" s="31"/>
      <c r="E56" s="31"/>
      <c r="F56" s="31"/>
      <c r="G56" s="31"/>
      <c r="H56" s="31"/>
      <c r="I56" s="31"/>
      <c r="J56" s="31"/>
      <c r="K56" s="31"/>
      <c r="L56" s="31"/>
      <c r="M56" s="31"/>
      <c r="N56" s="31"/>
      <c r="O56" s="31"/>
      <c r="P56" s="31"/>
      <c r="Q56" s="31"/>
      <c r="R56" s="31"/>
      <c r="S56" s="31"/>
    </row>
    <row r="57" spans="1:19" ht="6" customHeight="1" x14ac:dyDescent="0.25"/>
    <row r="58" spans="1:19" ht="18" customHeight="1" x14ac:dyDescent="0.25">
      <c r="A58" s="36" t="s">
        <v>686</v>
      </c>
      <c r="B58" s="31"/>
      <c r="C58" s="31"/>
      <c r="D58" s="31"/>
      <c r="E58" s="31"/>
      <c r="F58" s="31"/>
      <c r="G58" s="31"/>
      <c r="H58" s="31"/>
      <c r="I58" s="31"/>
      <c r="J58" s="31"/>
      <c r="K58" s="31"/>
      <c r="L58" s="31"/>
      <c r="M58" s="31"/>
      <c r="N58" s="31"/>
      <c r="O58" s="31"/>
      <c r="P58" s="31"/>
      <c r="Q58" s="31"/>
      <c r="R58" s="31"/>
      <c r="S58" s="31"/>
    </row>
    <row r="59" spans="1:19" ht="21" customHeight="1" x14ac:dyDescent="0.25">
      <c r="A59" s="37" t="s">
        <v>894</v>
      </c>
      <c r="B59" s="31"/>
      <c r="C59" s="31"/>
      <c r="D59" s="31"/>
      <c r="E59" s="31"/>
      <c r="F59" s="31"/>
      <c r="G59" s="31"/>
      <c r="H59" s="31"/>
      <c r="I59" s="31"/>
      <c r="J59" s="31"/>
      <c r="K59" s="31"/>
      <c r="L59" s="31"/>
      <c r="M59" s="31"/>
      <c r="N59" s="31"/>
      <c r="O59" s="31"/>
      <c r="P59" s="31"/>
      <c r="Q59" s="31"/>
      <c r="R59" s="31"/>
      <c r="S59" s="31"/>
    </row>
    <row r="60" spans="1:19" ht="6" customHeight="1" x14ac:dyDescent="0.25"/>
    <row r="61" spans="1:19" ht="18" customHeight="1" x14ac:dyDescent="0.25">
      <c r="A61" s="36" t="s">
        <v>689</v>
      </c>
      <c r="B61" s="31"/>
      <c r="C61" s="31"/>
      <c r="D61" s="31"/>
      <c r="E61" s="31"/>
      <c r="F61" s="31"/>
      <c r="G61" s="31"/>
      <c r="H61" s="31"/>
      <c r="I61" s="31"/>
      <c r="J61" s="31"/>
      <c r="K61" s="31"/>
      <c r="L61" s="31"/>
      <c r="M61" s="31"/>
      <c r="N61" s="31"/>
      <c r="O61" s="31"/>
      <c r="P61" s="31"/>
      <c r="Q61" s="31"/>
      <c r="R61" s="31"/>
      <c r="S61" s="31"/>
    </row>
    <row r="62" spans="1:19" ht="21" customHeight="1" x14ac:dyDescent="0.25">
      <c r="A62" s="37" t="s">
        <v>895</v>
      </c>
      <c r="B62" s="31"/>
      <c r="C62" s="31"/>
      <c r="D62" s="31"/>
      <c r="E62" s="31"/>
      <c r="F62" s="31"/>
      <c r="G62" s="31"/>
      <c r="H62" s="31"/>
      <c r="I62" s="31"/>
      <c r="J62" s="31"/>
      <c r="K62" s="31"/>
      <c r="L62" s="31"/>
      <c r="M62" s="31"/>
      <c r="N62" s="31"/>
      <c r="O62" s="31"/>
      <c r="P62" s="31"/>
      <c r="Q62" s="31"/>
      <c r="R62" s="31"/>
      <c r="S62" s="31"/>
    </row>
    <row r="63" spans="1:19" ht="6" customHeight="1" x14ac:dyDescent="0.25"/>
    <row r="64" spans="1:19" ht="18" customHeight="1" x14ac:dyDescent="0.25">
      <c r="A64" s="36" t="s">
        <v>692</v>
      </c>
      <c r="B64" s="31"/>
      <c r="C64" s="31"/>
      <c r="D64" s="31"/>
      <c r="E64" s="31"/>
      <c r="F64" s="31"/>
      <c r="G64" s="31"/>
      <c r="H64" s="31"/>
      <c r="I64" s="31"/>
      <c r="J64" s="31"/>
      <c r="K64" s="31"/>
      <c r="L64" s="31"/>
      <c r="M64" s="31"/>
      <c r="N64" s="31"/>
      <c r="O64" s="31"/>
      <c r="P64" s="31"/>
      <c r="Q64" s="31"/>
      <c r="R64" s="31"/>
      <c r="S64" s="31"/>
    </row>
    <row r="65" spans="1:19" ht="21" customHeight="1" x14ac:dyDescent="0.25">
      <c r="A65" s="37" t="s">
        <v>737</v>
      </c>
      <c r="B65" s="31"/>
      <c r="C65" s="31"/>
      <c r="D65" s="31"/>
      <c r="E65" s="31"/>
      <c r="F65" s="31"/>
      <c r="G65" s="31"/>
      <c r="H65" s="31"/>
      <c r="I65" s="31"/>
      <c r="J65" s="31"/>
      <c r="K65" s="31"/>
      <c r="L65" s="31"/>
      <c r="M65" s="31"/>
      <c r="N65" s="31"/>
      <c r="O65" s="31"/>
      <c r="P65" s="31"/>
      <c r="Q65" s="31"/>
      <c r="R65" s="31"/>
      <c r="S65" s="31"/>
    </row>
    <row r="66" spans="1:19" ht="6" customHeight="1" x14ac:dyDescent="0.25"/>
    <row r="67" spans="1:19" ht="18" customHeight="1" x14ac:dyDescent="0.25">
      <c r="A67" s="36" t="s">
        <v>693</v>
      </c>
      <c r="B67" s="31"/>
      <c r="C67" s="31"/>
      <c r="D67" s="31"/>
      <c r="E67" s="31"/>
      <c r="F67" s="31"/>
      <c r="G67" s="31"/>
      <c r="H67" s="31"/>
      <c r="I67" s="31"/>
      <c r="J67" s="31"/>
      <c r="K67" s="31"/>
      <c r="L67" s="31"/>
      <c r="M67" s="31"/>
      <c r="N67" s="31"/>
      <c r="O67" s="31"/>
      <c r="P67" s="31"/>
      <c r="Q67" s="31"/>
      <c r="R67" s="31"/>
      <c r="S67" s="31"/>
    </row>
    <row r="68" spans="1:19" ht="21" customHeight="1" x14ac:dyDescent="0.25">
      <c r="A68" s="37" t="s">
        <v>738</v>
      </c>
      <c r="B68" s="31"/>
      <c r="C68" s="31"/>
      <c r="D68" s="31"/>
      <c r="E68" s="31"/>
      <c r="F68" s="31"/>
      <c r="G68" s="31"/>
      <c r="H68" s="31"/>
      <c r="I68" s="31"/>
      <c r="J68" s="31"/>
      <c r="K68" s="31"/>
      <c r="L68" s="31"/>
      <c r="M68" s="31"/>
      <c r="N68" s="31"/>
      <c r="O68" s="31"/>
      <c r="P68" s="31"/>
      <c r="Q68" s="31"/>
      <c r="R68" s="31"/>
      <c r="S68" s="31"/>
    </row>
    <row r="69" spans="1:19" ht="6" customHeight="1" x14ac:dyDescent="0.25"/>
    <row r="70" spans="1:19" ht="18" customHeight="1" x14ac:dyDescent="0.25">
      <c r="A70" s="36" t="s">
        <v>695</v>
      </c>
      <c r="B70" s="31"/>
      <c r="C70" s="31"/>
      <c r="D70" s="31"/>
      <c r="E70" s="31"/>
      <c r="F70" s="31"/>
      <c r="G70" s="31"/>
      <c r="H70" s="31"/>
      <c r="I70" s="31"/>
      <c r="J70" s="31"/>
      <c r="K70" s="31"/>
      <c r="L70" s="31"/>
      <c r="M70" s="31"/>
      <c r="N70" s="31"/>
      <c r="O70" s="31"/>
      <c r="P70" s="31"/>
      <c r="Q70" s="31"/>
      <c r="R70" s="31"/>
      <c r="S70" s="31"/>
    </row>
    <row r="71" spans="1:19" ht="21" customHeight="1" x14ac:dyDescent="0.25">
      <c r="A71" s="37" t="s">
        <v>739</v>
      </c>
      <c r="B71" s="31"/>
      <c r="C71" s="31"/>
      <c r="D71" s="31"/>
      <c r="E71" s="31"/>
      <c r="F71" s="31"/>
      <c r="G71" s="31"/>
      <c r="H71" s="31"/>
      <c r="I71" s="31"/>
      <c r="J71" s="31"/>
      <c r="K71" s="31"/>
      <c r="L71" s="31"/>
      <c r="M71" s="31"/>
      <c r="N71" s="31"/>
      <c r="O71" s="31"/>
      <c r="P71" s="31"/>
      <c r="Q71" s="31"/>
      <c r="R71" s="31"/>
      <c r="S71" s="31"/>
    </row>
    <row r="72" spans="1:19" ht="6" customHeight="1" x14ac:dyDescent="0.25"/>
    <row r="73" spans="1:19" ht="18" customHeight="1" x14ac:dyDescent="0.25">
      <c r="A73" s="36" t="s">
        <v>699</v>
      </c>
      <c r="B73" s="31"/>
      <c r="C73" s="31"/>
      <c r="D73" s="31"/>
      <c r="E73" s="31"/>
      <c r="F73" s="31"/>
      <c r="G73" s="31"/>
      <c r="H73" s="31"/>
      <c r="I73" s="31"/>
      <c r="J73" s="31"/>
      <c r="K73" s="31"/>
      <c r="L73" s="31"/>
      <c r="M73" s="31"/>
      <c r="N73" s="31"/>
      <c r="O73" s="31"/>
      <c r="P73" s="31"/>
      <c r="Q73" s="31"/>
      <c r="R73" s="31"/>
      <c r="S73" s="31"/>
    </row>
    <row r="74" spans="1:19" ht="36" customHeight="1" x14ac:dyDescent="0.25">
      <c r="A74" s="37" t="s">
        <v>743</v>
      </c>
      <c r="B74" s="31"/>
      <c r="C74" s="31"/>
      <c r="D74" s="31"/>
      <c r="E74" s="31"/>
      <c r="F74" s="31"/>
      <c r="G74" s="31"/>
      <c r="H74" s="31"/>
      <c r="I74" s="31"/>
      <c r="J74" s="31"/>
      <c r="K74" s="31"/>
      <c r="L74" s="31"/>
      <c r="M74" s="31"/>
      <c r="N74" s="31"/>
      <c r="O74" s="31"/>
      <c r="P74" s="31"/>
      <c r="Q74" s="31"/>
      <c r="R74" s="31"/>
      <c r="S74" s="31"/>
    </row>
    <row r="75" spans="1:19" ht="6" customHeight="1" x14ac:dyDescent="0.25"/>
    <row r="78" spans="1:19" x14ac:dyDescent="0.25">
      <c r="A78" s="40" t="s">
        <v>744</v>
      </c>
      <c r="B78" s="31"/>
      <c r="C78" s="31"/>
      <c r="D78" s="31"/>
      <c r="E78" s="31"/>
      <c r="F78" s="31"/>
      <c r="G78" s="31"/>
      <c r="H78" s="31"/>
      <c r="I78" s="31"/>
      <c r="J78" s="31"/>
      <c r="K78" s="31"/>
      <c r="L78" s="31"/>
      <c r="M78" s="31"/>
      <c r="N78" s="31"/>
      <c r="O78" s="31"/>
      <c r="P78" s="31"/>
      <c r="Q78" s="31"/>
      <c r="R78" s="31"/>
      <c r="S78" s="31"/>
    </row>
  </sheetData>
  <mergeCells count="28">
    <mergeCell ref="A78:S78"/>
    <mergeCell ref="A65:S65"/>
    <mergeCell ref="A37:S37"/>
    <mergeCell ref="A74:S74"/>
    <mergeCell ref="A56:S56"/>
    <mergeCell ref="A55:S55"/>
    <mergeCell ref="A50:S50"/>
    <mergeCell ref="A73:S73"/>
    <mergeCell ref="A64:S64"/>
    <mergeCell ref="A49:S49"/>
    <mergeCell ref="A36:S36"/>
    <mergeCell ref="A61:S61"/>
    <mergeCell ref="A70:S70"/>
    <mergeCell ref="A42:S42"/>
    <mergeCell ref="A33:S33"/>
    <mergeCell ref="A71:S71"/>
    <mergeCell ref="A47:S47"/>
    <mergeCell ref="A53:S53"/>
    <mergeCell ref="A62:S62"/>
    <mergeCell ref="A52:S52"/>
    <mergeCell ref="A43:S43"/>
    <mergeCell ref="A68:S68"/>
    <mergeCell ref="A58:S58"/>
    <mergeCell ref="A40:S40"/>
    <mergeCell ref="A67:S67"/>
    <mergeCell ref="A39:S39"/>
    <mergeCell ref="A34:S34"/>
    <mergeCell ref="A59:S59"/>
  </mergeCells>
  <dataValidations count="9">
    <dataValidation type="list" allowBlank="1" errorTitle="Valore non valido" error="Seleziona dalla lista." promptTitle="Author" prompt="Autore della codifica." sqref="B5:B30" xr:uid="{00000000-0002-0000-0F00-000000000000}">
      <formula1>Author_Name</formula1>
    </dataValidation>
    <dataValidation type="list" allowBlank="1" errorTitle="Valore non valido" error="Seleziona dalla lista, oppure lascia vuoto." promptTitle="In Place" sqref="D5:D30" xr:uid="{00000000-0002-0000-0F00-000001000000}">
      <formula1>InPl_Name</formula1>
    </dataValidation>
    <dataValidation type="list" allowBlank="1" errorTitle="Valore non valido" error="Seleziona dalla lista." promptTitle="Famiglia di sistema" prompt="Famiglia di sistema Revit." sqref="F5:F30" xr:uid="{00000000-0002-0000-0F00-000002000000}">
      <formula1>TS_Cat_Name</formula1>
    </dataValidation>
    <dataValidation type="list" allowBlank="1" errorTitle="Valore non valido" error="Seleziona dalla lista." promptTitle="Group1" prompt="Composizione del solido." sqref="H5:H30" xr:uid="{00000000-0002-0000-0F00-000003000000}">
      <formula1>TS_G1_Name</formula1>
    </dataValidation>
    <dataValidation type="list" allowBlank="1" errorTitle="Valore non valido" error="Seleziona dalla lista." promptTitle="Group2" prompt="Ruolo nel progetto. EG, PG ed EC sono ruoli, non fasi: la fase resta il parametro di Revit." sqref="K5:K30" xr:uid="{00000000-0002-0000-0F00-000004000000}">
      <formula1>TS_G2_Name</formula1>
    </dataValidation>
    <dataValidation type="custom" allowBlank="1" errorTitle="Non valido" error="Inserisci un intero tra 0 e 99, oppure XX se i tipi non sono ancora definiti. Se Group1 è Other compila il Type Mark manuale." promptTitle="TM sequenza" prompt="Due cifre da 0 a 99. Distingue le varianti di stesso Group1 e stesso Group2. Tipo non ancora definito → XX. Non si compila con Group1 = OT." sqref="M5:M30" xr:uid="{00000000-0002-0000-0F00-000005000000}">
      <formula1>AND($I5&lt;&gt;"OT",OR(UPPER($M5)="XX",AND(ISNUMBER($M5),$M5&gt;=0,$M5&lt;=99,$M5=INT($M5))))</formula1>
    </dataValidation>
    <dataValidation type="custom" allowBlank="1" errorTitle="Non ammesso qui" error="Si usa solo quando Group1 è Other." promptTitle="Type Mark manuale" prompt="Solo con Group1 = OT. Sostituisce tutto il Type Mark, prefisso di categoria compreso. Finiture → prefisso materiale + tre cifre: PT-001, WD-001, MT-001." sqref="N5:N30" xr:uid="{00000000-0002-0000-0F00-000006000000}">
      <formula1>$I5="OT"</formula1>
    </dataValidation>
    <dataValidation type="decimal" operator="greaterThan" allowBlank="1" errorTitle="Non valido" error="Inserisci un valore maggiore di 0." promptTitle="Thickness mm" prompt="Spessore totale in mm." sqref="P5:P30" xr:uid="{00000000-0002-0000-0F00-000007000000}">
      <formula1>0</formula1>
    </dataValidation>
    <dataValidation type="textLength" operator="lessThanOrEqual" allowBlank="1" errorTitle="Troppo lunga" error="Massimo 40 caratteri." promptTitle="Description" prompt="Facoltativa. Solo se aggiunge un’informazione non già nei codici: destinazione, posizione, o ciò che distingue due tipi altrimenti identici. Senza spazi, iniziali maiuscole, massimo 40 caratteri, senza accenti." sqref="Q5:Q30" xr:uid="{00000000-0002-0000-0F00-000008000000}">
      <formula1>40</formula1>
    </dataValidation>
  </dataValidations>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B1:E1"/>
  <sheetViews>
    <sheetView workbookViewId="0"/>
  </sheetViews>
  <sheetFormatPr defaultRowHeight="15" x14ac:dyDescent="0.25"/>
  <sheetData>
    <row r="1" spans="2:5" x14ac:dyDescent="0.25">
      <c r="B1" t="s">
        <v>710</v>
      </c>
      <c r="C1" t="s">
        <v>708</v>
      </c>
      <c r="E1" s="2" t="s">
        <v>896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Fogli di lavoro</vt:lpstr>
      </vt:variant>
      <vt:variant>
        <vt:i4>17</vt:i4>
      </vt:variant>
      <vt:variant>
        <vt:lpstr>Intervalli denominati</vt:lpstr>
      </vt:variant>
      <vt:variant>
        <vt:i4>127</vt:i4>
      </vt:variant>
    </vt:vector>
  </HeadingPairs>
  <TitlesOfParts>
    <vt:vector size="144" baseType="lpstr">
      <vt:lpstr>Istruzioni</vt:lpstr>
      <vt:lpstr>DV</vt:lpstr>
      <vt:lpstr>01_CL Ceilings</vt:lpstr>
      <vt:lpstr>02_FL Floors</vt:lpstr>
      <vt:lpstr>03_RF Roofs</vt:lpstr>
      <vt:lpstr>04_RL Railings</vt:lpstr>
      <vt:lpstr>05_RN Runs</vt:lpstr>
      <vt:lpstr>06_LN Landings</vt:lpstr>
      <vt:lpstr>07_ST Stairs</vt:lpstr>
      <vt:lpstr>08_RM Ramps</vt:lpstr>
      <vt:lpstr>09_WL Walls</vt:lpstr>
      <vt:lpstr>10_CN Mullions</vt:lpstr>
      <vt:lpstr>11_TR Top Rails</vt:lpstr>
      <vt:lpstr>12_HR Handrails</vt:lpstr>
      <vt:lpstr>13_CP Curtain Panels</vt:lpstr>
      <vt:lpstr>14_TS Toposolid</vt:lpstr>
      <vt:lpstr>_src</vt:lpstr>
      <vt:lpstr>AS_G1_Code</vt:lpstr>
      <vt:lpstr>AS_G1_Name</vt:lpstr>
      <vt:lpstr>AS_G1_TM</vt:lpstr>
      <vt:lpstr>Author_Code</vt:lpstr>
      <vt:lpstr>Author_Name</vt:lpstr>
      <vt:lpstr>BR_G1_Code</vt:lpstr>
      <vt:lpstr>BR_G1_Name</vt:lpstr>
      <vt:lpstr>BR_G1_TM</vt:lpstr>
      <vt:lpstr>BR_G2_Code</vt:lpstr>
      <vt:lpstr>BR_G2_Name</vt:lpstr>
      <vt:lpstr>BW_G1_Code</vt:lpstr>
      <vt:lpstr>BW_G1_Name</vt:lpstr>
      <vt:lpstr>BW_G1_TM</vt:lpstr>
      <vt:lpstr>BW_G2_Code</vt:lpstr>
      <vt:lpstr>BW_G2_Name</vt:lpstr>
      <vt:lpstr>CL_Cat_Code</vt:lpstr>
      <vt:lpstr>CL_Cat_Name</vt:lpstr>
      <vt:lpstr>CL_G1_Code</vt:lpstr>
      <vt:lpstr>CL_G1_Name</vt:lpstr>
      <vt:lpstr>CL_G1_TM</vt:lpstr>
      <vt:lpstr>CL_G2_Code</vt:lpstr>
      <vt:lpstr>CL_G2_Name</vt:lpstr>
      <vt:lpstr>CN_Cat_Code</vt:lpstr>
      <vt:lpstr>CN_Cat_Name</vt:lpstr>
      <vt:lpstr>CN_G1_Code</vt:lpstr>
      <vt:lpstr>CN_G1_Name</vt:lpstr>
      <vt:lpstr>CN_G1_TM</vt:lpstr>
      <vt:lpstr>CN_G2_Code</vt:lpstr>
      <vt:lpstr>CN_G2_Name</vt:lpstr>
      <vt:lpstr>CP_Cat_Code</vt:lpstr>
      <vt:lpstr>CP_Cat_Name</vt:lpstr>
      <vt:lpstr>CP_G1_Code</vt:lpstr>
      <vt:lpstr>CP_G1_Name</vt:lpstr>
      <vt:lpstr>CP_G1_TM</vt:lpstr>
      <vt:lpstr>CP_G2_Code</vt:lpstr>
      <vt:lpstr>CP_G2_Name</vt:lpstr>
      <vt:lpstr>CS_G1_Code</vt:lpstr>
      <vt:lpstr>CS_G1_Name</vt:lpstr>
      <vt:lpstr>CS_G1_TM</vt:lpstr>
      <vt:lpstr>CW_G1_Code</vt:lpstr>
      <vt:lpstr>CW_G1_Name</vt:lpstr>
      <vt:lpstr>CW_G1_TM</vt:lpstr>
      <vt:lpstr>CW_G2_Code</vt:lpstr>
      <vt:lpstr>CW_G2_Name</vt:lpstr>
      <vt:lpstr>Fin_Code</vt:lpstr>
      <vt:lpstr>Fin_Name</vt:lpstr>
      <vt:lpstr>Fin01_Code</vt:lpstr>
      <vt:lpstr>Fin01_Name</vt:lpstr>
      <vt:lpstr>FL_Cat_Code</vt:lpstr>
      <vt:lpstr>FL_Cat_Name</vt:lpstr>
      <vt:lpstr>FL_G1_Code</vt:lpstr>
      <vt:lpstr>FL_G1_Name</vt:lpstr>
      <vt:lpstr>FL_G1_TM</vt:lpstr>
      <vt:lpstr>FL_G2_Code</vt:lpstr>
      <vt:lpstr>FL_G2_Name</vt:lpstr>
      <vt:lpstr>HR_Cat_Code</vt:lpstr>
      <vt:lpstr>HR_Cat_Name</vt:lpstr>
      <vt:lpstr>HR_G2_Code</vt:lpstr>
      <vt:lpstr>HR_G2_Name</vt:lpstr>
      <vt:lpstr>InPl_Code</vt:lpstr>
      <vt:lpstr>InPl_Name</vt:lpstr>
      <vt:lpstr>LN_Cat_Code</vt:lpstr>
      <vt:lpstr>LN_Cat_Name</vt:lpstr>
      <vt:lpstr>LN_G1_Code</vt:lpstr>
      <vt:lpstr>LN_G1_Name</vt:lpstr>
      <vt:lpstr>LN_G1_TM</vt:lpstr>
      <vt:lpstr>LN_G2_Code</vt:lpstr>
      <vt:lpstr>LN_G2_Name</vt:lpstr>
      <vt:lpstr>LNsh_Code</vt:lpstr>
      <vt:lpstr>LNsh_Name</vt:lpstr>
      <vt:lpstr>Rail_Code</vt:lpstr>
      <vt:lpstr>Rail_Name</vt:lpstr>
      <vt:lpstr>RF_Cat_Code</vt:lpstr>
      <vt:lpstr>RF_Cat_Name</vt:lpstr>
      <vt:lpstr>RL_Cat_Code</vt:lpstr>
      <vt:lpstr>RL_Cat_Name</vt:lpstr>
      <vt:lpstr>RL_G1_Code</vt:lpstr>
      <vt:lpstr>RL_G1_Name</vt:lpstr>
      <vt:lpstr>RL_G1_TM</vt:lpstr>
      <vt:lpstr>RL_G2_Code</vt:lpstr>
      <vt:lpstr>RL_G2_Name</vt:lpstr>
      <vt:lpstr>RM_Cat_Code</vt:lpstr>
      <vt:lpstr>RM_Cat_Name</vt:lpstr>
      <vt:lpstr>RM_G1_Code</vt:lpstr>
      <vt:lpstr>RM_G1_Name</vt:lpstr>
      <vt:lpstr>RM_G1_TM</vt:lpstr>
      <vt:lpstr>RM_G2_Code</vt:lpstr>
      <vt:lpstr>RM_G2_Name</vt:lpstr>
      <vt:lpstr>RMsh_Code</vt:lpstr>
      <vt:lpstr>RMsh_Name</vt:lpstr>
      <vt:lpstr>RN_Cat_Code</vt:lpstr>
      <vt:lpstr>RN_Cat_Name</vt:lpstr>
      <vt:lpstr>RN_G1_Code</vt:lpstr>
      <vt:lpstr>RN_G1_Name</vt:lpstr>
      <vt:lpstr>RN_G1_TM</vt:lpstr>
      <vt:lpstr>RN_G2_Code</vt:lpstr>
      <vt:lpstr>RN_G2_Name</vt:lpstr>
      <vt:lpstr>RS_G1_Code</vt:lpstr>
      <vt:lpstr>RS_G1_Name</vt:lpstr>
      <vt:lpstr>RS_G1_TM</vt:lpstr>
      <vt:lpstr>ST_Cat_Code</vt:lpstr>
      <vt:lpstr>ST_Cat_Name</vt:lpstr>
      <vt:lpstr>ST_G2_Code</vt:lpstr>
      <vt:lpstr>ST_G2_Name</vt:lpstr>
      <vt:lpstr>SZ_G1_Code</vt:lpstr>
      <vt:lpstr>SZ_G1_Name</vt:lpstr>
      <vt:lpstr>SZ_G1_TM</vt:lpstr>
      <vt:lpstr>SZ_G2_Code</vt:lpstr>
      <vt:lpstr>SZ_G2_Name</vt:lpstr>
      <vt:lpstr>TR_Cat_Code</vt:lpstr>
      <vt:lpstr>TR_Cat_Name</vt:lpstr>
      <vt:lpstr>TR_G1_Code</vt:lpstr>
      <vt:lpstr>TR_G1_Name</vt:lpstr>
      <vt:lpstr>TR_G1_TM</vt:lpstr>
      <vt:lpstr>TR_G2_Code</vt:lpstr>
      <vt:lpstr>TR_G2_Name</vt:lpstr>
      <vt:lpstr>TS_Cat_Code</vt:lpstr>
      <vt:lpstr>TS_Cat_Name</vt:lpstr>
      <vt:lpstr>TS_G1_Code</vt:lpstr>
      <vt:lpstr>TS_G1_Name</vt:lpstr>
      <vt:lpstr>TS_G1_TM</vt:lpstr>
      <vt:lpstr>TS_G2_Code</vt:lpstr>
      <vt:lpstr>TS_G2_Name</vt:lpstr>
      <vt:lpstr>Und_Code</vt:lpstr>
      <vt:lpstr>Und_Name</vt:lpstr>
      <vt:lpstr>WL_Cat_Code</vt:lpstr>
      <vt:lpstr>WL_Cat_Name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Giulio Fazio - ESA engineering</cp:lastModifiedBy>
  <dcterms:created xsi:type="dcterms:W3CDTF">2026-09-07T09:56:35Z</dcterms:created>
  <dcterms:modified xsi:type="dcterms:W3CDTF">2026-09-07T13:13:46Z</dcterms:modified>
</cp:coreProperties>
</file>