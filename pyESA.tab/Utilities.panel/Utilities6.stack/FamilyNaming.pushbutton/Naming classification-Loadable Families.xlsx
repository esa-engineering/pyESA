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10.10.2.157\AreaTecnica\BIM\99_WIP\99_Test\168_Codifica ARC +STR\"/>
    </mc:Choice>
  </mc:AlternateContent>
  <xr:revisionPtr revIDLastSave="0" documentId="13_ncr:1_{CD61CAAB-3734-4266-9DFF-8732CC6571C7}" xr6:coauthVersionLast="47" xr6:coauthVersionMax="47" xr10:uidLastSave="{00000000-0000-0000-0000-000000000000}"/>
  <bookViews>
    <workbookView xWindow="-120" yWindow="-120" windowWidth="29040" windowHeight="15720" activeTab="2" xr2:uid="{00000000-000D-0000-FFFF-FFFF00000000}"/>
  </bookViews>
  <sheets>
    <sheet name="Istruzioni" sheetId="1" r:id="rId1"/>
    <sheet name="DV" sheetId="2" r:id="rId2"/>
    <sheet name="01_DR Doors" sheetId="3" r:id="rId3"/>
    <sheet name="02_WN Windows" sheetId="4" r:id="rId4"/>
    <sheet name="03_CP Curtain Panels" sheetId="5" r:id="rId5"/>
    <sheet name="04_CM Columns" sheetId="6" r:id="rId6"/>
    <sheet name="05_FN Furniture" sheetId="7" r:id="rId7"/>
    <sheet name="06_FS Furniture Systems" sheetId="8" r:id="rId8"/>
    <sheet name="07_CK Casework" sheetId="9" r:id="rId9"/>
    <sheet name="08_PF Plumbing Fixtures" sheetId="10" r:id="rId10"/>
    <sheet name="09_SE Specialty Equipment" sheetId="11" r:id="rId11"/>
    <sheet name="10_SI Site" sheetId="12" r:id="rId12"/>
    <sheet name="11_PK Parking" sheetId="13" r:id="rId13"/>
    <sheet name="12_EN Entourage" sheetId="14" r:id="rId14"/>
    <sheet name="13_PL Planting" sheetId="15" r:id="rId15"/>
    <sheet name="14_GM Generic Models" sheetId="16" r:id="rId16"/>
    <sheet name="15_MS Mass" sheetId="17" r:id="rId17"/>
    <sheet name="_src" sheetId="18" state="hidden" r:id="rId18"/>
  </sheets>
  <definedNames>
    <definedName name="Author_Code">Tbl_Author[Author_Code]</definedName>
    <definedName name="Author_Name">Tbl_Author[Author]</definedName>
    <definedName name="CK_Cat_Code">Tbl_CK_Cat[CK_Category_Code]</definedName>
    <definedName name="CK_Cat_Name">Tbl_CK_Cat[CK_Category]</definedName>
    <definedName name="CK_G2_Code">Tbl_CK_G2[CK_Group2_Code]</definedName>
    <definedName name="CK_G2_Name">Tbl_CK_G2[CK_Group2]</definedName>
    <definedName name="CM_Cat_Code">Tbl_CM_Cat[CM_Category_Code]</definedName>
    <definedName name="CM_Cat_Name">Tbl_CM_Cat[CM_Category]</definedName>
    <definedName name="CM_G1_Code">Tbl_CM_G1[CM_Group1_Code]</definedName>
    <definedName name="CM_G1_Name">Tbl_CM_G1[CM_Group1]</definedName>
    <definedName name="CM_G2_Code">Tbl_CM_G2[CM_Group2_Code]</definedName>
    <definedName name="CM_G2_Name">Tbl_CM_G2[CM_Group2]</definedName>
    <definedName name="CM_G2_TM">Tbl_CM_G2[TM Code]</definedName>
    <definedName name="CP_Cat_Code">Tbl_CP_Cat[CP_Category_Code]</definedName>
    <definedName name="CP_Cat_Name">Tbl_CP_Cat[CP_Category]</definedName>
    <definedName name="CP_G1_Code">Tbl_CP_G1[CP_Group1_Code]</definedName>
    <definedName name="CP_G1_Name">Tbl_CP_G1[CP_Group1]</definedName>
    <definedName name="CP_G2_Code">Tbl_CP_G2[CP_Group2_Code]</definedName>
    <definedName name="CP_G2_Name">Tbl_CP_G2[CP_Group2]</definedName>
    <definedName name="CP_G2_TM">Tbl_CP_G2[TM Code]</definedName>
    <definedName name="CWh_Code">Tbl_CWh[CWh_Code]</definedName>
    <definedName name="CWh_Name">Tbl_CWh[CWh_Name]</definedName>
    <definedName name="DR_Cat_Code">Tbl_DR_Cat[DR_Category_Code]</definedName>
    <definedName name="DR_Cat_Name">Tbl_DR_Cat[DR_Category]</definedName>
    <definedName name="DR_G1_Code">Tbl_DR_G1[DR_Group1_Code]</definedName>
    <definedName name="DR_G1_Name">Tbl_DR_G1[DR_Group1]</definedName>
    <definedName name="DR_G2_Code">Tbl_DR_G2[DR_Group2_Code]</definedName>
    <definedName name="DR_G2_Name">Tbl_DR_G2[DR_Group2]</definedName>
    <definedName name="DR_G2_TM">Tbl_DR_G2[TM Code]</definedName>
    <definedName name="EN_Cat_Code">Tbl_EN_Cat[EN_Category_Code]</definedName>
    <definedName name="EN_Cat_Name">Tbl_EN_Cat[EN_Category]</definedName>
    <definedName name="EN_G1_Code">Tbl_EN_G1[EN_Group1_Code]</definedName>
    <definedName name="EN_G1_Name">Tbl_EN_G1[EN_Group1]</definedName>
    <definedName name="EN_G2_Code">Tbl_EN_G2[EN_Group2_Code]</definedName>
    <definedName name="EN_G2_Name">Tbl_EN_G2[EN_Group2]</definedName>
    <definedName name="EN_G2_TM">Tbl_EN_G2[TM Code]</definedName>
    <definedName name="Entr_Code">Tbl_Entr[Entr_Code]</definedName>
    <definedName name="Entr_Name">Tbl_Entr[Entr_Name]</definedName>
    <definedName name="FN_Cat_Code">Tbl_FN_Cat[FN_Category_Code]</definedName>
    <definedName name="FN_Cat_Name">Tbl_FN_Cat[FN_Category]</definedName>
    <definedName name="FN_G2_Code">Tbl_FN_G2[FN_Group2_Code]</definedName>
    <definedName name="FN_G2_Name">Tbl_FN_G2[FN_Group2]</definedName>
    <definedName name="FS_Cat_Code">Tbl_FS_Cat[FS_Category_Code]</definedName>
    <definedName name="FS_Cat_Name">Tbl_FS_Cat[FS_Category]</definedName>
    <definedName name="FS_G2_Code">Tbl_FS_G2[FS_Group2_Code]</definedName>
    <definedName name="FS_G2_Name">Tbl_FS_G2[FS_Group2]</definedName>
    <definedName name="GM_Cat_Code">Tbl_GM_Cat[GM_Category_Code]</definedName>
    <definedName name="GM_Cat_Name">Tbl_GM_Cat[GM_Category]</definedName>
    <definedName name="GM_G2_Code">Tbl_GM_G2[GM_Group2_Code]</definedName>
    <definedName name="GM_G2_Name">Tbl_GM_G2[GM_Group2]</definedName>
    <definedName name="InPl_Code">Tbl_InPl[InPl_Code]</definedName>
    <definedName name="InPl_Name">Tbl_InPl[InPl_Name]</definedName>
    <definedName name="MS_Cat_Code">Tbl_MS_Cat[MS_Category_Code]</definedName>
    <definedName name="MS_Cat_Name">Tbl_MS_Cat[MS_Category]</definedName>
    <definedName name="MS_G1_Code">Tbl_MS_G1[MS_Group1_Code]</definedName>
    <definedName name="MS_G1_Name">Tbl_MS_G1[MS_Group1]</definedName>
    <definedName name="MS_G2_Code">Tbl_MS_G2[MS_Group2_Code]</definedName>
    <definedName name="MS_G2_Name">Tbl_MS_G2[MS_Group2]</definedName>
    <definedName name="MS_G2_TM">Tbl_MS_G2[TM Code]</definedName>
    <definedName name="PF_Cat_Code">Tbl_PF_Cat[PF_Category_Code]</definedName>
    <definedName name="PF_Cat_Name">Tbl_PF_Cat[PF_Category]</definedName>
    <definedName name="PF_G2_Code">Tbl_PF_G2[PF_Group2_Code]</definedName>
    <definedName name="PF_G2_Name">Tbl_PF_G2[PF_Group2]</definedName>
    <definedName name="PK_Cat_Code">Tbl_PK_Cat[PK_Category_Code]</definedName>
    <definedName name="PK_Cat_Name">Tbl_PK_Cat[PK_Category]</definedName>
    <definedName name="PK_G1_Code">Tbl_PK_G1[PK_Group1_Code]</definedName>
    <definedName name="PK_G1_Name">Tbl_PK_G1[PK_Group1]</definedName>
    <definedName name="PK_G2_Code">Tbl_PK_G2[PK_Group2_Code]</definedName>
    <definedName name="PK_G2_Name">Tbl_PK_G2[PK_Group2]</definedName>
    <definedName name="PK_G2_TM">Tbl_PK_G2[TM Code]</definedName>
    <definedName name="PL_Cat_Code">Tbl_PL_Cat[PL_Category_Code]</definedName>
    <definedName name="PL_Cat_Name">Tbl_PL_Cat[PL_Category]</definedName>
    <definedName name="PL_G1_Code">Tbl_PL_G1[PL_Group1_Code]</definedName>
    <definedName name="PL_G1_Name">Tbl_PL_G1[PL_Group1]</definedName>
    <definedName name="PL_G2_Code">Tbl_PL_G2[PL_Group2_Code]</definedName>
    <definedName name="PL_G2_Name">Tbl_PL_G2[PL_Group2]</definedName>
    <definedName name="PL_G2_TM">Tbl_PL_G2[TM Code]</definedName>
    <definedName name="PR_G1_Code">Tbl_PR_G1[PR_Group1_Code]</definedName>
    <definedName name="PR_G1_Name">Tbl_PR_G1[PR_Group1]</definedName>
    <definedName name="SE_Cat_Code">Tbl_SE_Cat[SE_Category_Code]</definedName>
    <definedName name="SE_Cat_Name">Tbl_SE_Cat[SE_Category]</definedName>
    <definedName name="SE_G2_Code">Tbl_SE_G2[SE_Group2_Code]</definedName>
    <definedName name="SE_G2_Name">Tbl_SE_G2[SE_Group2]</definedName>
    <definedName name="SI_Cat_Code">Tbl_SI_Cat[SI_Category_Code]</definedName>
    <definedName name="SI_Cat_Name">Tbl_SI_Cat[SI_Category]</definedName>
    <definedName name="SI_G2_Code">Tbl_SI_G2[SI_Group2_Code]</definedName>
    <definedName name="SI_G2_Name">Tbl_SI_G2[SI_Group2]</definedName>
    <definedName name="WN_Cat_Code">Tbl_WN_Cat[WN_Category_Code]</definedName>
    <definedName name="WN_Cat_Name">Tbl_WN_Cat[WN_Category]</definedName>
    <definedName name="WN_G1_Code">Tbl_WN_G1[WN_Group1_Code]</definedName>
    <definedName name="WN_G1_Name">Tbl_WN_G1[WN_Group1]</definedName>
    <definedName name="WN_G2_Code">Tbl_WN_G2[WN_Group2_Code]</definedName>
    <definedName name="WN_G2_Name">Tbl_WN_G2[WN_Group2]</definedName>
    <definedName name="WN_G2_TM">Tbl_WN_G2[TM Code]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11" l="1"/>
  <c r="Q19" i="8"/>
  <c r="Q19" i="9"/>
  <c r="Q17" i="7"/>
  <c r="P27" i="17"/>
  <c r="K27" i="17"/>
  <c r="I27" i="17"/>
  <c r="G27" i="17"/>
  <c r="Q27" i="17" s="1"/>
  <c r="E27" i="17"/>
  <c r="C27" i="17"/>
  <c r="P26" i="17"/>
  <c r="K26" i="17"/>
  <c r="I26" i="17"/>
  <c r="G26" i="17"/>
  <c r="Q26" i="17" s="1"/>
  <c r="E26" i="17"/>
  <c r="C26" i="17"/>
  <c r="P25" i="17"/>
  <c r="K25" i="17"/>
  <c r="I25" i="17"/>
  <c r="G25" i="17"/>
  <c r="Q25" i="17" s="1"/>
  <c r="E25" i="17"/>
  <c r="C25" i="17"/>
  <c r="P24" i="17"/>
  <c r="K24" i="17"/>
  <c r="I24" i="17"/>
  <c r="G24" i="17"/>
  <c r="Q24" i="17" s="1"/>
  <c r="E24" i="17"/>
  <c r="C24" i="17"/>
  <c r="P23" i="17"/>
  <c r="K23" i="17"/>
  <c r="I23" i="17"/>
  <c r="G23" i="17"/>
  <c r="E23" i="17"/>
  <c r="C23" i="17"/>
  <c r="P22" i="17"/>
  <c r="K22" i="17"/>
  <c r="I22" i="17"/>
  <c r="G22" i="17"/>
  <c r="E22" i="17"/>
  <c r="C22" i="17"/>
  <c r="P21" i="17"/>
  <c r="K21" i="17"/>
  <c r="I21" i="17"/>
  <c r="O21" i="17" s="1"/>
  <c r="G21" i="17"/>
  <c r="Q21" i="17" s="1"/>
  <c r="E21" i="17"/>
  <c r="C21" i="17"/>
  <c r="P20" i="17"/>
  <c r="K20" i="17"/>
  <c r="I20" i="17"/>
  <c r="G20" i="17"/>
  <c r="E20" i="17"/>
  <c r="C20" i="17"/>
  <c r="P19" i="17"/>
  <c r="K19" i="17"/>
  <c r="I19" i="17"/>
  <c r="G19" i="17"/>
  <c r="E19" i="17"/>
  <c r="C19" i="17"/>
  <c r="P18" i="17"/>
  <c r="K18" i="17"/>
  <c r="O18" i="17" s="1"/>
  <c r="I18" i="17"/>
  <c r="G18" i="17"/>
  <c r="Q18" i="17" s="1"/>
  <c r="E18" i="17"/>
  <c r="C18" i="17"/>
  <c r="P17" i="17"/>
  <c r="K17" i="17"/>
  <c r="I17" i="17"/>
  <c r="G17" i="17"/>
  <c r="E17" i="17"/>
  <c r="C17" i="17"/>
  <c r="P16" i="17"/>
  <c r="K16" i="17"/>
  <c r="I16" i="17"/>
  <c r="G16" i="17"/>
  <c r="E16" i="17"/>
  <c r="C16" i="17"/>
  <c r="P15" i="17"/>
  <c r="K15" i="17"/>
  <c r="I15" i="17"/>
  <c r="G15" i="17"/>
  <c r="Q15" i="17" s="1"/>
  <c r="E15" i="17"/>
  <c r="C15" i="17"/>
  <c r="P14" i="17"/>
  <c r="K14" i="17"/>
  <c r="I14" i="17"/>
  <c r="G14" i="17"/>
  <c r="Q14" i="17" s="1"/>
  <c r="E14" i="17"/>
  <c r="C14" i="17"/>
  <c r="P13" i="17"/>
  <c r="K13" i="17"/>
  <c r="I13" i="17"/>
  <c r="G13" i="17"/>
  <c r="Q13" i="17" s="1"/>
  <c r="E13" i="17"/>
  <c r="C13" i="17"/>
  <c r="K12" i="17"/>
  <c r="I12" i="17"/>
  <c r="G12" i="17"/>
  <c r="Q12" i="17" s="1"/>
  <c r="E12" i="17"/>
  <c r="C12" i="17"/>
  <c r="K11" i="17"/>
  <c r="I11" i="17"/>
  <c r="G11" i="17"/>
  <c r="Q11" i="17" s="1"/>
  <c r="E11" i="17"/>
  <c r="C11" i="17"/>
  <c r="Q10" i="17"/>
  <c r="K10" i="17"/>
  <c r="O10" i="17" s="1"/>
  <c r="I10" i="17"/>
  <c r="G10" i="17"/>
  <c r="E10" i="17"/>
  <c r="C10" i="17"/>
  <c r="K9" i="17"/>
  <c r="I9" i="17"/>
  <c r="G9" i="17"/>
  <c r="Q9" i="17" s="1"/>
  <c r="E9" i="17"/>
  <c r="C9" i="17"/>
  <c r="K8" i="17"/>
  <c r="I8" i="17"/>
  <c r="G8" i="17"/>
  <c r="Q8" i="17" s="1"/>
  <c r="E8" i="17"/>
  <c r="C8" i="17"/>
  <c r="K7" i="17"/>
  <c r="I7" i="17"/>
  <c r="G7" i="17"/>
  <c r="Q7" i="17" s="1"/>
  <c r="E7" i="17"/>
  <c r="C7" i="17"/>
  <c r="K6" i="17"/>
  <c r="I6" i="17"/>
  <c r="O6" i="17" s="1"/>
  <c r="P6" i="17" s="1"/>
  <c r="G6" i="17"/>
  <c r="Q6" i="17" s="1"/>
  <c r="E6" i="17"/>
  <c r="C6" i="17"/>
  <c r="P29" i="16"/>
  <c r="K29" i="16"/>
  <c r="I29" i="16"/>
  <c r="G29" i="16"/>
  <c r="Q29" i="16" s="1"/>
  <c r="E29" i="16"/>
  <c r="C29" i="16"/>
  <c r="P28" i="16"/>
  <c r="K28" i="16"/>
  <c r="I28" i="16"/>
  <c r="G28" i="16"/>
  <c r="Q28" i="16" s="1"/>
  <c r="E28" i="16"/>
  <c r="C28" i="16"/>
  <c r="P27" i="16"/>
  <c r="K27" i="16"/>
  <c r="I27" i="16"/>
  <c r="G27" i="16"/>
  <c r="Q27" i="16" s="1"/>
  <c r="E27" i="16"/>
  <c r="C27" i="16"/>
  <c r="P26" i="16"/>
  <c r="K26" i="16"/>
  <c r="I26" i="16"/>
  <c r="G26" i="16"/>
  <c r="E26" i="16"/>
  <c r="C26" i="16"/>
  <c r="P25" i="16"/>
  <c r="K25" i="16"/>
  <c r="I25" i="16"/>
  <c r="G25" i="16"/>
  <c r="Q25" i="16" s="1"/>
  <c r="E25" i="16"/>
  <c r="C25" i="16"/>
  <c r="P24" i="16"/>
  <c r="K24" i="16"/>
  <c r="I24" i="16"/>
  <c r="G24" i="16"/>
  <c r="Q24" i="16" s="1"/>
  <c r="E24" i="16"/>
  <c r="C24" i="16"/>
  <c r="P23" i="16"/>
  <c r="K23" i="16"/>
  <c r="I23" i="16"/>
  <c r="G23" i="16"/>
  <c r="Q23" i="16" s="1"/>
  <c r="E23" i="16"/>
  <c r="C23" i="16"/>
  <c r="P22" i="16"/>
  <c r="K22" i="16"/>
  <c r="I22" i="16"/>
  <c r="G22" i="16"/>
  <c r="Q22" i="16" s="1"/>
  <c r="E22" i="16"/>
  <c r="C22" i="16"/>
  <c r="P21" i="16"/>
  <c r="K21" i="16"/>
  <c r="I21" i="16"/>
  <c r="G21" i="16"/>
  <c r="Q21" i="16" s="1"/>
  <c r="E21" i="16"/>
  <c r="C21" i="16"/>
  <c r="P20" i="16"/>
  <c r="K20" i="16"/>
  <c r="I20" i="16"/>
  <c r="G20" i="16"/>
  <c r="O20" i="16" s="1"/>
  <c r="E20" i="16"/>
  <c r="C20" i="16"/>
  <c r="P19" i="16"/>
  <c r="K19" i="16"/>
  <c r="I19" i="16"/>
  <c r="G19" i="16"/>
  <c r="Q19" i="16" s="1"/>
  <c r="E19" i="16"/>
  <c r="C19" i="16"/>
  <c r="P18" i="16"/>
  <c r="K18" i="16"/>
  <c r="I18" i="16"/>
  <c r="G18" i="16"/>
  <c r="Q18" i="16" s="1"/>
  <c r="E18" i="16"/>
  <c r="C18" i="16"/>
  <c r="P17" i="16"/>
  <c r="K17" i="16"/>
  <c r="I17" i="16"/>
  <c r="G17" i="16"/>
  <c r="O17" i="16" s="1"/>
  <c r="E17" i="16"/>
  <c r="C17" i="16"/>
  <c r="P16" i="16"/>
  <c r="K16" i="16"/>
  <c r="I16" i="16"/>
  <c r="G16" i="16"/>
  <c r="Q16" i="16" s="1"/>
  <c r="E16" i="16"/>
  <c r="C16" i="16"/>
  <c r="P15" i="16"/>
  <c r="K15" i="16"/>
  <c r="I15" i="16"/>
  <c r="O15" i="16" s="1"/>
  <c r="G15" i="16"/>
  <c r="Q15" i="16" s="1"/>
  <c r="E15" i="16"/>
  <c r="C15" i="16"/>
  <c r="K14" i="16"/>
  <c r="I14" i="16"/>
  <c r="G14" i="16"/>
  <c r="Q14" i="16" s="1"/>
  <c r="E14" i="16"/>
  <c r="C14" i="16"/>
  <c r="K13" i="16"/>
  <c r="I13" i="16"/>
  <c r="G13" i="16"/>
  <c r="Q13" i="16" s="1"/>
  <c r="E13" i="16"/>
  <c r="C13" i="16"/>
  <c r="K12" i="16"/>
  <c r="O12" i="16" s="1"/>
  <c r="I12" i="16"/>
  <c r="G12" i="16"/>
  <c r="Q12" i="16" s="1"/>
  <c r="E12" i="16"/>
  <c r="C12" i="16"/>
  <c r="K11" i="16"/>
  <c r="I11" i="16"/>
  <c r="G11" i="16"/>
  <c r="Q11" i="16" s="1"/>
  <c r="E11" i="16"/>
  <c r="C11" i="16"/>
  <c r="K10" i="16"/>
  <c r="I10" i="16"/>
  <c r="G10" i="16"/>
  <c r="Q10" i="16" s="1"/>
  <c r="E10" i="16"/>
  <c r="C10" i="16"/>
  <c r="K9" i="16"/>
  <c r="I9" i="16"/>
  <c r="O9" i="16" s="1"/>
  <c r="P9" i="16" s="1"/>
  <c r="G9" i="16"/>
  <c r="Q9" i="16" s="1"/>
  <c r="E9" i="16"/>
  <c r="C9" i="16"/>
  <c r="K8" i="16"/>
  <c r="I8" i="16"/>
  <c r="G8" i="16"/>
  <c r="O8" i="16" s="1"/>
  <c r="P8" i="16" s="1"/>
  <c r="E8" i="16"/>
  <c r="C8" i="16"/>
  <c r="K7" i="16"/>
  <c r="I7" i="16"/>
  <c r="G7" i="16"/>
  <c r="Q7" i="16" s="1"/>
  <c r="E7" i="16"/>
  <c r="C7" i="16"/>
  <c r="K6" i="16"/>
  <c r="I6" i="16"/>
  <c r="G6" i="16"/>
  <c r="Q6" i="16" s="1"/>
  <c r="E6" i="16"/>
  <c r="C6" i="16"/>
  <c r="P31" i="15"/>
  <c r="K31" i="15"/>
  <c r="I31" i="15"/>
  <c r="G31" i="15"/>
  <c r="Q31" i="15" s="1"/>
  <c r="E31" i="15"/>
  <c r="C31" i="15"/>
  <c r="P30" i="15"/>
  <c r="K30" i="15"/>
  <c r="I30" i="15"/>
  <c r="G30" i="15"/>
  <c r="Q30" i="15" s="1"/>
  <c r="E30" i="15"/>
  <c r="C30" i="15"/>
  <c r="P29" i="15"/>
  <c r="K29" i="15"/>
  <c r="I29" i="15"/>
  <c r="G29" i="15"/>
  <c r="E29" i="15"/>
  <c r="C29" i="15"/>
  <c r="P28" i="15"/>
  <c r="K28" i="15"/>
  <c r="I28" i="15"/>
  <c r="G28" i="15"/>
  <c r="Q28" i="15" s="1"/>
  <c r="E28" i="15"/>
  <c r="C28" i="15"/>
  <c r="Q27" i="15"/>
  <c r="P27" i="15"/>
  <c r="K27" i="15"/>
  <c r="I27" i="15"/>
  <c r="G27" i="15"/>
  <c r="E27" i="15"/>
  <c r="C27" i="15"/>
  <c r="P26" i="15"/>
  <c r="K26" i="15"/>
  <c r="I26" i="15"/>
  <c r="G26" i="15"/>
  <c r="E26" i="15"/>
  <c r="C26" i="15"/>
  <c r="P25" i="15"/>
  <c r="K25" i="15"/>
  <c r="I25" i="15"/>
  <c r="G25" i="15"/>
  <c r="E25" i="15"/>
  <c r="C25" i="15"/>
  <c r="P24" i="15"/>
  <c r="K24" i="15"/>
  <c r="I24" i="15"/>
  <c r="G24" i="15"/>
  <c r="E24" i="15"/>
  <c r="C24" i="15"/>
  <c r="P23" i="15"/>
  <c r="K23" i="15"/>
  <c r="I23" i="15"/>
  <c r="G23" i="15"/>
  <c r="E23" i="15"/>
  <c r="C23" i="15"/>
  <c r="P22" i="15"/>
  <c r="K22" i="15"/>
  <c r="I22" i="15"/>
  <c r="G22" i="15"/>
  <c r="O22" i="15" s="1"/>
  <c r="E22" i="15"/>
  <c r="C22" i="15"/>
  <c r="P21" i="15"/>
  <c r="K21" i="15"/>
  <c r="I21" i="15"/>
  <c r="O21" i="15" s="1"/>
  <c r="G21" i="15"/>
  <c r="Q21" i="15" s="1"/>
  <c r="E21" i="15"/>
  <c r="C21" i="15"/>
  <c r="P20" i="15"/>
  <c r="K20" i="15"/>
  <c r="I20" i="15"/>
  <c r="G20" i="15"/>
  <c r="E20" i="15"/>
  <c r="C20" i="15"/>
  <c r="P19" i="15"/>
  <c r="K19" i="15"/>
  <c r="I19" i="15"/>
  <c r="G19" i="15"/>
  <c r="E19" i="15"/>
  <c r="C19" i="15"/>
  <c r="Q18" i="15"/>
  <c r="P18" i="15"/>
  <c r="K18" i="15"/>
  <c r="I18" i="15"/>
  <c r="G18" i="15"/>
  <c r="E18" i="15"/>
  <c r="C18" i="15"/>
  <c r="P17" i="15"/>
  <c r="K17" i="15"/>
  <c r="I17" i="15"/>
  <c r="G17" i="15"/>
  <c r="Q17" i="15" s="1"/>
  <c r="E17" i="15"/>
  <c r="C17" i="15"/>
  <c r="K16" i="15"/>
  <c r="I16" i="15"/>
  <c r="O16" i="15" s="1"/>
  <c r="G16" i="15"/>
  <c r="Q16" i="15" s="1"/>
  <c r="E16" i="15"/>
  <c r="C16" i="15"/>
  <c r="K15" i="15"/>
  <c r="I15" i="15"/>
  <c r="G15" i="15"/>
  <c r="Q15" i="15" s="1"/>
  <c r="E15" i="15"/>
  <c r="C15" i="15"/>
  <c r="K14" i="15"/>
  <c r="I14" i="15"/>
  <c r="G14" i="15"/>
  <c r="Q14" i="15" s="1"/>
  <c r="E14" i="15"/>
  <c r="C14" i="15"/>
  <c r="K13" i="15"/>
  <c r="O13" i="15" s="1"/>
  <c r="P13" i="15" s="1"/>
  <c r="I13" i="15"/>
  <c r="G13" i="15"/>
  <c r="Q13" i="15" s="1"/>
  <c r="E13" i="15"/>
  <c r="C13" i="15"/>
  <c r="K12" i="15"/>
  <c r="I12" i="15"/>
  <c r="G12" i="15"/>
  <c r="E12" i="15"/>
  <c r="C12" i="15"/>
  <c r="K11" i="15"/>
  <c r="I11" i="15"/>
  <c r="G11" i="15"/>
  <c r="Q11" i="15" s="1"/>
  <c r="E11" i="15"/>
  <c r="C11" i="15"/>
  <c r="Q10" i="15"/>
  <c r="K10" i="15"/>
  <c r="I10" i="15"/>
  <c r="O10" i="15" s="1"/>
  <c r="P10" i="15" s="1"/>
  <c r="G10" i="15"/>
  <c r="E10" i="15"/>
  <c r="C10" i="15"/>
  <c r="K9" i="15"/>
  <c r="I9" i="15"/>
  <c r="G9" i="15"/>
  <c r="Q9" i="15" s="1"/>
  <c r="E9" i="15"/>
  <c r="C9" i="15"/>
  <c r="K8" i="15"/>
  <c r="I8" i="15"/>
  <c r="G8" i="15"/>
  <c r="Q8" i="15" s="1"/>
  <c r="E8" i="15"/>
  <c r="C8" i="15"/>
  <c r="K7" i="15"/>
  <c r="I7" i="15"/>
  <c r="G7" i="15"/>
  <c r="Q7" i="15" s="1"/>
  <c r="E7" i="15"/>
  <c r="C7" i="15"/>
  <c r="K6" i="15"/>
  <c r="I6" i="15"/>
  <c r="G6" i="15"/>
  <c r="Q6" i="15" s="1"/>
  <c r="E6" i="15"/>
  <c r="C6" i="15"/>
  <c r="P29" i="14"/>
  <c r="K29" i="14"/>
  <c r="I29" i="14"/>
  <c r="G29" i="14"/>
  <c r="Q29" i="14" s="1"/>
  <c r="E29" i="14"/>
  <c r="C29" i="14"/>
  <c r="P28" i="14"/>
  <c r="K28" i="14"/>
  <c r="O28" i="14" s="1"/>
  <c r="I28" i="14"/>
  <c r="G28" i="14"/>
  <c r="Q28" i="14" s="1"/>
  <c r="E28" i="14"/>
  <c r="C28" i="14"/>
  <c r="P27" i="14"/>
  <c r="K27" i="14"/>
  <c r="I27" i="14"/>
  <c r="G27" i="14"/>
  <c r="E27" i="14"/>
  <c r="C27" i="14"/>
  <c r="P26" i="14"/>
  <c r="K26" i="14"/>
  <c r="I26" i="14"/>
  <c r="G26" i="14"/>
  <c r="Q26" i="14" s="1"/>
  <c r="E26" i="14"/>
  <c r="C26" i="14"/>
  <c r="P25" i="14"/>
  <c r="K25" i="14"/>
  <c r="I25" i="14"/>
  <c r="G25" i="14"/>
  <c r="E25" i="14"/>
  <c r="C25" i="14"/>
  <c r="P24" i="14"/>
  <c r="K24" i="14"/>
  <c r="I24" i="14"/>
  <c r="G24" i="14"/>
  <c r="E24" i="14"/>
  <c r="C24" i="14"/>
  <c r="P23" i="14"/>
  <c r="K23" i="14"/>
  <c r="I23" i="14"/>
  <c r="G23" i="14"/>
  <c r="Q23" i="14" s="1"/>
  <c r="E23" i="14"/>
  <c r="C23" i="14"/>
  <c r="P22" i="14"/>
  <c r="K22" i="14"/>
  <c r="I22" i="14"/>
  <c r="G22" i="14"/>
  <c r="E22" i="14"/>
  <c r="C22" i="14"/>
  <c r="P21" i="14"/>
  <c r="K21" i="14"/>
  <c r="I21" i="14"/>
  <c r="G21" i="14"/>
  <c r="E21" i="14"/>
  <c r="C21" i="14"/>
  <c r="P20" i="14"/>
  <c r="K20" i="14"/>
  <c r="I20" i="14"/>
  <c r="G20" i="14"/>
  <c r="Q20" i="14" s="1"/>
  <c r="E20" i="14"/>
  <c r="C20" i="14"/>
  <c r="P19" i="14"/>
  <c r="K19" i="14"/>
  <c r="I19" i="14"/>
  <c r="G19" i="14"/>
  <c r="E19" i="14"/>
  <c r="C19" i="14"/>
  <c r="P18" i="14"/>
  <c r="K18" i="14"/>
  <c r="I18" i="14"/>
  <c r="G18" i="14"/>
  <c r="E18" i="14"/>
  <c r="C18" i="14"/>
  <c r="P17" i="14"/>
  <c r="K17" i="14"/>
  <c r="I17" i="14"/>
  <c r="G17" i="14"/>
  <c r="Q17" i="14" s="1"/>
  <c r="E17" i="14"/>
  <c r="C17" i="14"/>
  <c r="P16" i="14"/>
  <c r="K16" i="14"/>
  <c r="I16" i="14"/>
  <c r="G16" i="14"/>
  <c r="Q16" i="14" s="1"/>
  <c r="E16" i="14"/>
  <c r="C16" i="14"/>
  <c r="Q15" i="14"/>
  <c r="P15" i="14"/>
  <c r="O15" i="14"/>
  <c r="K15" i="14"/>
  <c r="I15" i="14"/>
  <c r="G15" i="14"/>
  <c r="E15" i="14"/>
  <c r="C15" i="14"/>
  <c r="K14" i="14"/>
  <c r="I14" i="14"/>
  <c r="G14" i="14"/>
  <c r="E14" i="14"/>
  <c r="C14" i="14"/>
  <c r="K13" i="14"/>
  <c r="I13" i="14"/>
  <c r="G13" i="14"/>
  <c r="Q13" i="14" s="1"/>
  <c r="E13" i="14"/>
  <c r="C13" i="14"/>
  <c r="Q12" i="14"/>
  <c r="K12" i="14"/>
  <c r="I12" i="14"/>
  <c r="G12" i="14"/>
  <c r="E12" i="14"/>
  <c r="C12" i="14"/>
  <c r="K11" i="14"/>
  <c r="I11" i="14"/>
  <c r="G11" i="14"/>
  <c r="Q11" i="14" s="1"/>
  <c r="E11" i="14"/>
  <c r="C11" i="14"/>
  <c r="K10" i="14"/>
  <c r="I10" i="14"/>
  <c r="G10" i="14"/>
  <c r="Q10" i="14" s="1"/>
  <c r="E10" i="14"/>
  <c r="C10" i="14"/>
  <c r="K9" i="14"/>
  <c r="I9" i="14"/>
  <c r="G9" i="14"/>
  <c r="Q9" i="14" s="1"/>
  <c r="E9" i="14"/>
  <c r="C9" i="14"/>
  <c r="K8" i="14"/>
  <c r="I8" i="14"/>
  <c r="G8" i="14"/>
  <c r="Q8" i="14" s="1"/>
  <c r="E8" i="14"/>
  <c r="C8" i="14"/>
  <c r="K7" i="14"/>
  <c r="I7" i="14"/>
  <c r="G7" i="14"/>
  <c r="Q7" i="14" s="1"/>
  <c r="E7" i="14"/>
  <c r="C7" i="14"/>
  <c r="K6" i="14"/>
  <c r="O6" i="14" s="1"/>
  <c r="P6" i="14" s="1"/>
  <c r="I6" i="14"/>
  <c r="G6" i="14"/>
  <c r="Q6" i="14" s="1"/>
  <c r="E6" i="14"/>
  <c r="C6" i="14"/>
  <c r="P29" i="13"/>
  <c r="K29" i="13"/>
  <c r="I29" i="13"/>
  <c r="G29" i="13"/>
  <c r="Q29" i="13" s="1"/>
  <c r="E29" i="13"/>
  <c r="C29" i="13"/>
  <c r="P28" i="13"/>
  <c r="K28" i="13"/>
  <c r="I28" i="13"/>
  <c r="G28" i="13"/>
  <c r="E28" i="13"/>
  <c r="C28" i="13"/>
  <c r="P27" i="13"/>
  <c r="K27" i="13"/>
  <c r="I27" i="13"/>
  <c r="G27" i="13"/>
  <c r="E27" i="13"/>
  <c r="C27" i="13"/>
  <c r="P26" i="13"/>
  <c r="K26" i="13"/>
  <c r="I26" i="13"/>
  <c r="G26" i="13"/>
  <c r="E26" i="13"/>
  <c r="C26" i="13"/>
  <c r="P25" i="13"/>
  <c r="K25" i="13"/>
  <c r="I25" i="13"/>
  <c r="G25" i="13"/>
  <c r="Q25" i="13" s="1"/>
  <c r="E25" i="13"/>
  <c r="C25" i="13"/>
  <c r="P24" i="13"/>
  <c r="K24" i="13"/>
  <c r="I24" i="13"/>
  <c r="G24" i="13"/>
  <c r="E24" i="13"/>
  <c r="C24" i="13"/>
  <c r="P23" i="13"/>
  <c r="K23" i="13"/>
  <c r="I23" i="13"/>
  <c r="G23" i="13"/>
  <c r="E23" i="13"/>
  <c r="C23" i="13"/>
  <c r="P22" i="13"/>
  <c r="K22" i="13"/>
  <c r="I22" i="13"/>
  <c r="G22" i="13"/>
  <c r="Q22" i="13" s="1"/>
  <c r="E22" i="13"/>
  <c r="C22" i="13"/>
  <c r="P21" i="13"/>
  <c r="K21" i="13"/>
  <c r="I21" i="13"/>
  <c r="G21" i="13"/>
  <c r="E21" i="13"/>
  <c r="C21" i="13"/>
  <c r="P20" i="13"/>
  <c r="K20" i="13"/>
  <c r="I20" i="13"/>
  <c r="G20" i="13"/>
  <c r="E20" i="13"/>
  <c r="C20" i="13"/>
  <c r="P19" i="13"/>
  <c r="K19" i="13"/>
  <c r="I19" i="13"/>
  <c r="O19" i="13" s="1"/>
  <c r="G19" i="13"/>
  <c r="Q19" i="13" s="1"/>
  <c r="E19" i="13"/>
  <c r="C19" i="13"/>
  <c r="P18" i="13"/>
  <c r="K18" i="13"/>
  <c r="I18" i="13"/>
  <c r="G18" i="13"/>
  <c r="E18" i="13"/>
  <c r="C18" i="13"/>
  <c r="P17" i="13"/>
  <c r="K17" i="13"/>
  <c r="I17" i="13"/>
  <c r="G17" i="13"/>
  <c r="Q17" i="13" s="1"/>
  <c r="E17" i="13"/>
  <c r="C17" i="13"/>
  <c r="P16" i="13"/>
  <c r="K16" i="13"/>
  <c r="O16" i="13" s="1"/>
  <c r="I16" i="13"/>
  <c r="G16" i="13"/>
  <c r="Q16" i="13" s="1"/>
  <c r="E16" i="13"/>
  <c r="C16" i="13"/>
  <c r="P15" i="13"/>
  <c r="K15" i="13"/>
  <c r="I15" i="13"/>
  <c r="G15" i="13"/>
  <c r="Q15" i="13" s="1"/>
  <c r="E15" i="13"/>
  <c r="C15" i="13"/>
  <c r="K14" i="13"/>
  <c r="I14" i="13"/>
  <c r="G14" i="13"/>
  <c r="Q14" i="13" s="1"/>
  <c r="E14" i="13"/>
  <c r="C14" i="13"/>
  <c r="K13" i="13"/>
  <c r="I13" i="13"/>
  <c r="G13" i="13"/>
  <c r="E13" i="13"/>
  <c r="C13" i="13"/>
  <c r="K12" i="13"/>
  <c r="I12" i="13"/>
  <c r="G12" i="13"/>
  <c r="Q12" i="13" s="1"/>
  <c r="E12" i="13"/>
  <c r="C12" i="13"/>
  <c r="K11" i="13"/>
  <c r="I11" i="13"/>
  <c r="G11" i="13"/>
  <c r="Q11" i="13" s="1"/>
  <c r="E11" i="13"/>
  <c r="C11" i="13"/>
  <c r="K10" i="13"/>
  <c r="I10" i="13"/>
  <c r="G10" i="13"/>
  <c r="Q10" i="13" s="1"/>
  <c r="E10" i="13"/>
  <c r="C10" i="13"/>
  <c r="K9" i="13"/>
  <c r="I9" i="13"/>
  <c r="G9" i="13"/>
  <c r="Q9" i="13" s="1"/>
  <c r="E9" i="13"/>
  <c r="C9" i="13"/>
  <c r="K8" i="13"/>
  <c r="I8" i="13"/>
  <c r="G8" i="13"/>
  <c r="E8" i="13"/>
  <c r="C8" i="13"/>
  <c r="K7" i="13"/>
  <c r="I7" i="13"/>
  <c r="G7" i="13"/>
  <c r="Q7" i="13" s="1"/>
  <c r="E7" i="13"/>
  <c r="C7" i="13"/>
  <c r="Q6" i="13"/>
  <c r="K6" i="13"/>
  <c r="I6" i="13"/>
  <c r="G6" i="13"/>
  <c r="E6" i="13"/>
  <c r="C6" i="13"/>
  <c r="P31" i="12"/>
  <c r="K31" i="12"/>
  <c r="I31" i="12"/>
  <c r="G31" i="12"/>
  <c r="Q31" i="12" s="1"/>
  <c r="E31" i="12"/>
  <c r="C31" i="12"/>
  <c r="P30" i="12"/>
  <c r="K30" i="12"/>
  <c r="I30" i="12"/>
  <c r="G30" i="12"/>
  <c r="Q30" i="12" s="1"/>
  <c r="E30" i="12"/>
  <c r="C30" i="12"/>
  <c r="P29" i="12"/>
  <c r="K29" i="12"/>
  <c r="I29" i="12"/>
  <c r="G29" i="12"/>
  <c r="Q29" i="12" s="1"/>
  <c r="E29" i="12"/>
  <c r="C29" i="12"/>
  <c r="P28" i="12"/>
  <c r="K28" i="12"/>
  <c r="I28" i="12"/>
  <c r="G28" i="12"/>
  <c r="Q28" i="12" s="1"/>
  <c r="E28" i="12"/>
  <c r="C28" i="12"/>
  <c r="P27" i="12"/>
  <c r="K27" i="12"/>
  <c r="I27" i="12"/>
  <c r="G27" i="12"/>
  <c r="Q27" i="12" s="1"/>
  <c r="E27" i="12"/>
  <c r="C27" i="12"/>
  <c r="P26" i="12"/>
  <c r="K26" i="12"/>
  <c r="I26" i="12"/>
  <c r="G26" i="12"/>
  <c r="O26" i="12" s="1"/>
  <c r="E26" i="12"/>
  <c r="C26" i="12"/>
  <c r="P25" i="12"/>
  <c r="K25" i="12"/>
  <c r="I25" i="12"/>
  <c r="G25" i="12"/>
  <c r="Q25" i="12" s="1"/>
  <c r="E25" i="12"/>
  <c r="C25" i="12"/>
  <c r="P24" i="12"/>
  <c r="K24" i="12"/>
  <c r="I24" i="12"/>
  <c r="G24" i="12"/>
  <c r="E24" i="12"/>
  <c r="C24" i="12"/>
  <c r="P23" i="12"/>
  <c r="K23" i="12"/>
  <c r="I23" i="12"/>
  <c r="G23" i="12"/>
  <c r="Q23" i="12" s="1"/>
  <c r="E23" i="12"/>
  <c r="C23" i="12"/>
  <c r="P22" i="12"/>
  <c r="K22" i="12"/>
  <c r="I22" i="12"/>
  <c r="G22" i="12"/>
  <c r="Q22" i="12" s="1"/>
  <c r="E22" i="12"/>
  <c r="C22" i="12"/>
  <c r="P21" i="12"/>
  <c r="K21" i="12"/>
  <c r="I21" i="12"/>
  <c r="G21" i="12"/>
  <c r="Q21" i="12" s="1"/>
  <c r="E21" i="12"/>
  <c r="C21" i="12"/>
  <c r="P20" i="12"/>
  <c r="K20" i="12"/>
  <c r="I20" i="12"/>
  <c r="O20" i="12" s="1"/>
  <c r="G20" i="12"/>
  <c r="Q20" i="12" s="1"/>
  <c r="E20" i="12"/>
  <c r="C20" i="12"/>
  <c r="P19" i="12"/>
  <c r="K19" i="12"/>
  <c r="I19" i="12"/>
  <c r="G19" i="12"/>
  <c r="Q19" i="12" s="1"/>
  <c r="E19" i="12"/>
  <c r="C19" i="12"/>
  <c r="P18" i="12"/>
  <c r="K18" i="12"/>
  <c r="I18" i="12"/>
  <c r="O18" i="12" s="1"/>
  <c r="G18" i="12"/>
  <c r="Q18" i="12" s="1"/>
  <c r="E18" i="12"/>
  <c r="C18" i="12"/>
  <c r="P17" i="12"/>
  <c r="K17" i="12"/>
  <c r="I17" i="12"/>
  <c r="G17" i="12"/>
  <c r="O17" i="12" s="1"/>
  <c r="E17" i="12"/>
  <c r="C17" i="12"/>
  <c r="K16" i="12"/>
  <c r="I16" i="12"/>
  <c r="G16" i="12"/>
  <c r="Q16" i="12" s="1"/>
  <c r="E16" i="12"/>
  <c r="C16" i="12"/>
  <c r="K15" i="12"/>
  <c r="I15" i="12"/>
  <c r="G15" i="12"/>
  <c r="Q15" i="12" s="1"/>
  <c r="E15" i="12"/>
  <c r="C15" i="12"/>
  <c r="K14" i="12"/>
  <c r="I14" i="12"/>
  <c r="G14" i="12"/>
  <c r="Q14" i="12" s="1"/>
  <c r="E14" i="12"/>
  <c r="C14" i="12"/>
  <c r="K13" i="12"/>
  <c r="I13" i="12"/>
  <c r="G13" i="12"/>
  <c r="Q13" i="12" s="1"/>
  <c r="E13" i="12"/>
  <c r="C13" i="12"/>
  <c r="K12" i="12"/>
  <c r="I12" i="12"/>
  <c r="G12" i="12"/>
  <c r="Q12" i="12" s="1"/>
  <c r="E12" i="12"/>
  <c r="C12" i="12"/>
  <c r="K11" i="12"/>
  <c r="I11" i="12"/>
  <c r="G11" i="12"/>
  <c r="Q11" i="12" s="1"/>
  <c r="E11" i="12"/>
  <c r="C11" i="12"/>
  <c r="K10" i="12"/>
  <c r="I10" i="12"/>
  <c r="G10" i="12"/>
  <c r="Q10" i="12" s="1"/>
  <c r="E10" i="12"/>
  <c r="C10" i="12"/>
  <c r="K9" i="12"/>
  <c r="I9" i="12"/>
  <c r="O9" i="12" s="1"/>
  <c r="G9" i="12"/>
  <c r="Q9" i="12" s="1"/>
  <c r="E9" i="12"/>
  <c r="C9" i="12"/>
  <c r="K8" i="12"/>
  <c r="I8" i="12"/>
  <c r="G8" i="12"/>
  <c r="Q8" i="12" s="1"/>
  <c r="E8" i="12"/>
  <c r="C8" i="12"/>
  <c r="K7" i="12"/>
  <c r="I7" i="12"/>
  <c r="G7" i="12"/>
  <c r="Q7" i="12" s="1"/>
  <c r="E7" i="12"/>
  <c r="C7" i="12"/>
  <c r="K6" i="12"/>
  <c r="I6" i="12"/>
  <c r="G6" i="12"/>
  <c r="Q6" i="12" s="1"/>
  <c r="E6" i="12"/>
  <c r="C6" i="12"/>
  <c r="P31" i="11"/>
  <c r="K31" i="11"/>
  <c r="O31" i="11" s="1"/>
  <c r="I31" i="11"/>
  <c r="G31" i="11"/>
  <c r="Q31" i="11" s="1"/>
  <c r="E31" i="11"/>
  <c r="C31" i="11"/>
  <c r="P30" i="11"/>
  <c r="K30" i="11"/>
  <c r="I30" i="11"/>
  <c r="G30" i="11"/>
  <c r="Q30" i="11" s="1"/>
  <c r="E30" i="11"/>
  <c r="C30" i="11"/>
  <c r="P29" i="11"/>
  <c r="K29" i="11"/>
  <c r="I29" i="11"/>
  <c r="G29" i="11"/>
  <c r="Q29" i="11" s="1"/>
  <c r="E29" i="11"/>
  <c r="C29" i="11"/>
  <c r="P28" i="11"/>
  <c r="K28" i="11"/>
  <c r="I28" i="11"/>
  <c r="G28" i="11"/>
  <c r="Q28" i="11" s="1"/>
  <c r="E28" i="11"/>
  <c r="C28" i="11"/>
  <c r="P27" i="11"/>
  <c r="K27" i="11"/>
  <c r="I27" i="11"/>
  <c r="G27" i="11"/>
  <c r="O27" i="11" s="1"/>
  <c r="E27" i="11"/>
  <c r="C27" i="11"/>
  <c r="P26" i="11"/>
  <c r="K26" i="11"/>
  <c r="I26" i="11"/>
  <c r="G26" i="11"/>
  <c r="Q26" i="11" s="1"/>
  <c r="E26" i="11"/>
  <c r="C26" i="11"/>
  <c r="P25" i="11"/>
  <c r="K25" i="11"/>
  <c r="I25" i="11"/>
  <c r="G25" i="11"/>
  <c r="E25" i="11"/>
  <c r="C25" i="11"/>
  <c r="P24" i="11"/>
  <c r="K24" i="11"/>
  <c r="I24" i="11"/>
  <c r="G24" i="11"/>
  <c r="E24" i="11"/>
  <c r="C24" i="11"/>
  <c r="P23" i="11"/>
  <c r="K23" i="11"/>
  <c r="I23" i="11"/>
  <c r="G23" i="11"/>
  <c r="Q23" i="11" s="1"/>
  <c r="E23" i="11"/>
  <c r="C23" i="11"/>
  <c r="P22" i="11"/>
  <c r="K22" i="11"/>
  <c r="I22" i="11"/>
  <c r="G22" i="11"/>
  <c r="Q22" i="11" s="1"/>
  <c r="E22" i="11"/>
  <c r="C22" i="11"/>
  <c r="P21" i="11"/>
  <c r="K21" i="11"/>
  <c r="I21" i="11"/>
  <c r="G21" i="11"/>
  <c r="Q21" i="11" s="1"/>
  <c r="E21" i="11"/>
  <c r="C21" i="11"/>
  <c r="P20" i="11"/>
  <c r="K20" i="11"/>
  <c r="I20" i="11"/>
  <c r="G20" i="11"/>
  <c r="O20" i="11" s="1"/>
  <c r="E20" i="11"/>
  <c r="C20" i="11"/>
  <c r="P19" i="11"/>
  <c r="K19" i="11"/>
  <c r="I19" i="11"/>
  <c r="G19" i="11"/>
  <c r="O19" i="11" s="1"/>
  <c r="E19" i="11"/>
  <c r="C19" i="11"/>
  <c r="P18" i="11"/>
  <c r="K18" i="11"/>
  <c r="I18" i="11"/>
  <c r="G18" i="11"/>
  <c r="Q18" i="11" s="1"/>
  <c r="E18" i="11"/>
  <c r="C18" i="11"/>
  <c r="P17" i="11"/>
  <c r="K17" i="11"/>
  <c r="I17" i="11"/>
  <c r="G17" i="11"/>
  <c r="Q17" i="11" s="1"/>
  <c r="E17" i="11"/>
  <c r="C17" i="11"/>
  <c r="K16" i="11"/>
  <c r="I16" i="11"/>
  <c r="G16" i="11"/>
  <c r="E16" i="11"/>
  <c r="C16" i="11"/>
  <c r="K15" i="11"/>
  <c r="I15" i="11"/>
  <c r="G15" i="11"/>
  <c r="Q15" i="11" s="1"/>
  <c r="E15" i="11"/>
  <c r="C15" i="11"/>
  <c r="K14" i="11"/>
  <c r="I14" i="11"/>
  <c r="G14" i="11"/>
  <c r="E14" i="11"/>
  <c r="C14" i="11"/>
  <c r="K13" i="11"/>
  <c r="O13" i="11" s="1"/>
  <c r="P13" i="11" s="1"/>
  <c r="I13" i="11"/>
  <c r="G13" i="11"/>
  <c r="E13" i="11"/>
  <c r="C13" i="11"/>
  <c r="K12" i="11"/>
  <c r="I12" i="11"/>
  <c r="G12" i="11"/>
  <c r="E12" i="11"/>
  <c r="C12" i="11"/>
  <c r="K11" i="11"/>
  <c r="I11" i="11"/>
  <c r="G11" i="11"/>
  <c r="E11" i="11"/>
  <c r="C11" i="11"/>
  <c r="K10" i="11"/>
  <c r="I10" i="11"/>
  <c r="G10" i="11"/>
  <c r="Q10" i="11" s="1"/>
  <c r="E10" i="11"/>
  <c r="C10" i="11"/>
  <c r="K9" i="11"/>
  <c r="I9" i="11"/>
  <c r="G9" i="11"/>
  <c r="E9" i="11"/>
  <c r="C9" i="11"/>
  <c r="K8" i="11"/>
  <c r="I8" i="11"/>
  <c r="G8" i="11"/>
  <c r="E8" i="11"/>
  <c r="C8" i="11"/>
  <c r="K7" i="11"/>
  <c r="I7" i="11"/>
  <c r="G7" i="11"/>
  <c r="E7" i="11"/>
  <c r="C7" i="11"/>
  <c r="K6" i="11"/>
  <c r="I6" i="11"/>
  <c r="G6" i="11"/>
  <c r="E6" i="11"/>
  <c r="C6" i="11"/>
  <c r="P32" i="10"/>
  <c r="K32" i="10"/>
  <c r="I32" i="10"/>
  <c r="G32" i="10"/>
  <c r="Q32" i="10" s="1"/>
  <c r="E32" i="10"/>
  <c r="C32" i="10"/>
  <c r="P31" i="10"/>
  <c r="K31" i="10"/>
  <c r="I31" i="10"/>
  <c r="G31" i="10"/>
  <c r="Q31" i="10" s="1"/>
  <c r="E31" i="10"/>
  <c r="C31" i="10"/>
  <c r="P30" i="10"/>
  <c r="K30" i="10"/>
  <c r="I30" i="10"/>
  <c r="G30" i="10"/>
  <c r="Q30" i="10" s="1"/>
  <c r="E30" i="10"/>
  <c r="C30" i="10"/>
  <c r="P29" i="10"/>
  <c r="K29" i="10"/>
  <c r="I29" i="10"/>
  <c r="G29" i="10"/>
  <c r="Q29" i="10" s="1"/>
  <c r="E29" i="10"/>
  <c r="C29" i="10"/>
  <c r="P28" i="10"/>
  <c r="K28" i="10"/>
  <c r="I28" i="10"/>
  <c r="G28" i="10"/>
  <c r="Q28" i="10" s="1"/>
  <c r="E28" i="10"/>
  <c r="C28" i="10"/>
  <c r="P27" i="10"/>
  <c r="K27" i="10"/>
  <c r="I27" i="10"/>
  <c r="G27" i="10"/>
  <c r="Q27" i="10" s="1"/>
  <c r="E27" i="10"/>
  <c r="C27" i="10"/>
  <c r="P26" i="10"/>
  <c r="K26" i="10"/>
  <c r="I26" i="10"/>
  <c r="G26" i="10"/>
  <c r="Q26" i="10" s="1"/>
  <c r="E26" i="10"/>
  <c r="C26" i="10"/>
  <c r="P25" i="10"/>
  <c r="K25" i="10"/>
  <c r="I25" i="10"/>
  <c r="G25" i="10"/>
  <c r="Q25" i="10" s="1"/>
  <c r="E25" i="10"/>
  <c r="C25" i="10"/>
  <c r="P24" i="10"/>
  <c r="K24" i="10"/>
  <c r="I24" i="10"/>
  <c r="G24" i="10"/>
  <c r="O24" i="10" s="1"/>
  <c r="E24" i="10"/>
  <c r="C24" i="10"/>
  <c r="P23" i="10"/>
  <c r="K23" i="10"/>
  <c r="I23" i="10"/>
  <c r="G23" i="10"/>
  <c r="Q23" i="10" s="1"/>
  <c r="E23" i="10"/>
  <c r="C23" i="10"/>
  <c r="P22" i="10"/>
  <c r="K22" i="10"/>
  <c r="I22" i="10"/>
  <c r="G22" i="10"/>
  <c r="Q22" i="10" s="1"/>
  <c r="E22" i="10"/>
  <c r="C22" i="10"/>
  <c r="P21" i="10"/>
  <c r="K21" i="10"/>
  <c r="I21" i="10"/>
  <c r="G21" i="10"/>
  <c r="Q21" i="10" s="1"/>
  <c r="E21" i="10"/>
  <c r="C21" i="10"/>
  <c r="P20" i="10"/>
  <c r="K20" i="10"/>
  <c r="I20" i="10"/>
  <c r="G20" i="10"/>
  <c r="O20" i="10" s="1"/>
  <c r="E20" i="10"/>
  <c r="C20" i="10"/>
  <c r="P19" i="10"/>
  <c r="K19" i="10"/>
  <c r="I19" i="10"/>
  <c r="G19" i="10"/>
  <c r="Q19" i="10" s="1"/>
  <c r="E19" i="10"/>
  <c r="C19" i="10"/>
  <c r="P18" i="10"/>
  <c r="K18" i="10"/>
  <c r="I18" i="10"/>
  <c r="G18" i="10"/>
  <c r="Q18" i="10" s="1"/>
  <c r="E18" i="10"/>
  <c r="C18" i="10"/>
  <c r="K17" i="10"/>
  <c r="I17" i="10"/>
  <c r="G17" i="10"/>
  <c r="Q17" i="10" s="1"/>
  <c r="E17" i="10"/>
  <c r="C17" i="10"/>
  <c r="K16" i="10"/>
  <c r="I16" i="10"/>
  <c r="G16" i="10"/>
  <c r="Q16" i="10" s="1"/>
  <c r="E16" i="10"/>
  <c r="C16" i="10"/>
  <c r="O15" i="10"/>
  <c r="P15" i="10" s="1"/>
  <c r="K15" i="10"/>
  <c r="I15" i="10"/>
  <c r="G15" i="10"/>
  <c r="Q15" i="10" s="1"/>
  <c r="E15" i="10"/>
  <c r="C15" i="10"/>
  <c r="K14" i="10"/>
  <c r="I14" i="10"/>
  <c r="G14" i="10"/>
  <c r="Q14" i="10" s="1"/>
  <c r="E14" i="10"/>
  <c r="C14" i="10"/>
  <c r="K13" i="10"/>
  <c r="I13" i="10"/>
  <c r="G13" i="10"/>
  <c r="Q13" i="10" s="1"/>
  <c r="E13" i="10"/>
  <c r="C13" i="10"/>
  <c r="K12" i="10"/>
  <c r="I12" i="10"/>
  <c r="G12" i="10"/>
  <c r="Q12" i="10" s="1"/>
  <c r="E12" i="10"/>
  <c r="C12" i="10"/>
  <c r="K11" i="10"/>
  <c r="I11" i="10"/>
  <c r="G11" i="10"/>
  <c r="Q11" i="10" s="1"/>
  <c r="E11" i="10"/>
  <c r="C11" i="10"/>
  <c r="K10" i="10"/>
  <c r="I10" i="10"/>
  <c r="G10" i="10"/>
  <c r="E10" i="10"/>
  <c r="C10" i="10"/>
  <c r="K9" i="10"/>
  <c r="I9" i="10"/>
  <c r="G9" i="10"/>
  <c r="Q9" i="10" s="1"/>
  <c r="E9" i="10"/>
  <c r="C9" i="10"/>
  <c r="K8" i="10"/>
  <c r="I8" i="10"/>
  <c r="G8" i="10"/>
  <c r="Q8" i="10" s="1"/>
  <c r="E8" i="10"/>
  <c r="C8" i="10"/>
  <c r="K7" i="10"/>
  <c r="O7" i="10" s="1"/>
  <c r="I7" i="10"/>
  <c r="G7" i="10"/>
  <c r="Q7" i="10" s="1"/>
  <c r="E7" i="10"/>
  <c r="C7" i="10"/>
  <c r="P7" i="10" s="1"/>
  <c r="K6" i="10"/>
  <c r="I6" i="10"/>
  <c r="G6" i="10"/>
  <c r="Q6" i="10" s="1"/>
  <c r="E6" i="10"/>
  <c r="C6" i="10"/>
  <c r="P31" i="9"/>
  <c r="K31" i="9"/>
  <c r="I31" i="9"/>
  <c r="G31" i="9"/>
  <c r="E31" i="9"/>
  <c r="C31" i="9"/>
  <c r="P30" i="9"/>
  <c r="K30" i="9"/>
  <c r="I30" i="9"/>
  <c r="G30" i="9"/>
  <c r="Q30" i="9" s="1"/>
  <c r="E30" i="9"/>
  <c r="C30" i="9"/>
  <c r="P29" i="9"/>
  <c r="K29" i="9"/>
  <c r="I29" i="9"/>
  <c r="G29" i="9"/>
  <c r="Q29" i="9" s="1"/>
  <c r="E29" i="9"/>
  <c r="C29" i="9"/>
  <c r="P28" i="9"/>
  <c r="K28" i="9"/>
  <c r="I28" i="9"/>
  <c r="G28" i="9"/>
  <c r="Q28" i="9" s="1"/>
  <c r="E28" i="9"/>
  <c r="C28" i="9"/>
  <c r="P27" i="9"/>
  <c r="K27" i="9"/>
  <c r="I27" i="9"/>
  <c r="G27" i="9"/>
  <c r="Q27" i="9" s="1"/>
  <c r="E27" i="9"/>
  <c r="C27" i="9"/>
  <c r="P26" i="9"/>
  <c r="K26" i="9"/>
  <c r="I26" i="9"/>
  <c r="G26" i="9"/>
  <c r="Q26" i="9" s="1"/>
  <c r="E26" i="9"/>
  <c r="C26" i="9"/>
  <c r="P25" i="9"/>
  <c r="K25" i="9"/>
  <c r="O25" i="9" s="1"/>
  <c r="I25" i="9"/>
  <c r="G25" i="9"/>
  <c r="Q25" i="9" s="1"/>
  <c r="E25" i="9"/>
  <c r="C25" i="9"/>
  <c r="P24" i="9"/>
  <c r="K24" i="9"/>
  <c r="I24" i="9"/>
  <c r="G24" i="9"/>
  <c r="Q24" i="9" s="1"/>
  <c r="E24" i="9"/>
  <c r="C24" i="9"/>
  <c r="P23" i="9"/>
  <c r="K23" i="9"/>
  <c r="I23" i="9"/>
  <c r="G23" i="9"/>
  <c r="Q23" i="9" s="1"/>
  <c r="E23" i="9"/>
  <c r="C23" i="9"/>
  <c r="P22" i="9"/>
  <c r="K22" i="9"/>
  <c r="I22" i="9"/>
  <c r="G22" i="9"/>
  <c r="Q22" i="9" s="1"/>
  <c r="E22" i="9"/>
  <c r="C22" i="9"/>
  <c r="P21" i="9"/>
  <c r="K21" i="9"/>
  <c r="I21" i="9"/>
  <c r="G21" i="9"/>
  <c r="Q21" i="9" s="1"/>
  <c r="E21" i="9"/>
  <c r="C21" i="9"/>
  <c r="P20" i="9"/>
  <c r="K20" i="9"/>
  <c r="I20" i="9"/>
  <c r="G20" i="9"/>
  <c r="Q20" i="9" s="1"/>
  <c r="E20" i="9"/>
  <c r="C20" i="9"/>
  <c r="P19" i="9"/>
  <c r="K19" i="9"/>
  <c r="I19" i="9"/>
  <c r="G19" i="9"/>
  <c r="E19" i="9"/>
  <c r="C19" i="9"/>
  <c r="P18" i="9"/>
  <c r="K18" i="9"/>
  <c r="I18" i="9"/>
  <c r="G18" i="9"/>
  <c r="Q18" i="9" s="1"/>
  <c r="E18" i="9"/>
  <c r="C18" i="9"/>
  <c r="P17" i="9"/>
  <c r="K17" i="9"/>
  <c r="I17" i="9"/>
  <c r="G17" i="9"/>
  <c r="Q17" i="9" s="1"/>
  <c r="E17" i="9"/>
  <c r="C17" i="9"/>
  <c r="K16" i="9"/>
  <c r="I16" i="9"/>
  <c r="G16" i="9"/>
  <c r="E16" i="9"/>
  <c r="C16" i="9"/>
  <c r="K15" i="9"/>
  <c r="I15" i="9"/>
  <c r="G15" i="9"/>
  <c r="E15" i="9"/>
  <c r="C15" i="9"/>
  <c r="K14" i="9"/>
  <c r="I14" i="9"/>
  <c r="G14" i="9"/>
  <c r="E14" i="9"/>
  <c r="C14" i="9"/>
  <c r="K13" i="9"/>
  <c r="I13" i="9"/>
  <c r="G13" i="9"/>
  <c r="E13" i="9"/>
  <c r="C13" i="9"/>
  <c r="K12" i="9"/>
  <c r="I12" i="9"/>
  <c r="G12" i="9"/>
  <c r="E12" i="9"/>
  <c r="C12" i="9"/>
  <c r="K11" i="9"/>
  <c r="I11" i="9"/>
  <c r="G11" i="9"/>
  <c r="E11" i="9"/>
  <c r="C11" i="9"/>
  <c r="K10" i="9"/>
  <c r="I10" i="9"/>
  <c r="G10" i="9"/>
  <c r="E10" i="9"/>
  <c r="C10" i="9"/>
  <c r="K9" i="9"/>
  <c r="I9" i="9"/>
  <c r="G9" i="9"/>
  <c r="O9" i="9" s="1"/>
  <c r="E9" i="9"/>
  <c r="C9" i="9"/>
  <c r="K8" i="9"/>
  <c r="I8" i="9"/>
  <c r="G8" i="9"/>
  <c r="E8" i="9"/>
  <c r="C8" i="9"/>
  <c r="K7" i="9"/>
  <c r="I7" i="9"/>
  <c r="G7" i="9"/>
  <c r="E7" i="9"/>
  <c r="C7" i="9"/>
  <c r="K6" i="9"/>
  <c r="I6" i="9"/>
  <c r="G6" i="9"/>
  <c r="E6" i="9"/>
  <c r="C6" i="9"/>
  <c r="P29" i="8"/>
  <c r="K29" i="8"/>
  <c r="O29" i="8" s="1"/>
  <c r="I29" i="8"/>
  <c r="G29" i="8"/>
  <c r="Q29" i="8" s="1"/>
  <c r="E29" i="8"/>
  <c r="C29" i="8"/>
  <c r="P28" i="8"/>
  <c r="K28" i="8"/>
  <c r="I28" i="8"/>
  <c r="G28" i="8"/>
  <c r="Q28" i="8" s="1"/>
  <c r="E28" i="8"/>
  <c r="C28" i="8"/>
  <c r="P27" i="8"/>
  <c r="K27" i="8"/>
  <c r="I27" i="8"/>
  <c r="G27" i="8"/>
  <c r="E27" i="8"/>
  <c r="C27" i="8"/>
  <c r="P26" i="8"/>
  <c r="K26" i="8"/>
  <c r="I26" i="8"/>
  <c r="G26" i="8"/>
  <c r="Q26" i="8" s="1"/>
  <c r="E26" i="8"/>
  <c r="C26" i="8"/>
  <c r="P25" i="8"/>
  <c r="K25" i="8"/>
  <c r="I25" i="8"/>
  <c r="G25" i="8"/>
  <c r="Q25" i="8" s="1"/>
  <c r="E25" i="8"/>
  <c r="C25" i="8"/>
  <c r="P24" i="8"/>
  <c r="K24" i="8"/>
  <c r="I24" i="8"/>
  <c r="G24" i="8"/>
  <c r="Q24" i="8" s="1"/>
  <c r="E24" i="8"/>
  <c r="C24" i="8"/>
  <c r="P23" i="8"/>
  <c r="K23" i="8"/>
  <c r="I23" i="8"/>
  <c r="G23" i="8"/>
  <c r="Q23" i="8" s="1"/>
  <c r="E23" i="8"/>
  <c r="C23" i="8"/>
  <c r="P22" i="8"/>
  <c r="K22" i="8"/>
  <c r="I22" i="8"/>
  <c r="G22" i="8"/>
  <c r="Q22" i="8" s="1"/>
  <c r="E22" i="8"/>
  <c r="C22" i="8"/>
  <c r="P21" i="8"/>
  <c r="K21" i="8"/>
  <c r="I21" i="8"/>
  <c r="G21" i="8"/>
  <c r="Q21" i="8" s="1"/>
  <c r="E21" i="8"/>
  <c r="C21" i="8"/>
  <c r="P20" i="8"/>
  <c r="K20" i="8"/>
  <c r="I20" i="8"/>
  <c r="G20" i="8"/>
  <c r="Q20" i="8" s="1"/>
  <c r="E20" i="8"/>
  <c r="C20" i="8"/>
  <c r="P19" i="8"/>
  <c r="K19" i="8"/>
  <c r="I19" i="8"/>
  <c r="G19" i="8"/>
  <c r="E19" i="8"/>
  <c r="C19" i="8"/>
  <c r="P18" i="8"/>
  <c r="K18" i="8"/>
  <c r="I18" i="8"/>
  <c r="G18" i="8"/>
  <c r="Q18" i="8" s="1"/>
  <c r="E18" i="8"/>
  <c r="C18" i="8"/>
  <c r="P17" i="8"/>
  <c r="K17" i="8"/>
  <c r="I17" i="8"/>
  <c r="G17" i="8"/>
  <c r="Q17" i="8" s="1"/>
  <c r="E17" i="8"/>
  <c r="C17" i="8"/>
  <c r="P16" i="8"/>
  <c r="K16" i="8"/>
  <c r="I16" i="8"/>
  <c r="G16" i="8"/>
  <c r="E16" i="8"/>
  <c r="C16" i="8"/>
  <c r="P15" i="8"/>
  <c r="K15" i="8"/>
  <c r="I15" i="8"/>
  <c r="G15" i="8"/>
  <c r="Q15" i="8" s="1"/>
  <c r="E15" i="8"/>
  <c r="C15" i="8"/>
  <c r="K14" i="8"/>
  <c r="I14" i="8"/>
  <c r="G14" i="8"/>
  <c r="E14" i="8"/>
  <c r="C14" i="8"/>
  <c r="K13" i="8"/>
  <c r="I13" i="8"/>
  <c r="G13" i="8"/>
  <c r="Q13" i="8" s="1"/>
  <c r="E13" i="8"/>
  <c r="C13" i="8"/>
  <c r="K12" i="8"/>
  <c r="I12" i="8"/>
  <c r="O12" i="8" s="1"/>
  <c r="P12" i="8" s="1"/>
  <c r="G12" i="8"/>
  <c r="Q12" i="8" s="1"/>
  <c r="E12" i="8"/>
  <c r="C12" i="8"/>
  <c r="K11" i="8"/>
  <c r="I11" i="8"/>
  <c r="G11" i="8"/>
  <c r="E11" i="8"/>
  <c r="C11" i="8"/>
  <c r="K10" i="8"/>
  <c r="O10" i="8" s="1"/>
  <c r="P10" i="8" s="1"/>
  <c r="I10" i="8"/>
  <c r="G10" i="8"/>
  <c r="Q10" i="8" s="1"/>
  <c r="E10" i="8"/>
  <c r="C10" i="8"/>
  <c r="K9" i="8"/>
  <c r="I9" i="8"/>
  <c r="G9" i="8"/>
  <c r="E9" i="8"/>
  <c r="C9" i="8"/>
  <c r="K8" i="8"/>
  <c r="I8" i="8"/>
  <c r="G8" i="8"/>
  <c r="E8" i="8"/>
  <c r="C8" i="8"/>
  <c r="K7" i="8"/>
  <c r="I7" i="8"/>
  <c r="G7" i="8"/>
  <c r="E7" i="8"/>
  <c r="C7" i="8"/>
  <c r="K6" i="8"/>
  <c r="I6" i="8"/>
  <c r="G6" i="8"/>
  <c r="Q6" i="8" s="1"/>
  <c r="E6" i="8"/>
  <c r="C6" i="8"/>
  <c r="P31" i="7"/>
  <c r="K31" i="7"/>
  <c r="I31" i="7"/>
  <c r="G31" i="7"/>
  <c r="Q31" i="7" s="1"/>
  <c r="E31" i="7"/>
  <c r="C31" i="7"/>
  <c r="P30" i="7"/>
  <c r="K30" i="7"/>
  <c r="I30" i="7"/>
  <c r="G30" i="7"/>
  <c r="Q30" i="7" s="1"/>
  <c r="E30" i="7"/>
  <c r="C30" i="7"/>
  <c r="P29" i="7"/>
  <c r="K29" i="7"/>
  <c r="I29" i="7"/>
  <c r="G29" i="7"/>
  <c r="Q29" i="7" s="1"/>
  <c r="E29" i="7"/>
  <c r="C29" i="7"/>
  <c r="P28" i="7"/>
  <c r="K28" i="7"/>
  <c r="I28" i="7"/>
  <c r="G28" i="7"/>
  <c r="Q28" i="7" s="1"/>
  <c r="E28" i="7"/>
  <c r="C28" i="7"/>
  <c r="P27" i="7"/>
  <c r="K27" i="7"/>
  <c r="I27" i="7"/>
  <c r="G27" i="7"/>
  <c r="Q27" i="7" s="1"/>
  <c r="E27" i="7"/>
  <c r="C27" i="7"/>
  <c r="P26" i="7"/>
  <c r="K26" i="7"/>
  <c r="I26" i="7"/>
  <c r="G26" i="7"/>
  <c r="Q26" i="7" s="1"/>
  <c r="E26" i="7"/>
  <c r="C26" i="7"/>
  <c r="P25" i="7"/>
  <c r="K25" i="7"/>
  <c r="I25" i="7"/>
  <c r="G25" i="7"/>
  <c r="E25" i="7"/>
  <c r="C25" i="7"/>
  <c r="P24" i="7"/>
  <c r="K24" i="7"/>
  <c r="I24" i="7"/>
  <c r="G24" i="7"/>
  <c r="Q24" i="7" s="1"/>
  <c r="E24" i="7"/>
  <c r="C24" i="7"/>
  <c r="P23" i="7"/>
  <c r="K23" i="7"/>
  <c r="I23" i="7"/>
  <c r="G23" i="7"/>
  <c r="Q23" i="7" s="1"/>
  <c r="E23" i="7"/>
  <c r="C23" i="7"/>
  <c r="P22" i="7"/>
  <c r="K22" i="7"/>
  <c r="I22" i="7"/>
  <c r="G22" i="7"/>
  <c r="Q22" i="7" s="1"/>
  <c r="E22" i="7"/>
  <c r="C22" i="7"/>
  <c r="P21" i="7"/>
  <c r="K21" i="7"/>
  <c r="I21" i="7"/>
  <c r="G21" i="7"/>
  <c r="Q21" i="7" s="1"/>
  <c r="E21" i="7"/>
  <c r="C21" i="7"/>
  <c r="P20" i="7"/>
  <c r="K20" i="7"/>
  <c r="I20" i="7"/>
  <c r="G20" i="7"/>
  <c r="Q20" i="7" s="1"/>
  <c r="E20" i="7"/>
  <c r="C20" i="7"/>
  <c r="P19" i="7"/>
  <c r="K19" i="7"/>
  <c r="I19" i="7"/>
  <c r="G19" i="7"/>
  <c r="Q19" i="7" s="1"/>
  <c r="E19" i="7"/>
  <c r="C19" i="7"/>
  <c r="P18" i="7"/>
  <c r="K18" i="7"/>
  <c r="I18" i="7"/>
  <c r="G18" i="7"/>
  <c r="Q18" i="7" s="1"/>
  <c r="E18" i="7"/>
  <c r="C18" i="7"/>
  <c r="P17" i="7"/>
  <c r="K17" i="7"/>
  <c r="I17" i="7"/>
  <c r="G17" i="7"/>
  <c r="E17" i="7"/>
  <c r="C17" i="7"/>
  <c r="K16" i="7"/>
  <c r="I16" i="7"/>
  <c r="G16" i="7"/>
  <c r="E16" i="7"/>
  <c r="C16" i="7"/>
  <c r="K15" i="7"/>
  <c r="I15" i="7"/>
  <c r="G15" i="7"/>
  <c r="Q15" i="7" s="1"/>
  <c r="E15" i="7"/>
  <c r="C15" i="7"/>
  <c r="K14" i="7"/>
  <c r="I14" i="7"/>
  <c r="G14" i="7"/>
  <c r="E14" i="7"/>
  <c r="C14" i="7"/>
  <c r="K13" i="7"/>
  <c r="I13" i="7"/>
  <c r="G13" i="7"/>
  <c r="E13" i="7"/>
  <c r="C13" i="7"/>
  <c r="K12" i="7"/>
  <c r="O12" i="7" s="1"/>
  <c r="I12" i="7"/>
  <c r="G12" i="7"/>
  <c r="E12" i="7"/>
  <c r="C12" i="7"/>
  <c r="K11" i="7"/>
  <c r="I11" i="7"/>
  <c r="G11" i="7"/>
  <c r="E11" i="7"/>
  <c r="C11" i="7"/>
  <c r="K10" i="7"/>
  <c r="I10" i="7"/>
  <c r="G10" i="7"/>
  <c r="E10" i="7"/>
  <c r="C10" i="7"/>
  <c r="K9" i="7"/>
  <c r="I9" i="7"/>
  <c r="G9" i="7"/>
  <c r="E9" i="7"/>
  <c r="C9" i="7"/>
  <c r="K8" i="7"/>
  <c r="I8" i="7"/>
  <c r="G8" i="7"/>
  <c r="E8" i="7"/>
  <c r="C8" i="7"/>
  <c r="K7" i="7"/>
  <c r="I7" i="7"/>
  <c r="G7" i="7"/>
  <c r="E7" i="7"/>
  <c r="C7" i="7"/>
  <c r="K6" i="7"/>
  <c r="I6" i="7"/>
  <c r="G6" i="7"/>
  <c r="E6" i="7"/>
  <c r="C6" i="7"/>
  <c r="P29" i="6"/>
  <c r="K29" i="6"/>
  <c r="I29" i="6"/>
  <c r="G29" i="6"/>
  <c r="E29" i="6"/>
  <c r="C29" i="6"/>
  <c r="P28" i="6"/>
  <c r="O28" i="6"/>
  <c r="K28" i="6"/>
  <c r="I28" i="6"/>
  <c r="G28" i="6"/>
  <c r="Q28" i="6" s="1"/>
  <c r="E28" i="6"/>
  <c r="C28" i="6"/>
  <c r="P27" i="6"/>
  <c r="K27" i="6"/>
  <c r="I27" i="6"/>
  <c r="G27" i="6"/>
  <c r="Q27" i="6" s="1"/>
  <c r="E27" i="6"/>
  <c r="C27" i="6"/>
  <c r="P26" i="6"/>
  <c r="K26" i="6"/>
  <c r="I26" i="6"/>
  <c r="G26" i="6"/>
  <c r="E26" i="6"/>
  <c r="C26" i="6"/>
  <c r="P25" i="6"/>
  <c r="K25" i="6"/>
  <c r="I25" i="6"/>
  <c r="G25" i="6"/>
  <c r="Q25" i="6" s="1"/>
  <c r="E25" i="6"/>
  <c r="C25" i="6"/>
  <c r="P24" i="6"/>
  <c r="K24" i="6"/>
  <c r="I24" i="6"/>
  <c r="G24" i="6"/>
  <c r="E24" i="6"/>
  <c r="C24" i="6"/>
  <c r="P23" i="6"/>
  <c r="K23" i="6"/>
  <c r="I23" i="6"/>
  <c r="G23" i="6"/>
  <c r="E23" i="6"/>
  <c r="C23" i="6"/>
  <c r="P22" i="6"/>
  <c r="K22" i="6"/>
  <c r="I22" i="6"/>
  <c r="G22" i="6"/>
  <c r="E22" i="6"/>
  <c r="C22" i="6"/>
  <c r="P21" i="6"/>
  <c r="K21" i="6"/>
  <c r="I21" i="6"/>
  <c r="G21" i="6"/>
  <c r="O21" i="6" s="1"/>
  <c r="E21" i="6"/>
  <c r="C21" i="6"/>
  <c r="P20" i="6"/>
  <c r="K20" i="6"/>
  <c r="I20" i="6"/>
  <c r="G20" i="6"/>
  <c r="E20" i="6"/>
  <c r="C20" i="6"/>
  <c r="Q19" i="6"/>
  <c r="P19" i="6"/>
  <c r="K19" i="6"/>
  <c r="I19" i="6"/>
  <c r="G19" i="6"/>
  <c r="E19" i="6"/>
  <c r="C19" i="6"/>
  <c r="P18" i="6"/>
  <c r="K18" i="6"/>
  <c r="O18" i="6" s="1"/>
  <c r="I18" i="6"/>
  <c r="G18" i="6"/>
  <c r="Q18" i="6" s="1"/>
  <c r="E18" i="6"/>
  <c r="C18" i="6"/>
  <c r="P17" i="6"/>
  <c r="K17" i="6"/>
  <c r="I17" i="6"/>
  <c r="G17" i="6"/>
  <c r="E17" i="6"/>
  <c r="C17" i="6"/>
  <c r="Q16" i="6"/>
  <c r="P16" i="6"/>
  <c r="K16" i="6"/>
  <c r="O16" i="6" s="1"/>
  <c r="I16" i="6"/>
  <c r="G16" i="6"/>
  <c r="E16" i="6"/>
  <c r="C16" i="6"/>
  <c r="P15" i="6"/>
  <c r="K15" i="6"/>
  <c r="I15" i="6"/>
  <c r="O15" i="6" s="1"/>
  <c r="G15" i="6"/>
  <c r="Q15" i="6" s="1"/>
  <c r="E15" i="6"/>
  <c r="C15" i="6"/>
  <c r="K14" i="6"/>
  <c r="I14" i="6"/>
  <c r="G14" i="6"/>
  <c r="E14" i="6"/>
  <c r="C14" i="6"/>
  <c r="K13" i="6"/>
  <c r="I13" i="6"/>
  <c r="G13" i="6"/>
  <c r="E13" i="6"/>
  <c r="C13" i="6"/>
  <c r="K12" i="6"/>
  <c r="I12" i="6"/>
  <c r="G12" i="6"/>
  <c r="E12" i="6"/>
  <c r="C12" i="6"/>
  <c r="K11" i="6"/>
  <c r="I11" i="6"/>
  <c r="G11" i="6"/>
  <c r="E11" i="6"/>
  <c r="C11" i="6"/>
  <c r="K10" i="6"/>
  <c r="I10" i="6"/>
  <c r="G10" i="6"/>
  <c r="Q10" i="6" s="1"/>
  <c r="E10" i="6"/>
  <c r="C10" i="6"/>
  <c r="K9" i="6"/>
  <c r="I9" i="6"/>
  <c r="G9" i="6"/>
  <c r="O9" i="6" s="1"/>
  <c r="E9" i="6"/>
  <c r="C9" i="6"/>
  <c r="K8" i="6"/>
  <c r="I8" i="6"/>
  <c r="G8" i="6"/>
  <c r="E8" i="6"/>
  <c r="C8" i="6"/>
  <c r="K7" i="6"/>
  <c r="I7" i="6"/>
  <c r="G7" i="6"/>
  <c r="E7" i="6"/>
  <c r="C7" i="6"/>
  <c r="Q6" i="6"/>
  <c r="K6" i="6"/>
  <c r="I6" i="6"/>
  <c r="G6" i="6"/>
  <c r="E6" i="6"/>
  <c r="C6" i="6"/>
  <c r="P30" i="5"/>
  <c r="K30" i="5"/>
  <c r="I30" i="5"/>
  <c r="G30" i="5"/>
  <c r="E30" i="5"/>
  <c r="C30" i="5"/>
  <c r="P29" i="5"/>
  <c r="K29" i="5"/>
  <c r="I29" i="5"/>
  <c r="G29" i="5"/>
  <c r="Q29" i="5" s="1"/>
  <c r="E29" i="5"/>
  <c r="C29" i="5"/>
  <c r="P28" i="5"/>
  <c r="K28" i="5"/>
  <c r="I28" i="5"/>
  <c r="G28" i="5"/>
  <c r="E28" i="5"/>
  <c r="C28" i="5"/>
  <c r="P27" i="5"/>
  <c r="K27" i="5"/>
  <c r="I27" i="5"/>
  <c r="G27" i="5"/>
  <c r="E27" i="5"/>
  <c r="C27" i="5"/>
  <c r="Q26" i="5"/>
  <c r="P26" i="5"/>
  <c r="K26" i="5"/>
  <c r="I26" i="5"/>
  <c r="G26" i="5"/>
  <c r="O26" i="5" s="1"/>
  <c r="E26" i="5"/>
  <c r="C26" i="5"/>
  <c r="P25" i="5"/>
  <c r="K25" i="5"/>
  <c r="I25" i="5"/>
  <c r="G25" i="5"/>
  <c r="E25" i="5"/>
  <c r="C25" i="5"/>
  <c r="P24" i="5"/>
  <c r="K24" i="5"/>
  <c r="I24" i="5"/>
  <c r="G24" i="5"/>
  <c r="E24" i="5"/>
  <c r="C24" i="5"/>
  <c r="P23" i="5"/>
  <c r="K23" i="5"/>
  <c r="I23" i="5"/>
  <c r="G23" i="5"/>
  <c r="Q23" i="5" s="1"/>
  <c r="E23" i="5"/>
  <c r="C23" i="5"/>
  <c r="P22" i="5"/>
  <c r="K22" i="5"/>
  <c r="I22" i="5"/>
  <c r="G22" i="5"/>
  <c r="Q22" i="5" s="1"/>
  <c r="E22" i="5"/>
  <c r="C22" i="5"/>
  <c r="P21" i="5"/>
  <c r="K21" i="5"/>
  <c r="I21" i="5"/>
  <c r="G21" i="5"/>
  <c r="E21" i="5"/>
  <c r="C21" i="5"/>
  <c r="P20" i="5"/>
  <c r="K20" i="5"/>
  <c r="I20" i="5"/>
  <c r="G20" i="5"/>
  <c r="Q20" i="5" s="1"/>
  <c r="E20" i="5"/>
  <c r="C20" i="5"/>
  <c r="P19" i="5"/>
  <c r="K19" i="5"/>
  <c r="I19" i="5"/>
  <c r="G19" i="5"/>
  <c r="Q19" i="5" s="1"/>
  <c r="E19" i="5"/>
  <c r="C19" i="5"/>
  <c r="P18" i="5"/>
  <c r="K18" i="5"/>
  <c r="I18" i="5"/>
  <c r="G18" i="5"/>
  <c r="E18" i="5"/>
  <c r="C18" i="5"/>
  <c r="P17" i="5"/>
  <c r="K17" i="5"/>
  <c r="I17" i="5"/>
  <c r="G17" i="5"/>
  <c r="Q17" i="5" s="1"/>
  <c r="E17" i="5"/>
  <c r="C17" i="5"/>
  <c r="P16" i="5"/>
  <c r="K16" i="5"/>
  <c r="I16" i="5"/>
  <c r="G16" i="5"/>
  <c r="Q16" i="5" s="1"/>
  <c r="E16" i="5"/>
  <c r="C16" i="5"/>
  <c r="K15" i="5"/>
  <c r="I15" i="5"/>
  <c r="G15" i="5"/>
  <c r="E15" i="5"/>
  <c r="C15" i="5"/>
  <c r="K14" i="5"/>
  <c r="I14" i="5"/>
  <c r="G14" i="5"/>
  <c r="O14" i="5" s="1"/>
  <c r="E14" i="5"/>
  <c r="C14" i="5"/>
  <c r="K13" i="5"/>
  <c r="I13" i="5"/>
  <c r="G13" i="5"/>
  <c r="Q13" i="5" s="1"/>
  <c r="E13" i="5"/>
  <c r="C13" i="5"/>
  <c r="K12" i="5"/>
  <c r="I12" i="5"/>
  <c r="G12" i="5"/>
  <c r="E12" i="5"/>
  <c r="C12" i="5"/>
  <c r="K11" i="5"/>
  <c r="I11" i="5"/>
  <c r="O11" i="5" s="1"/>
  <c r="P11" i="5" s="1"/>
  <c r="G11" i="5"/>
  <c r="Q11" i="5" s="1"/>
  <c r="E11" i="5"/>
  <c r="C11" i="5"/>
  <c r="Q10" i="5"/>
  <c r="K10" i="5"/>
  <c r="I10" i="5"/>
  <c r="O10" i="5" s="1"/>
  <c r="P10" i="5" s="1"/>
  <c r="G10" i="5"/>
  <c r="E10" i="5"/>
  <c r="C10" i="5"/>
  <c r="K9" i="5"/>
  <c r="I9" i="5"/>
  <c r="G9" i="5"/>
  <c r="E9" i="5"/>
  <c r="C9" i="5"/>
  <c r="K8" i="5"/>
  <c r="I8" i="5"/>
  <c r="G8" i="5"/>
  <c r="E8" i="5"/>
  <c r="C8" i="5"/>
  <c r="K7" i="5"/>
  <c r="I7" i="5"/>
  <c r="G7" i="5"/>
  <c r="E7" i="5"/>
  <c r="C7" i="5"/>
  <c r="K6" i="5"/>
  <c r="I6" i="5"/>
  <c r="G6" i="5"/>
  <c r="E6" i="5"/>
  <c r="C6" i="5"/>
  <c r="N34" i="4"/>
  <c r="K34" i="4"/>
  <c r="I34" i="4"/>
  <c r="S34" i="4" s="1"/>
  <c r="G34" i="4"/>
  <c r="T34" i="4" s="1"/>
  <c r="E34" i="4"/>
  <c r="C34" i="4"/>
  <c r="S33" i="4"/>
  <c r="N33" i="4"/>
  <c r="K33" i="4"/>
  <c r="I33" i="4"/>
  <c r="G33" i="4"/>
  <c r="T33" i="4" s="1"/>
  <c r="E33" i="4"/>
  <c r="C33" i="4"/>
  <c r="N32" i="4"/>
  <c r="K32" i="4"/>
  <c r="I32" i="4"/>
  <c r="S32" i="4" s="1"/>
  <c r="G32" i="4"/>
  <c r="E32" i="4"/>
  <c r="C32" i="4"/>
  <c r="N31" i="4"/>
  <c r="K31" i="4"/>
  <c r="I31" i="4"/>
  <c r="S31" i="4" s="1"/>
  <c r="G31" i="4"/>
  <c r="T31" i="4" s="1"/>
  <c r="E31" i="4"/>
  <c r="C31" i="4"/>
  <c r="S30" i="4"/>
  <c r="N30" i="4"/>
  <c r="K30" i="4"/>
  <c r="I30" i="4"/>
  <c r="G30" i="4"/>
  <c r="R30" i="4" s="1"/>
  <c r="E30" i="4"/>
  <c r="C30" i="4"/>
  <c r="T29" i="4"/>
  <c r="S29" i="4"/>
  <c r="N29" i="4"/>
  <c r="K29" i="4"/>
  <c r="I29" i="4"/>
  <c r="G29" i="4"/>
  <c r="E29" i="4"/>
  <c r="C29" i="4"/>
  <c r="N28" i="4"/>
  <c r="K28" i="4"/>
  <c r="I28" i="4"/>
  <c r="S28" i="4" s="1"/>
  <c r="G28" i="4"/>
  <c r="R28" i="4" s="1"/>
  <c r="E28" i="4"/>
  <c r="C28" i="4"/>
  <c r="N27" i="4"/>
  <c r="K27" i="4"/>
  <c r="I27" i="4"/>
  <c r="S27" i="4" s="1"/>
  <c r="G27" i="4"/>
  <c r="E27" i="4"/>
  <c r="C27" i="4"/>
  <c r="T26" i="4"/>
  <c r="R26" i="4"/>
  <c r="N26" i="4"/>
  <c r="K26" i="4"/>
  <c r="I26" i="4"/>
  <c r="S26" i="4" s="1"/>
  <c r="G26" i="4"/>
  <c r="E26" i="4"/>
  <c r="C26" i="4"/>
  <c r="S25" i="4"/>
  <c r="N25" i="4"/>
  <c r="K25" i="4"/>
  <c r="R25" i="4" s="1"/>
  <c r="I25" i="4"/>
  <c r="G25" i="4"/>
  <c r="T25" i="4" s="1"/>
  <c r="E25" i="4"/>
  <c r="C25" i="4"/>
  <c r="N24" i="4"/>
  <c r="K24" i="4"/>
  <c r="I24" i="4"/>
  <c r="S24" i="4" s="1"/>
  <c r="G24" i="4"/>
  <c r="E24" i="4"/>
  <c r="C24" i="4"/>
  <c r="N23" i="4"/>
  <c r="K23" i="4"/>
  <c r="I23" i="4"/>
  <c r="S23" i="4" s="1"/>
  <c r="G23" i="4"/>
  <c r="T23" i="4" s="1"/>
  <c r="E23" i="4"/>
  <c r="C23" i="4"/>
  <c r="T22" i="4"/>
  <c r="S22" i="4"/>
  <c r="N22" i="4"/>
  <c r="K22" i="4"/>
  <c r="I22" i="4"/>
  <c r="G22" i="4"/>
  <c r="E22" i="4"/>
  <c r="C22" i="4"/>
  <c r="N21" i="4"/>
  <c r="K21" i="4"/>
  <c r="I21" i="4"/>
  <c r="S21" i="4" s="1"/>
  <c r="G21" i="4"/>
  <c r="T21" i="4" s="1"/>
  <c r="E21" i="4"/>
  <c r="C21" i="4"/>
  <c r="N20" i="4"/>
  <c r="K20" i="4"/>
  <c r="I20" i="4"/>
  <c r="S20" i="4" s="1"/>
  <c r="G20" i="4"/>
  <c r="T20" i="4" s="1"/>
  <c r="E20" i="4"/>
  <c r="C20" i="4"/>
  <c r="N19" i="4"/>
  <c r="K19" i="4"/>
  <c r="I19" i="4"/>
  <c r="G19" i="4"/>
  <c r="E19" i="4"/>
  <c r="C19" i="4"/>
  <c r="T18" i="4"/>
  <c r="N18" i="4"/>
  <c r="K18" i="4"/>
  <c r="I18" i="4"/>
  <c r="G18" i="4"/>
  <c r="R18" i="4" s="1"/>
  <c r="S18" i="4" s="1"/>
  <c r="E18" i="4"/>
  <c r="C18" i="4"/>
  <c r="T17" i="4"/>
  <c r="N17" i="4"/>
  <c r="K17" i="4"/>
  <c r="I17" i="4"/>
  <c r="G17" i="4"/>
  <c r="E17" i="4"/>
  <c r="C17" i="4"/>
  <c r="N16" i="4"/>
  <c r="K16" i="4"/>
  <c r="I16" i="4"/>
  <c r="G16" i="4"/>
  <c r="E16" i="4"/>
  <c r="C16" i="4"/>
  <c r="N15" i="4"/>
  <c r="K15" i="4"/>
  <c r="I15" i="4"/>
  <c r="G15" i="4"/>
  <c r="T15" i="4" s="1"/>
  <c r="E15" i="4"/>
  <c r="C15" i="4"/>
  <c r="T14" i="4"/>
  <c r="N14" i="4"/>
  <c r="K14" i="4"/>
  <c r="I14" i="4"/>
  <c r="G14" i="4"/>
  <c r="E14" i="4"/>
  <c r="C14" i="4"/>
  <c r="N13" i="4"/>
  <c r="K13" i="4"/>
  <c r="I13" i="4"/>
  <c r="G13" i="4"/>
  <c r="T13" i="4" s="1"/>
  <c r="E13" i="4"/>
  <c r="C13" i="4"/>
  <c r="T12" i="4"/>
  <c r="N12" i="4"/>
  <c r="K12" i="4"/>
  <c r="I12" i="4"/>
  <c r="G12" i="4"/>
  <c r="R12" i="4" s="1"/>
  <c r="S12" i="4" s="1"/>
  <c r="E12" i="4"/>
  <c r="C12" i="4"/>
  <c r="N11" i="4"/>
  <c r="K11" i="4"/>
  <c r="I11" i="4"/>
  <c r="G11" i="4"/>
  <c r="E11" i="4"/>
  <c r="C11" i="4"/>
  <c r="N10" i="4"/>
  <c r="K10" i="4"/>
  <c r="I10" i="4"/>
  <c r="G10" i="4"/>
  <c r="E10" i="4"/>
  <c r="C10" i="4"/>
  <c r="T9" i="4"/>
  <c r="R9" i="4"/>
  <c r="S9" i="4" s="1"/>
  <c r="N9" i="4"/>
  <c r="K9" i="4"/>
  <c r="I9" i="4"/>
  <c r="G9" i="4"/>
  <c r="E9" i="4"/>
  <c r="C9" i="4"/>
  <c r="N8" i="4"/>
  <c r="K8" i="4"/>
  <c r="I8" i="4"/>
  <c r="G8" i="4"/>
  <c r="E8" i="4"/>
  <c r="C8" i="4"/>
  <c r="N7" i="4"/>
  <c r="K7" i="4"/>
  <c r="I7" i="4"/>
  <c r="G7" i="4"/>
  <c r="T7" i="4" s="1"/>
  <c r="E7" i="4"/>
  <c r="C7" i="4"/>
  <c r="N6" i="4"/>
  <c r="K6" i="4"/>
  <c r="I6" i="4"/>
  <c r="G6" i="4"/>
  <c r="R6" i="4" s="1"/>
  <c r="E6" i="4"/>
  <c r="C6" i="4"/>
  <c r="P34" i="3"/>
  <c r="N34" i="3"/>
  <c r="K34" i="3"/>
  <c r="X34" i="3" s="1"/>
  <c r="I34" i="3"/>
  <c r="V34" i="3" s="1"/>
  <c r="G34" i="3"/>
  <c r="U34" i="3" s="1"/>
  <c r="E34" i="3"/>
  <c r="C34" i="3"/>
  <c r="W33" i="3"/>
  <c r="U33" i="3"/>
  <c r="P33" i="3"/>
  <c r="N33" i="3"/>
  <c r="K33" i="3"/>
  <c r="X33" i="3" s="1"/>
  <c r="I33" i="3"/>
  <c r="V33" i="3" s="1"/>
  <c r="G33" i="3"/>
  <c r="E33" i="3"/>
  <c r="C33" i="3"/>
  <c r="W32" i="3"/>
  <c r="P32" i="3"/>
  <c r="N32" i="3"/>
  <c r="K32" i="3"/>
  <c r="X32" i="3" s="1"/>
  <c r="I32" i="3"/>
  <c r="G32" i="3"/>
  <c r="E32" i="3"/>
  <c r="C32" i="3"/>
  <c r="P31" i="3"/>
  <c r="N31" i="3"/>
  <c r="K31" i="3"/>
  <c r="X31" i="3" s="1"/>
  <c r="I31" i="3"/>
  <c r="V31" i="3" s="1"/>
  <c r="G31" i="3"/>
  <c r="W31" i="3" s="1"/>
  <c r="E31" i="3"/>
  <c r="C31" i="3"/>
  <c r="P30" i="3"/>
  <c r="N30" i="3"/>
  <c r="K30" i="3"/>
  <c r="X30" i="3" s="1"/>
  <c r="I30" i="3"/>
  <c r="V30" i="3" s="1"/>
  <c r="G30" i="3"/>
  <c r="E30" i="3"/>
  <c r="C30" i="3"/>
  <c r="W29" i="3"/>
  <c r="V29" i="3"/>
  <c r="P29" i="3"/>
  <c r="N29" i="3"/>
  <c r="K29" i="3"/>
  <c r="X29" i="3" s="1"/>
  <c r="I29" i="3"/>
  <c r="G29" i="3"/>
  <c r="E29" i="3"/>
  <c r="C29" i="3"/>
  <c r="P28" i="3"/>
  <c r="N28" i="3"/>
  <c r="K28" i="3"/>
  <c r="X28" i="3" s="1"/>
  <c r="I28" i="3"/>
  <c r="V28" i="3" s="1"/>
  <c r="G28" i="3"/>
  <c r="E28" i="3"/>
  <c r="C28" i="3"/>
  <c r="X27" i="3"/>
  <c r="U27" i="3"/>
  <c r="P27" i="3"/>
  <c r="N27" i="3"/>
  <c r="K27" i="3"/>
  <c r="I27" i="3"/>
  <c r="V27" i="3" s="1"/>
  <c r="G27" i="3"/>
  <c r="W27" i="3" s="1"/>
  <c r="E27" i="3"/>
  <c r="C27" i="3"/>
  <c r="X26" i="3"/>
  <c r="P26" i="3"/>
  <c r="N26" i="3"/>
  <c r="K26" i="3"/>
  <c r="I26" i="3"/>
  <c r="V26" i="3" s="1"/>
  <c r="G26" i="3"/>
  <c r="E26" i="3"/>
  <c r="C26" i="3"/>
  <c r="P25" i="3"/>
  <c r="N25" i="3"/>
  <c r="K25" i="3"/>
  <c r="X25" i="3" s="1"/>
  <c r="I25" i="3"/>
  <c r="V25" i="3" s="1"/>
  <c r="G25" i="3"/>
  <c r="E25" i="3"/>
  <c r="C25" i="3"/>
  <c r="X24" i="3"/>
  <c r="W24" i="3"/>
  <c r="P24" i="3"/>
  <c r="N24" i="3"/>
  <c r="K24" i="3"/>
  <c r="I24" i="3"/>
  <c r="V24" i="3" s="1"/>
  <c r="G24" i="3"/>
  <c r="E24" i="3"/>
  <c r="C24" i="3"/>
  <c r="X23" i="3"/>
  <c r="P23" i="3"/>
  <c r="N23" i="3"/>
  <c r="K23" i="3"/>
  <c r="I23" i="3"/>
  <c r="V23" i="3" s="1"/>
  <c r="G23" i="3"/>
  <c r="W23" i="3" s="1"/>
  <c r="E23" i="3"/>
  <c r="C23" i="3"/>
  <c r="W22" i="3"/>
  <c r="P22" i="3"/>
  <c r="N22" i="3"/>
  <c r="K22" i="3"/>
  <c r="X22" i="3" s="1"/>
  <c r="I22" i="3"/>
  <c r="V22" i="3" s="1"/>
  <c r="G22" i="3"/>
  <c r="U22" i="3" s="1"/>
  <c r="E22" i="3"/>
  <c r="C22" i="3"/>
  <c r="W21" i="3"/>
  <c r="P21" i="3"/>
  <c r="N21" i="3"/>
  <c r="K21" i="3"/>
  <c r="X21" i="3" s="1"/>
  <c r="I21" i="3"/>
  <c r="V21" i="3" s="1"/>
  <c r="G21" i="3"/>
  <c r="E21" i="3"/>
  <c r="C21" i="3"/>
  <c r="P20" i="3"/>
  <c r="N20" i="3"/>
  <c r="K20" i="3"/>
  <c r="X20" i="3" s="1"/>
  <c r="I20" i="3"/>
  <c r="V20" i="3" s="1"/>
  <c r="G20" i="3"/>
  <c r="U20" i="3" s="1"/>
  <c r="E20" i="3"/>
  <c r="C20" i="3"/>
  <c r="U19" i="3"/>
  <c r="P19" i="3"/>
  <c r="N19" i="3"/>
  <c r="K19" i="3"/>
  <c r="X19" i="3" s="1"/>
  <c r="I19" i="3"/>
  <c r="G19" i="3"/>
  <c r="W19" i="3" s="1"/>
  <c r="E19" i="3"/>
  <c r="C19" i="3"/>
  <c r="P18" i="3"/>
  <c r="N18" i="3"/>
  <c r="K18" i="3"/>
  <c r="X18" i="3" s="1"/>
  <c r="I18" i="3"/>
  <c r="G18" i="3"/>
  <c r="E18" i="3"/>
  <c r="C18" i="3"/>
  <c r="P17" i="3"/>
  <c r="N17" i="3"/>
  <c r="K17" i="3"/>
  <c r="X17" i="3" s="1"/>
  <c r="I17" i="3"/>
  <c r="G17" i="3"/>
  <c r="E17" i="3"/>
  <c r="C17" i="3"/>
  <c r="P16" i="3"/>
  <c r="N16" i="3"/>
  <c r="K16" i="3"/>
  <c r="X16" i="3" s="1"/>
  <c r="I16" i="3"/>
  <c r="G16" i="3"/>
  <c r="W16" i="3" s="1"/>
  <c r="E16" i="3"/>
  <c r="C16" i="3"/>
  <c r="P15" i="3"/>
  <c r="N15" i="3"/>
  <c r="K15" i="3"/>
  <c r="X15" i="3" s="1"/>
  <c r="I15" i="3"/>
  <c r="G15" i="3"/>
  <c r="E15" i="3"/>
  <c r="C15" i="3"/>
  <c r="P14" i="3"/>
  <c r="N14" i="3"/>
  <c r="K14" i="3"/>
  <c r="X14" i="3" s="1"/>
  <c r="I14" i="3"/>
  <c r="G14" i="3"/>
  <c r="E14" i="3"/>
  <c r="C14" i="3"/>
  <c r="X13" i="3"/>
  <c r="P13" i="3"/>
  <c r="N13" i="3"/>
  <c r="K13" i="3"/>
  <c r="I13" i="3"/>
  <c r="G13" i="3"/>
  <c r="U13" i="3" s="1"/>
  <c r="E13" i="3"/>
  <c r="C13" i="3"/>
  <c r="P12" i="3"/>
  <c r="N12" i="3"/>
  <c r="K12" i="3"/>
  <c r="I12" i="3"/>
  <c r="G12" i="3"/>
  <c r="W12" i="3" s="1"/>
  <c r="E12" i="3"/>
  <c r="C12" i="3"/>
  <c r="P11" i="3"/>
  <c r="N11" i="3"/>
  <c r="K11" i="3"/>
  <c r="X11" i="3" s="1"/>
  <c r="I11" i="3"/>
  <c r="G11" i="3"/>
  <c r="W11" i="3" s="1"/>
  <c r="E11" i="3"/>
  <c r="C11" i="3"/>
  <c r="X10" i="3"/>
  <c r="P10" i="3"/>
  <c r="N10" i="3"/>
  <c r="K10" i="3"/>
  <c r="I10" i="3"/>
  <c r="G10" i="3"/>
  <c r="E10" i="3"/>
  <c r="C10" i="3"/>
  <c r="X9" i="3"/>
  <c r="W9" i="3"/>
  <c r="P9" i="3"/>
  <c r="N9" i="3"/>
  <c r="K9" i="3"/>
  <c r="I9" i="3"/>
  <c r="U9" i="3" s="1"/>
  <c r="V9" i="3" s="1"/>
  <c r="G9" i="3"/>
  <c r="E9" i="3"/>
  <c r="C9" i="3"/>
  <c r="W8" i="3"/>
  <c r="P8" i="3"/>
  <c r="N8" i="3"/>
  <c r="K8" i="3"/>
  <c r="X8" i="3" s="1"/>
  <c r="I8" i="3"/>
  <c r="G8" i="3"/>
  <c r="E8" i="3"/>
  <c r="C8" i="3"/>
  <c r="P7" i="3"/>
  <c r="N7" i="3"/>
  <c r="K7" i="3"/>
  <c r="X7" i="3" s="1"/>
  <c r="I7" i="3"/>
  <c r="G7" i="3"/>
  <c r="W7" i="3" s="1"/>
  <c r="E7" i="3"/>
  <c r="C7" i="3"/>
  <c r="P6" i="3"/>
  <c r="N6" i="3"/>
  <c r="K6" i="3"/>
  <c r="X6" i="3" s="1"/>
  <c r="I6" i="3"/>
  <c r="G6" i="3"/>
  <c r="E6" i="3"/>
  <c r="C6" i="3"/>
  <c r="Q10" i="7" l="1"/>
  <c r="Q8" i="7"/>
  <c r="Q14" i="9"/>
  <c r="Q9" i="8"/>
  <c r="Q14" i="8"/>
  <c r="O18" i="8"/>
  <c r="Q11" i="8"/>
  <c r="O16" i="8"/>
  <c r="Q7" i="8"/>
  <c r="Q8" i="8"/>
  <c r="Q14" i="7"/>
  <c r="Q6" i="7"/>
  <c r="Q11" i="7"/>
  <c r="Q16" i="7"/>
  <c r="Q7" i="7"/>
  <c r="Q12" i="7"/>
  <c r="O13" i="7"/>
  <c r="Q9" i="7"/>
  <c r="Q14" i="11"/>
  <c r="Q16" i="11"/>
  <c r="Q13" i="11"/>
  <c r="Q6" i="11"/>
  <c r="Q7" i="11"/>
  <c r="Q12" i="11"/>
  <c r="Q9" i="11"/>
  <c r="Q16" i="9"/>
  <c r="O11" i="9"/>
  <c r="P11" i="9" s="1"/>
  <c r="Q7" i="9"/>
  <c r="O13" i="9"/>
  <c r="P13" i="9" s="1"/>
  <c r="Q6" i="9"/>
  <c r="Q11" i="9"/>
  <c r="Q12" i="9"/>
  <c r="Q8" i="9"/>
  <c r="Q13" i="9"/>
  <c r="O31" i="9"/>
  <c r="Q10" i="9"/>
  <c r="Q15" i="9"/>
  <c r="W20" i="3"/>
  <c r="O19" i="6"/>
  <c r="O10" i="10"/>
  <c r="P10" i="10" s="1"/>
  <c r="O24" i="12"/>
  <c r="O22" i="13"/>
  <c r="O6" i="15"/>
  <c r="P6" i="15" s="1"/>
  <c r="O8" i="11"/>
  <c r="P8" i="11" s="1"/>
  <c r="O25" i="11"/>
  <c r="P16" i="15"/>
  <c r="Q27" i="11"/>
  <c r="O6" i="13"/>
  <c r="P6" i="13" s="1"/>
  <c r="O27" i="15"/>
  <c r="O14" i="16"/>
  <c r="P14" i="16" s="1"/>
  <c r="Q24" i="10"/>
  <c r="W34" i="3"/>
  <c r="R33" i="4"/>
  <c r="O7" i="6"/>
  <c r="P7" i="6" s="1"/>
  <c r="O27" i="8"/>
  <c r="O26" i="16"/>
  <c r="Q25" i="11"/>
  <c r="Q26" i="12"/>
  <c r="Q26" i="16"/>
  <c r="O24" i="7"/>
  <c r="O12" i="12"/>
  <c r="P12" i="12" s="1"/>
  <c r="O11" i="13"/>
  <c r="P11" i="13" s="1"/>
  <c r="O12" i="15"/>
  <c r="P12" i="15" s="1"/>
  <c r="O31" i="15"/>
  <c r="O23" i="14"/>
  <c r="Q20" i="10"/>
  <c r="Q24" i="12"/>
  <c r="U24" i="3"/>
  <c r="O7" i="7"/>
  <c r="P7" i="7" s="1"/>
  <c r="O21" i="9"/>
  <c r="O29" i="12"/>
  <c r="O24" i="15"/>
  <c r="Q16" i="8"/>
  <c r="R10" i="4"/>
  <c r="S10" i="4" s="1"/>
  <c r="R17" i="4"/>
  <c r="S17" i="4" s="1"/>
  <c r="O13" i="5"/>
  <c r="P13" i="5" s="1"/>
  <c r="O17" i="5"/>
  <c r="O24" i="6"/>
  <c r="O15" i="17"/>
  <c r="O19" i="17"/>
  <c r="Q13" i="7"/>
  <c r="Q20" i="11"/>
  <c r="S6" i="4"/>
  <c r="T6" i="4"/>
  <c r="P12" i="7"/>
  <c r="O25" i="7"/>
  <c r="O23" i="16"/>
  <c r="Q19" i="11"/>
  <c r="T30" i="4"/>
  <c r="O8" i="9"/>
  <c r="P8" i="9" s="1"/>
  <c r="Q20" i="16"/>
  <c r="R13" i="4"/>
  <c r="R20" i="4"/>
  <c r="R14" i="4"/>
  <c r="S14" i="4" s="1"/>
  <c r="P14" i="5"/>
  <c r="O32" i="10"/>
  <c r="O30" i="11"/>
  <c r="O12" i="14"/>
  <c r="P12" i="14" s="1"/>
  <c r="O20" i="14"/>
  <c r="Q24" i="15"/>
  <c r="O6" i="16"/>
  <c r="P6" i="16" s="1"/>
  <c r="O7" i="17"/>
  <c r="P7" i="17" s="1"/>
  <c r="P9" i="6"/>
  <c r="P13" i="10"/>
  <c r="O28" i="13"/>
  <c r="O16" i="17"/>
  <c r="Q17" i="12"/>
  <c r="Q17" i="16"/>
  <c r="O21" i="10"/>
  <c r="P9" i="12"/>
  <c r="Q9" i="9"/>
  <c r="R21" i="4"/>
  <c r="O18" i="9"/>
  <c r="O22" i="9"/>
  <c r="O13" i="10"/>
  <c r="O15" i="11"/>
  <c r="P15" i="11" s="1"/>
  <c r="O30" i="7"/>
  <c r="O17" i="8"/>
  <c r="O30" i="9"/>
  <c r="O29" i="10"/>
  <c r="O11" i="11"/>
  <c r="P11" i="11" s="1"/>
  <c r="O17" i="14"/>
  <c r="Q31" i="9"/>
  <c r="Q10" i="10"/>
  <c r="W13" i="3"/>
  <c r="U16" i="3"/>
  <c r="V16" i="3" s="1"/>
  <c r="Q21" i="6"/>
  <c r="O25" i="6"/>
  <c r="O22" i="7"/>
  <c r="O13" i="8"/>
  <c r="P13" i="8" s="1"/>
  <c r="O21" i="8"/>
  <c r="O17" i="13"/>
  <c r="Q28" i="13"/>
  <c r="P12" i="16"/>
  <c r="Q16" i="17"/>
  <c r="Q11" i="11"/>
  <c r="O9" i="14"/>
  <c r="P9" i="14" s="1"/>
  <c r="O18" i="15"/>
  <c r="O18" i="10"/>
  <c r="O19" i="9"/>
  <c r="O26" i="10"/>
  <c r="O24" i="11"/>
  <c r="O23" i="12"/>
  <c r="O25" i="13"/>
  <c r="O13" i="17"/>
  <c r="Q25" i="7"/>
  <c r="Q27" i="8"/>
  <c r="Q8" i="11"/>
  <c r="U11" i="3"/>
  <c r="V11" i="3" s="1"/>
  <c r="R22" i="4"/>
  <c r="O23" i="5"/>
  <c r="O27" i="7"/>
  <c r="O15" i="12"/>
  <c r="O18" i="14"/>
  <c r="O31" i="12"/>
  <c r="O14" i="13"/>
  <c r="P14" i="13" s="1"/>
  <c r="O15" i="15"/>
  <c r="P15" i="15" s="1"/>
  <c r="Q8" i="16"/>
  <c r="R29" i="4"/>
  <c r="O6" i="6"/>
  <c r="P6" i="6" s="1"/>
  <c r="O19" i="15"/>
  <c r="O27" i="5"/>
  <c r="Q27" i="5"/>
  <c r="O18" i="7"/>
  <c r="O31" i="10"/>
  <c r="O29" i="7"/>
  <c r="O26" i="8"/>
  <c r="O6" i="9"/>
  <c r="P6" i="9" s="1"/>
  <c r="O15" i="9"/>
  <c r="P15" i="9" s="1"/>
  <c r="P12" i="10"/>
  <c r="O21" i="14"/>
  <c r="Q21" i="14"/>
  <c r="U25" i="3"/>
  <c r="W25" i="3"/>
  <c r="T11" i="4"/>
  <c r="R11" i="4"/>
  <c r="S11" i="4" s="1"/>
  <c r="R23" i="4"/>
  <c r="Q22" i="6"/>
  <c r="O22" i="6"/>
  <c r="O12" i="10"/>
  <c r="O29" i="13"/>
  <c r="U14" i="3"/>
  <c r="V14" i="3" s="1"/>
  <c r="W14" i="3"/>
  <c r="W17" i="3"/>
  <c r="U17" i="3"/>
  <c r="V17" i="3" s="1"/>
  <c r="O20" i="5"/>
  <c r="O23" i="8"/>
  <c r="O28" i="11"/>
  <c r="O14" i="12"/>
  <c r="P14" i="12" s="1"/>
  <c r="Q17" i="17"/>
  <c r="O17" i="17"/>
  <c r="T8" i="4"/>
  <c r="R8" i="4"/>
  <c r="S8" i="4" s="1"/>
  <c r="O28" i="5"/>
  <c r="Q28" i="5"/>
  <c r="O8" i="10"/>
  <c r="P8" i="10" s="1"/>
  <c r="Q14" i="14"/>
  <c r="O14" i="14"/>
  <c r="P14" i="14" s="1"/>
  <c r="O19" i="7"/>
  <c r="O6" i="12"/>
  <c r="P6" i="12" s="1"/>
  <c r="P15" i="12"/>
  <c r="O27" i="9"/>
  <c r="O21" i="11"/>
  <c r="Q25" i="15"/>
  <c r="O25" i="15"/>
  <c r="P10" i="17"/>
  <c r="O10" i="9"/>
  <c r="O21" i="12"/>
  <c r="O9" i="7"/>
  <c r="P9" i="7" s="1"/>
  <c r="Q29" i="15"/>
  <c r="O29" i="15"/>
  <c r="R15" i="4"/>
  <c r="S15" i="4" s="1"/>
  <c r="Q12" i="6"/>
  <c r="O12" i="6"/>
  <c r="P12" i="6" s="1"/>
  <c r="O11" i="7"/>
  <c r="P11" i="7" s="1"/>
  <c r="O11" i="12"/>
  <c r="W18" i="3"/>
  <c r="U18" i="3"/>
  <c r="V18" i="3" s="1"/>
  <c r="O24" i="9"/>
  <c r="Q27" i="13"/>
  <c r="O27" i="13"/>
  <c r="U7" i="3"/>
  <c r="V7" i="3" s="1"/>
  <c r="Q22" i="17"/>
  <c r="O22" i="17"/>
  <c r="O28" i="9"/>
  <c r="O22" i="11"/>
  <c r="O30" i="12"/>
  <c r="O16" i="16"/>
  <c r="O13" i="6"/>
  <c r="P13" i="6" s="1"/>
  <c r="Q13" i="6"/>
  <c r="O31" i="7"/>
  <c r="P6" i="10"/>
  <c r="Q27" i="14"/>
  <c r="O27" i="14"/>
  <c r="W10" i="3"/>
  <c r="U10" i="3"/>
  <c r="V10" i="3" s="1"/>
  <c r="Q7" i="5"/>
  <c r="O7" i="5"/>
  <c r="P7" i="5" s="1"/>
  <c r="O30" i="10"/>
  <c r="O28" i="7"/>
  <c r="O14" i="8"/>
  <c r="P14" i="8" s="1"/>
  <c r="O23" i="10"/>
  <c r="O28" i="16"/>
  <c r="O23" i="6"/>
  <c r="Q23" i="6"/>
  <c r="O15" i="7"/>
  <c r="P15" i="7" s="1"/>
  <c r="P11" i="12"/>
  <c r="O17" i="10"/>
  <c r="P17" i="10" s="1"/>
  <c r="O25" i="5"/>
  <c r="Q25" i="5"/>
  <c r="O24" i="8"/>
  <c r="V32" i="3"/>
  <c r="U32" i="3"/>
  <c r="O18" i="5"/>
  <c r="Q18" i="5"/>
  <c r="Q30" i="5"/>
  <c r="O30" i="5"/>
  <c r="V19" i="3"/>
  <c r="P13" i="12"/>
  <c r="Q9" i="6"/>
  <c r="P13" i="7"/>
  <c r="P10" i="9"/>
  <c r="Q20" i="15"/>
  <c r="O20" i="15"/>
  <c r="X12" i="3"/>
  <c r="U12" i="3"/>
  <c r="V12" i="3" s="1"/>
  <c r="O8" i="6"/>
  <c r="P8" i="6" s="1"/>
  <c r="Q8" i="6"/>
  <c r="Q8" i="13"/>
  <c r="O8" i="13"/>
  <c r="P8" i="13" s="1"/>
  <c r="O16" i="7"/>
  <c r="P16" i="7" s="1"/>
  <c r="O27" i="16"/>
  <c r="U29" i="3"/>
  <c r="O9" i="8"/>
  <c r="P9" i="8" s="1"/>
  <c r="O6" i="11"/>
  <c r="P6" i="11" s="1"/>
  <c r="O10" i="11"/>
  <c r="P10" i="11" s="1"/>
  <c r="Q14" i="5"/>
  <c r="Q13" i="13"/>
  <c r="O13" i="13"/>
  <c r="P13" i="13" s="1"/>
  <c r="V8" i="3"/>
  <c r="Q8" i="5"/>
  <c r="O8" i="5"/>
  <c r="P8" i="5" s="1"/>
  <c r="O21" i="7"/>
  <c r="O28" i="12"/>
  <c r="O8" i="7"/>
  <c r="P8" i="7" s="1"/>
  <c r="O27" i="12"/>
  <c r="Q26" i="13"/>
  <c r="O26" i="13"/>
  <c r="Q24" i="5"/>
  <c r="O24" i="5"/>
  <c r="T24" i="4"/>
  <c r="R24" i="4"/>
  <c r="T27" i="4"/>
  <c r="R27" i="4"/>
  <c r="O29" i="6"/>
  <c r="Q29" i="6"/>
  <c r="O6" i="8"/>
  <c r="P6" i="8" s="1"/>
  <c r="P11" i="15"/>
  <c r="W30" i="3"/>
  <c r="U30" i="3"/>
  <c r="Q21" i="5"/>
  <c r="O21" i="5"/>
  <c r="O9" i="10"/>
  <c r="P9" i="10" s="1"/>
  <c r="O27" i="10"/>
  <c r="O7" i="11"/>
  <c r="P7" i="11" s="1"/>
  <c r="O29" i="11"/>
  <c r="Q24" i="14"/>
  <c r="O24" i="14"/>
  <c r="O7" i="15"/>
  <c r="P7" i="15" s="1"/>
  <c r="O28" i="15"/>
  <c r="O24" i="16"/>
  <c r="Q26" i="6"/>
  <c r="O26" i="6"/>
  <c r="O20" i="8"/>
  <c r="O7" i="9"/>
  <c r="P7" i="9" s="1"/>
  <c r="O18" i="11"/>
  <c r="Q23" i="13"/>
  <c r="O23" i="13"/>
  <c r="O25" i="17"/>
  <c r="W15" i="3"/>
  <c r="U15" i="3"/>
  <c r="U28" i="3"/>
  <c r="W28" i="3"/>
  <c r="O7" i="8"/>
  <c r="P7" i="8" s="1"/>
  <c r="O12" i="5"/>
  <c r="P12" i="5" s="1"/>
  <c r="Q12" i="5"/>
  <c r="O23" i="7"/>
  <c r="S19" i="4"/>
  <c r="R34" i="4"/>
  <c r="O14" i="10"/>
  <c r="P14" i="10" s="1"/>
  <c r="O23" i="11"/>
  <c r="O18" i="16"/>
  <c r="O27" i="6"/>
  <c r="P8" i="8"/>
  <c r="O11" i="8"/>
  <c r="P11" i="8" s="1"/>
  <c r="O25" i="8"/>
  <c r="O25" i="10"/>
  <c r="T28" i="4"/>
  <c r="O19" i="5"/>
  <c r="O11" i="14"/>
  <c r="P11" i="14" s="1"/>
  <c r="O20" i="6"/>
  <c r="Q20" i="6"/>
  <c r="Q20" i="13"/>
  <c r="O20" i="13"/>
  <c r="V15" i="3"/>
  <c r="T19" i="4"/>
  <c r="R19" i="4"/>
  <c r="Q9" i="5"/>
  <c r="O9" i="5"/>
  <c r="P9" i="5" s="1"/>
  <c r="P9" i="9"/>
  <c r="O28" i="8"/>
  <c r="O6" i="10"/>
  <c r="O28" i="10"/>
  <c r="Q17" i="6"/>
  <c r="O17" i="6"/>
  <c r="O12" i="11"/>
  <c r="P12" i="11" s="1"/>
  <c r="O29" i="9"/>
  <c r="O25" i="16"/>
  <c r="Q22" i="15"/>
  <c r="W6" i="3"/>
  <c r="U6" i="3"/>
  <c r="V6" i="3" s="1"/>
  <c r="O12" i="9"/>
  <c r="P12" i="9" s="1"/>
  <c r="O16" i="11"/>
  <c r="P16" i="11" s="1"/>
  <c r="O11" i="16"/>
  <c r="P11" i="16" s="1"/>
  <c r="U31" i="3"/>
  <c r="P6" i="5"/>
  <c r="O8" i="8"/>
  <c r="O9" i="15"/>
  <c r="P9" i="15" s="1"/>
  <c r="Q19" i="17"/>
  <c r="S13" i="4"/>
  <c r="O16" i="5"/>
  <c r="O29" i="5"/>
  <c r="Q7" i="6"/>
  <c r="Q11" i="6"/>
  <c r="O11" i="6"/>
  <c r="P11" i="6" s="1"/>
  <c r="O10" i="7"/>
  <c r="P10" i="7" s="1"/>
  <c r="O15" i="8"/>
  <c r="O9" i="11"/>
  <c r="P9" i="11" s="1"/>
  <c r="Q19" i="15"/>
  <c r="Q23" i="15"/>
  <c r="O23" i="15"/>
  <c r="P7" i="16"/>
  <c r="O21" i="16"/>
  <c r="O26" i="7"/>
  <c r="O10" i="6"/>
  <c r="P10" i="6" s="1"/>
  <c r="Q26" i="15"/>
  <c r="O26" i="15"/>
  <c r="O26" i="17"/>
  <c r="O22" i="5"/>
  <c r="U8" i="3"/>
  <c r="O20" i="7"/>
  <c r="O22" i="12"/>
  <c r="O10" i="13"/>
  <c r="P10" i="13" s="1"/>
  <c r="O23" i="17"/>
  <c r="Q23" i="17"/>
  <c r="R31" i="4"/>
  <c r="Q21" i="13"/>
  <c r="O21" i="13"/>
  <c r="O22" i="14"/>
  <c r="Q22" i="14"/>
  <c r="Q12" i="15"/>
  <c r="U23" i="3"/>
  <c r="Q18" i="14"/>
  <c r="W26" i="3"/>
  <c r="U26" i="3"/>
  <c r="R7" i="4"/>
  <c r="S7" i="4" s="1"/>
  <c r="T10" i="4"/>
  <c r="T32" i="4"/>
  <c r="R32" i="4"/>
  <c r="O6" i="5"/>
  <c r="Q6" i="5"/>
  <c r="Q24" i="6"/>
  <c r="O16" i="9"/>
  <c r="P16" i="9" s="1"/>
  <c r="O15" i="5"/>
  <c r="P15" i="5" s="1"/>
  <c r="Q15" i="5"/>
  <c r="O26" i="11"/>
  <c r="Q25" i="14"/>
  <c r="O25" i="14"/>
  <c r="O25" i="12"/>
  <c r="O24" i="13"/>
  <c r="Q24" i="13"/>
  <c r="R16" i="4"/>
  <c r="S16" i="4" s="1"/>
  <c r="T16" i="4"/>
  <c r="O6" i="7"/>
  <c r="P6" i="7" s="1"/>
  <c r="O14" i="6"/>
  <c r="P14" i="6" s="1"/>
  <c r="Q14" i="6"/>
  <c r="O8" i="12"/>
  <c r="P8" i="12" s="1"/>
  <c r="O22" i="16"/>
  <c r="O12" i="17"/>
  <c r="P12" i="17" s="1"/>
  <c r="V13" i="3"/>
  <c r="O17" i="7"/>
  <c r="U21" i="3"/>
  <c r="O14" i="7"/>
  <c r="P14" i="7" s="1"/>
  <c r="O11" i="10"/>
  <c r="P11" i="10" s="1"/>
  <c r="O7" i="13"/>
  <c r="P7" i="13" s="1"/>
  <c r="Q18" i="13"/>
  <c r="O18" i="13"/>
  <c r="O8" i="14"/>
  <c r="P8" i="14" s="1"/>
  <c r="Q19" i="14"/>
  <c r="O19" i="14"/>
  <c r="O19" i="16"/>
  <c r="O9" i="17"/>
  <c r="P9" i="17" s="1"/>
  <c r="O20" i="17"/>
  <c r="Q20" i="17"/>
  <c r="O22" i="10"/>
  <c r="O19" i="12"/>
  <c r="O15" i="13"/>
  <c r="O16" i="14"/>
  <c r="O17" i="15"/>
  <c r="O13" i="16"/>
  <c r="P13" i="16" s="1"/>
  <c r="O14" i="17"/>
  <c r="O22" i="8"/>
  <c r="O23" i="9"/>
  <c r="O19" i="10"/>
  <c r="O17" i="11"/>
  <c r="O16" i="12"/>
  <c r="P16" i="12" s="1"/>
  <c r="O12" i="13"/>
  <c r="P12" i="13" s="1"/>
  <c r="O13" i="14"/>
  <c r="P13" i="14" s="1"/>
  <c r="O14" i="15"/>
  <c r="P14" i="15" s="1"/>
  <c r="O10" i="16"/>
  <c r="P10" i="16" s="1"/>
  <c r="O11" i="17"/>
  <c r="P11" i="17" s="1"/>
  <c r="O19" i="8"/>
  <c r="O20" i="9"/>
  <c r="O14" i="11"/>
  <c r="P14" i="11" s="1"/>
  <c r="O13" i="12"/>
  <c r="O9" i="13"/>
  <c r="P9" i="13" s="1"/>
  <c r="O10" i="14"/>
  <c r="P10" i="14" s="1"/>
  <c r="O11" i="15"/>
  <c r="O7" i="16"/>
  <c r="O8" i="17"/>
  <c r="P8" i="17" s="1"/>
  <c r="O26" i="9"/>
  <c r="O16" i="10"/>
  <c r="P16" i="10" s="1"/>
  <c r="O17" i="9"/>
  <c r="O10" i="12"/>
  <c r="P10" i="12" s="1"/>
  <c r="O7" i="14"/>
  <c r="P7" i="14" s="1"/>
  <c r="O8" i="15"/>
  <c r="P8" i="15" s="1"/>
  <c r="O30" i="15"/>
  <c r="O29" i="16"/>
  <c r="O14" i="9"/>
  <c r="P14" i="9" s="1"/>
  <c r="O7" i="12"/>
  <c r="P7" i="12" s="1"/>
  <c r="O29" i="14"/>
  <c r="O27" i="17"/>
  <c r="O26" i="14"/>
  <c r="O24" i="17"/>
</calcChain>
</file>

<file path=xl/sharedStrings.xml><?xml version="1.0" encoding="utf-8"?>
<sst xmlns="http://schemas.openxmlformats.org/spreadsheetml/2006/main" count="2657" uniqueCount="901">
  <si>
    <t>Naming classification-Loadable Families — principi generali</t>
  </si>
  <si>
    <t>Questo file raccoglie la nomenclatura delle famiglie caricabili Revit adottata dal dipartimento. Qui si compone il nome della famiglia, cioè del file .rfa: si apre la scheda della categoria, si compilano i menu a tendina e il nome esce già formato nella colonna FAMILY NAME. Il nome dei singoli tipi invece non è generato — segue una regola a parte, spiegata alla sezione 3 e richiamata in fondo a ogni scheda, e va scritto a mano quando si duplica un tipo dentro la famiglia. Le quindici categorie hanno una scheda Generatore ciascuna, con in fondo le note della categoria e le regole di compilazione colonna per colonna; le tabelle che alimentano i menu stanno nel foglio DV e sono modificabili. Le sezioni qui sotto raccolgono i principi che valgono trasversalmente.</t>
  </si>
  <si>
    <t>Il nome della famiglia</t>
  </si>
  <si>
    <t>Vale per tutte le categorie.</t>
  </si>
  <si>
    <t>Author _ [(I)]Categoria.Group1.Group2 _ L{n} _ [CW hosted] _ [Entrance] _ [REI] _ [Manufacturer] _ [Brand] _ [Descrizione]</t>
  </si>
  <si>
    <t>I primi due blocchi ci sono sempre — l’autore e la terna Categoria.Group1.Group2 — e sulle aperture c’è sempre anche il numero di ante. Tutto quello che sta fra parentesi quadre compare solo se compilato: se non c’è nulla da dichiarare il nome finisce prima. Il separatore è sempre il carattere di sottolineatura, anche davanti ai blocchi opzionali. Quello che il nome della famiglia non contiene mai sono il Type Mark e le dimensioni: quelli stanno nel nome del tipo.</t>
  </si>
  <si>
    <t>Il marcatore (I): gli elementi modellati in place</t>
  </si>
  <si>
    <t>Un elemento modellato in place non è una famiglia caricata da una libreria: si costruisce dentro il progetto, non ha un file .rfa, non si riusa altrove e non compare nel Project Browser fra le famiglie caricabili. Va però nominato come tutti gli altri, e il nome deve dire che cosa è, altrimenti in abaco si confonde con le famiglie vere.</t>
  </si>
  <si>
    <t>Il marcatore è la sigla (I), parentesi comprese, attaccata al codice di categoria senza nessun separatore. È l’unico blocco del nome che non è preceduto da un carattere di sottolineatura, ed è voluto: (I) non è un blocco a sé, è un prefisso della categoria.</t>
  </si>
  <si>
    <t>e_(I)DR.HN.IN_L1                    porta a battente interna modellata in place</t>
  </si>
  <si>
    <t>e_(I)FN.CT.SE_BancoReception       seduta su misura modellata in place</t>
  </si>
  <si>
    <t xml:space="preserve">  Dove si compila</t>
  </si>
  <si>
    <t>Colonna In Place, la prima celeste di ogni scheda generatore, subito prima della categoria. Un solo valore in tendina; la cella vuota è il caso normale.</t>
  </si>
  <si>
    <t xml:space="preserve">  Cosa NON cambia</t>
  </si>
  <si>
    <t>Tutto il resto del nome. Anche un elemento in place ha un Group1 e un Group2, e si compila come gli altri: il marcatore si aggiunge, non sostituisce.</t>
  </si>
  <si>
    <t xml:space="preserve">  Perché serve</t>
  </si>
  <si>
    <t>Gli elementi in place non si riusano, pesano sul modello e vanno tenuti sotto controllo. Con il marcatore in testa alla terna si isolano in abaco filtrando i nomi che contengono (I).</t>
  </si>
  <si>
    <t xml:space="preserve">  Nel nome del tipo</t>
  </si>
  <si>
    <t>Non compare. Il Type Mark e il blocco dimensionale restano quelli della categoria.</t>
  </si>
  <si>
    <t>Il nome del tipo</t>
  </si>
  <si>
    <t>TypeMark _ blocco dimensionale _ [Descrizione]</t>
  </si>
  <si>
    <t>Il Type Mark è fatto di codice categoria, un codice che viene dal Group2 e due cifre progressive. Il sequenziale cambia a ogni tipo ed è unico dentro la coppia categoria + codice Group2, quindi due famiglie con lo stesso Group2 proseguono la stessa numerazione invece di ripartire da 01. Costante su tutta la famiglia è solo il codice che viene dal Group2.</t>
  </si>
  <si>
    <t>Quel codice ha due forme, a seconda della categoria. Dove il Group1 è quello proprio della categoria — porte, finestre, pannelli, colonne, posti auto, entourage, piante, masse — il Group2 ha una lista corta e gli è assegnata una cifra: DR-101 è la prima porta interna. Sulle sette categorie a Group1 condiviso il Group2 è troppo ampio per stare in una cifra, e il Type Mark prende direttamente le sue due lettere: FN-SE01 è la prima seduta.</t>
  </si>
  <si>
    <t>FAMIGLIA   e_DR.HN.IN_L1        TIPI   DR-101_800x2100   DR-102_900x2100   DR-103_1000x2100</t>
  </si>
  <si>
    <t>FAMIGLIA   e_FN.CO.SE_Vitra     TIPI   FN-SE01_600x600x800   FN-SE02_650x620x820</t>
  </si>
  <si>
    <t>Nessuna scheda genera questi nomi: sono da inserire manualmente quando si duplica un tipo dentro la famiglia. La colonna Type name (example) del generatore riporta il modello calcolato sulla riga, e la tabella dei codici è richiamata in fondo a ogni scheda. Nelle fasi iniziali, quando i tipi non sono ancora definiti, al posto delle due cifre progressive si scrive XX: DR-1XX, FN-SEXX.</t>
  </si>
  <si>
    <t>Il blocco dimensionale del tipo</t>
  </si>
  <si>
    <t>Cambia da categoria a categoria. Le unità sono sempre millimetri, e i valori vanno sempre presi da parametri di tipo.</t>
  </si>
  <si>
    <t xml:space="preserve">  {W}x{H}</t>
  </si>
  <si>
    <t>01_DR, 02_WN. Larghezza per altezza del vano.</t>
  </si>
  <si>
    <t xml:space="preserve">  {W}x{D}[x{H}]</t>
  </si>
  <si>
    <t>05_FN, 06_FS, 07_CK, 08_PF, 09_SE, 10_SI, 14_GM. Ingombro in pianta; altezza solo quando distingue due tipi.</t>
  </si>
  <si>
    <t xml:space="preserve">  {W}x{L}</t>
  </si>
  <si>
    <t>11_PK. Misure del posto: 250x500 standard, 320x500 accessibile.</t>
  </si>
  <si>
    <t xml:space="preserve">  {W}x{D}  ·  D{Ø}</t>
  </si>
  <si>
    <t>04_CM. Sezione della colonna. Sezione tonda → D + solo diametro.</t>
  </si>
  <si>
    <t xml:space="preserve">  T{t}</t>
  </si>
  <si>
    <t>03_CP. Spessore del pannello: larghezza e altezza le detta la griglia.</t>
  </si>
  <si>
    <t xml:space="preserve">  H{h}</t>
  </si>
  <si>
    <t>13_PL. Altezza a maturità.</t>
  </si>
  <si>
    <t xml:space="preserve">  nessuno</t>
  </si>
  <si>
    <t>12_EN, 15_MS. Il tipo porta solo il Type Mark.</t>
  </si>
  <si>
    <t>I due gruppi</t>
  </si>
  <si>
    <t>Il Group2 dice che cosa è o che ruolo ha la famiglia, e cambia significato da una categoria all’altra — è l’apparecchio sui sanitari, l’ambito sulle attrezzature, la destinazione sui mobili fissi. È anche il campo che alimenta il Type Mark, quindi è quello che conta di più.</t>
  </si>
  <si>
    <t>Il Group1 invece ha due nature. Su otto categorie descrive come è fatta la famiglia: il meccanismo di apertura di una porta, la forma della sezione di una colonna, il tipo di pianta. Sulle altre sette non c’è una caratteristica costruttiva comune agli oggetti, e il Group1 dice da dove viene la famiglia: è la tabella condivisa della sezione 5. In entrambi i casi resta un campo solo, con una sola scelta possibile per famiglia.</t>
  </si>
  <si>
    <t>Il Group1 condiviso: la provenienza</t>
  </si>
  <si>
    <t>Vale per le sette categorie a Group1 condiviso: 05_FN, 06_FS, 07_CK, 08_PF, 09_SE, 10_SI, 14_GM.</t>
  </si>
  <si>
    <t>Su queste sette categorie gli oggetti non hanno una caratteristica costruttiva comune — una sedia, un lavabo e un ascensore non si classificano allo stesso modo — e il Group1 dice invece da dove viene la famiglia. Le voci sono quattro e non si sovrappongono.</t>
  </si>
  <si>
    <t>CO  Commercial        CT  Custom        CM  Component        SY  Symbol</t>
  </si>
  <si>
    <t>Commercial e Custom descrivono le famiglie complete: prodotto di mercato oppure realizzata su misura. Component e Symbol descrivono quelle nidificate dentro un’altra famiglia — un componente minore, oppure un file che contiene un simbolo e non la geometria reale — e in quel caso la provenienza non si dichiara: un componente nidificato non si acquista né si computa da solo.</t>
  </si>
  <si>
    <t xml:space="preserve">  Manufacturer</t>
  </si>
  <si>
    <t>Non compatibile con Custom, e il generatore lo verifica. Con Component e Symbol invece è ammesso: un componente nidificato può benissimo essere un prodotto a catalogo.</t>
  </si>
  <si>
    <t xml:space="preserve">  Il template della famiglia</t>
  </si>
  <si>
    <t>Non ha un codice nel nome. Due famiglie che differiscono solo per quello — il vaso sospeso e quello a terra — generano lo stesso nome, e si distinguono nella Descrizione.</t>
  </si>
  <si>
    <t>Component e Symbol sulle altre categorie</t>
  </si>
  <si>
    <t>Vale per le otto categorie con Group1 proprio: 01_DR, 02_WN, 03_CP, 04_CM, 11_PK, 12_EN, 13_PL, 15_MS.</t>
  </si>
  <si>
    <t>Anche dove il Group1 è quello proprio della categoria, Component e Symbol chiudono la lista. Il Group1 è un campo solo: quando la famiglia è un componente nidificato o un simbolo, quel valore prende il posto della classificazione funzionale e il Group2 diventa OT. Una maniglia modellata a parte è e_DR.CM.OT_Handle, non una porta a battente.</t>
  </si>
  <si>
    <t>Commercial e Custom invece non compaiono su queste categorie: la distinzione fra prodotto e su misura non è ciò che vi distingue una famiglia dall’altra, e occuperebbe il posto del dato che conta. Dove serve dichiarare un prodotto c’è il campo Manufacturer.</t>
  </si>
  <si>
    <t>I blocchi delle aperture</t>
  </si>
  <si>
    <t>Vale solo per le aperture: 01_DR e 02_WN.</t>
  </si>
  <si>
    <t>Il numero di ante si compila sempre, subito dopo il Group2, nella forma L + numero; un vano libero (Group2 = OP) è L0. Due ante sono una famiglia diversa, non un tipo diverso. L’unico caso in cui il campo si spegne, diventando grigio, è quando il Group1 vale Component o Symbol: un componente nidificato o un simbolo non hanno ante.</t>
  </si>
  <si>
    <t>CW hosted segnala una famiglia nidificata in un pannello di curtain wall anziché ospitata da una parete; il pannello si nomina poi nella scheda 03_CP. Entrance esiste solo sulle porte, marca gli ingressi principali e il menu si attiva solo con Group2 = EX. Le prestazioni invece non hanno codici nel Group2: la resistenza al fuoco ha il suo campo REI, acustica e antieffrazione vanno nella Descrizione.</t>
  </si>
  <si>
    <t>Manufacturer e Brand</t>
  </si>
  <si>
    <t>Manufacturer è l’azienda che produce l’oggetto. Brand è tutt’altra cosa: è il marchio del cliente di cui l’elemento è standard, non la linea di prodotto del produttore, ed è indipendente da Manufacturer perché uno standard di marchio si realizza tanto a catalogo quanto su misura.</t>
  </si>
  <si>
    <t>e_FN.CO.SE_Vitra          e_FN.CT.SE_Dior          e_SE.CO.SC_Kaba_Dior</t>
  </si>
  <si>
    <t>Sono campi liberi, senza tabella di validazione: vanno scritti senza spazi, con le iniziali maiuscole, e sempre allo stesso modo. Il limite noto è che con un solo blocco compilato dal nome non si distingue quale dei due sia, quindi su questo dato non vanno costruiti filtri automatici. La linea di prodotto non ha un blocco proprio: sta nel parametro IFC ModelLabel, e nella Descrizione solo se distingue due famiglie dello stesso produttore.</t>
  </si>
  <si>
    <t>Famiglie nidificate</t>
  </si>
  <si>
    <t>Alcuni oggetti non sono una famiglia sola: sono più famiglie distinte, nidificate una dentro l’altra, e ognuna si nomina nella propria scheda con Group1 = Component.</t>
  </si>
  <si>
    <t xml:space="preserve">  Ferramenta</t>
  </si>
  <si>
    <t>Maniglie, cerniere, chiudiporta: Group1 = Component e Group2 = OT, nella categoria in cui sono stati creati.</t>
  </si>
  <si>
    <t xml:space="preserve">  Aperture in facciata</t>
  </si>
  <si>
    <t>Porta o finestra nidificata in un pannello di curtain wall → campo CW hosted. Il pannello si nomina in 03_CP.</t>
  </si>
  <si>
    <t xml:space="preserve">  Facciata continua</t>
  </si>
  <si>
    <t>Pannelli caricabili in 03_CP. Il muro continuo e i montanti stanno nell’altro file, schede 09_WL e 10_CN.</t>
  </si>
  <si>
    <t>La descrizione</t>
  </si>
  <si>
    <t>Si compila solo se aggiunge un’informazione che i codici non danno già: la destinazione, la posizione, o ciò che distingue due famiglie altrimenti identiche — ed è anche il posto dove si dichiara l’host, quando è quello a differenziarle. Si scrive senza spazi, con l’iniziale maiuscola a ogni parola, senza accenti e non oltre i quaranta caratteri. Il nome botanico di una pianta, per esempio, va qui: e_PL.TR.UR_TiliaCordata.</t>
  </si>
  <si>
    <t>Come si usa un foglio Generatore</t>
  </si>
  <si>
    <t>Le celle chiare sono da compilare, quelle grigie si calcolano da sole. Le prime righe di ogni generatore sono esempi già compilati, in corsivo, e si possono sovrascrivere senza problemi.</t>
  </si>
  <si>
    <t>Le due colonne che contano sono in fondo: FAMILY NAME è il nome da assegnare al file .rfa, Type name (example) è il modello del nome dei tipi, calcolato sulla riga per ricordare come andranno scritti a mano.</t>
  </si>
  <si>
    <t>Modificare le tabelle</t>
  </si>
  <si>
    <t>Le tabelle del foglio DV sono entità Tabella di Excel e in quanto tali modificabili: aggiungere o togliere una riga si riflette subito sui menu di tutti i generatori. L’unico vincolo è che i codici già in uso nei modelli non vanno cambiati, perché romperebbero i nomi già assegnati. La colonna TM Code compare solo dove il Group2 alimenta una cifra del Type Mark. Manufacturer e Brand fanno eccezione: non hanno tabella, sono campi liberi direttamente sul generatore.</t>
  </si>
  <si>
    <t>Tabelle condivise</t>
  </si>
  <si>
    <t>Group1 condiviso — 05_FN, 06_FS, 07_CK, 08_PF, 09_SE, 10_SI, 14_GM</t>
  </si>
  <si>
    <t>Marcatore In Place — vale su tutte le categorie. Cella vuota = famiglia caricata da libreria.</t>
  </si>
  <si>
    <t>Author_Code</t>
  </si>
  <si>
    <t>Author</t>
  </si>
  <si>
    <t>PR_Group1_Code</t>
  </si>
  <si>
    <t>PR_Group1</t>
  </si>
  <si>
    <t>PR_Group1_ITA</t>
  </si>
  <si>
    <t>InPl_Code</t>
  </si>
  <si>
    <t>InPl_Name</t>
  </si>
  <si>
    <t>e</t>
  </si>
  <si>
    <t>ESA - Engineering</t>
  </si>
  <si>
    <t>CO</t>
  </si>
  <si>
    <t>Commercial</t>
  </si>
  <si>
    <t>Prodotto di mercato, esistente a catalogo</t>
  </si>
  <si>
    <t>(I)</t>
  </si>
  <si>
    <t>In Place</t>
  </si>
  <si>
    <t>CT</t>
  </si>
  <si>
    <t>Custom</t>
  </si>
  <si>
    <t>Realizzata su misura, non corrispondente a un prodotto di mercato</t>
  </si>
  <si>
    <t>Ospitata da un pannello di curtain wall — solo 01_DR e 02_WN</t>
  </si>
  <si>
    <t>CM</t>
  </si>
  <si>
    <t>Component</t>
  </si>
  <si>
    <t>Componente minore, destinato a essere nidificato dentro un’altra famiglia</t>
  </si>
  <si>
    <t>CWh_Code</t>
  </si>
  <si>
    <t>CWh_Name</t>
  </si>
  <si>
    <t>SY</t>
  </si>
  <si>
    <t>Symbol</t>
  </si>
  <si>
    <t>Contiene un simbolo e non la geometria reale dell’oggetto</t>
  </si>
  <si>
    <t>CW</t>
  </si>
  <si>
    <t>Curtain-hosted</t>
  </si>
  <si>
    <t>Le quattro voci non si sovrappongono: quando una famiglia è Component o Symbol è nidificata, e dichiararne la provenienza commerciale non aggiunge nulla.</t>
  </si>
  <si>
    <t>Ingresso principale — solo 01_DR, e solo con Group2 = EX</t>
  </si>
  <si>
    <t>Entr_Code</t>
  </si>
  <si>
    <t>Entr_Name</t>
  </si>
  <si>
    <t>EN</t>
  </si>
  <si>
    <t>Entrance</t>
  </si>
  <si>
    <t>01_DR  ·  Doors</t>
  </si>
  <si>
    <t>DR_Category_Code</t>
  </si>
  <si>
    <t>DR_Category</t>
  </si>
  <si>
    <t>DR_Group1_Code</t>
  </si>
  <si>
    <t>DR_Group1</t>
  </si>
  <si>
    <t>DR_Group1_ITA</t>
  </si>
  <si>
    <t>DR_Group2_Code</t>
  </si>
  <si>
    <t>DR_Group2</t>
  </si>
  <si>
    <t>DR_Group2_ITA</t>
  </si>
  <si>
    <t>TM Code</t>
  </si>
  <si>
    <t>DR</t>
  </si>
  <si>
    <t>Doors</t>
  </si>
  <si>
    <t>GN</t>
  </si>
  <si>
    <t>Generic</t>
  </si>
  <si>
    <t>Non ancora deciso</t>
  </si>
  <si>
    <t>IN</t>
  </si>
  <si>
    <t>Internal</t>
  </si>
  <si>
    <t>Porta interna</t>
  </si>
  <si>
    <t>1xx</t>
  </si>
  <si>
    <t>HN</t>
  </si>
  <si>
    <t>Hinged</t>
  </si>
  <si>
    <t>A battente</t>
  </si>
  <si>
    <t>EX</t>
  </si>
  <si>
    <t>External</t>
  </si>
  <si>
    <t>Porta su esterno. Ammette il suffisso Entrance.</t>
  </si>
  <si>
    <t>2xx</t>
  </si>
  <si>
    <t>SL</t>
  </si>
  <si>
    <t>Sliding</t>
  </si>
  <si>
    <t>Scorrevole, esterno o a scomparsa</t>
  </si>
  <si>
    <t>TC</t>
  </si>
  <si>
    <t>Technical</t>
  </si>
  <si>
    <t>Accesso a locali tecnici, cavedi, quadri</t>
  </si>
  <si>
    <t>3xx</t>
  </si>
  <si>
    <t>FD</t>
  </si>
  <si>
    <t>Folding</t>
  </si>
  <si>
    <t>A soffietto, a libro</t>
  </si>
  <si>
    <t>GT</t>
  </si>
  <si>
    <t>Gate</t>
  </si>
  <si>
    <t>Cancelli, portoni, passaggi carrabili</t>
  </si>
  <si>
    <t>4xx</t>
  </si>
  <si>
    <t>RV</t>
  </si>
  <si>
    <t>Revolving</t>
  </si>
  <si>
    <t>Girevole</t>
  </si>
  <si>
    <t>OP</t>
  </si>
  <si>
    <t>Opening</t>
  </si>
  <si>
    <t>Vano libero senza serramento. Nessuna anta.</t>
  </si>
  <si>
    <t>5xx</t>
  </si>
  <si>
    <t>PV</t>
  </si>
  <si>
    <t>Pivot</t>
  </si>
  <si>
    <t>A bilico</t>
  </si>
  <si>
    <t>OT</t>
  </si>
  <si>
    <t>Other</t>
  </si>
  <si>
    <t>Nessuna delle precedenti. Anche la ferramenta e i componenti nidificati.</t>
  </si>
  <si>
    <t>9xx</t>
  </si>
  <si>
    <t>OV</t>
  </si>
  <si>
    <t>Overhead</t>
  </si>
  <si>
    <t>Basculante, sezionale</t>
  </si>
  <si>
    <t>FX</t>
  </si>
  <si>
    <t>Fixed</t>
  </si>
  <si>
    <t>Pannello cieco non apribile</t>
  </si>
  <si>
    <t>Fuori elenco</t>
  </si>
  <si>
    <t>02_WN  ·  Windows</t>
  </si>
  <si>
    <t>WN_Category_Code</t>
  </si>
  <si>
    <t>WN_Category</t>
  </si>
  <si>
    <t>WN_Group1_Code</t>
  </si>
  <si>
    <t>WN_Group1</t>
  </si>
  <si>
    <t>WN_Group1_ITA</t>
  </si>
  <si>
    <t>WN_Group2_Code</t>
  </si>
  <si>
    <t>WN_Group2</t>
  </si>
  <si>
    <t>WN_Group2_ITA</t>
  </si>
  <si>
    <t>WN</t>
  </si>
  <si>
    <t>Windows</t>
  </si>
  <si>
    <t>Finestra ordinaria. Caso corrente: la posizione non ha un codice, una finestra è quasi sempre esterna.</t>
  </si>
  <si>
    <t>0xx</t>
  </si>
  <si>
    <t>Fissa, non apribile</t>
  </si>
  <si>
    <t>French Door</t>
  </si>
  <si>
    <t>Portafinestra: apertura fino a pavimento con passaggio</t>
  </si>
  <si>
    <t>SK</t>
  </si>
  <si>
    <t>Skylight</t>
  </si>
  <si>
    <t>Apertura in copertura</t>
  </si>
  <si>
    <t>HP</t>
  </si>
  <si>
    <t>Hopper</t>
  </si>
  <si>
    <t>A ribalta, wasistas</t>
  </si>
  <si>
    <t>SF</t>
  </si>
  <si>
    <t>Shopfront</t>
  </si>
  <si>
    <t>Vetrina, esposizione commerciale</t>
  </si>
  <si>
    <t>AW</t>
  </si>
  <si>
    <t>Awning</t>
  </si>
  <si>
    <t>A sporgere</t>
  </si>
  <si>
    <t>VN</t>
  </si>
  <si>
    <t>Ventilation</t>
  </si>
  <si>
    <t>Sola ventilazione: grigliati, prese d’aria, aperture non praticabili</t>
  </si>
  <si>
    <t>Scorrevole, alzante scorrevole</t>
  </si>
  <si>
    <t>SU</t>
  </si>
  <si>
    <t>Shading</t>
  </si>
  <si>
    <t>Oscuramento e schermatura: persiane, scuri, avvolgibili, frangisole</t>
  </si>
  <si>
    <t>A libro</t>
  </si>
  <si>
    <t>AH</t>
  </si>
  <si>
    <t>Access</t>
  </si>
  <si>
    <t>Botola, passo d’uomo, accesso per ispezione</t>
  </si>
  <si>
    <t>6xx</t>
  </si>
  <si>
    <t>7xx</t>
  </si>
  <si>
    <t>03_CP  ·  Curtain Panels</t>
  </si>
  <si>
    <t>CP_Category_Code</t>
  </si>
  <si>
    <t>CP_Category</t>
  </si>
  <si>
    <t>CP_Group1_Code</t>
  </si>
  <si>
    <t>CP_Group1</t>
  </si>
  <si>
    <t>CP_Group1_ITA</t>
  </si>
  <si>
    <t>CP_Group2_Code</t>
  </si>
  <si>
    <t>CP_Group2</t>
  </si>
  <si>
    <t>CP_Group2_ITA</t>
  </si>
  <si>
    <t>CP</t>
  </si>
  <si>
    <t>Curtain Panels</t>
  </si>
  <si>
    <t>VS</t>
  </si>
  <si>
    <t>Vision</t>
  </si>
  <si>
    <t>Pannello di visione</t>
  </si>
  <si>
    <t>GL</t>
  </si>
  <si>
    <t>Glazed</t>
  </si>
  <si>
    <t>Vetrato</t>
  </si>
  <si>
    <t>SR</t>
  </si>
  <si>
    <t>Spandrel</t>
  </si>
  <si>
    <t>Fascia opaca di marcapiano</t>
  </si>
  <si>
    <t>Solid</t>
  </si>
  <si>
    <t>Opaco pieno</t>
  </si>
  <si>
    <t>Vent</t>
  </si>
  <si>
    <t>Anta apribile</t>
  </si>
  <si>
    <t>Composite</t>
  </si>
  <si>
    <t>Sandwich, multistrato</t>
  </si>
  <si>
    <t>DC</t>
  </si>
  <si>
    <t>Decorative</t>
  </si>
  <si>
    <t>Pannello decorativo, sagomato</t>
  </si>
  <si>
    <t>MS</t>
  </si>
  <si>
    <t>Mesh</t>
  </si>
  <si>
    <t>Rete, lamiera stirata</t>
  </si>
  <si>
    <t>TL</t>
  </si>
  <si>
    <t>Tiling</t>
  </si>
  <si>
    <t>Rivestimento a corsi</t>
  </si>
  <si>
    <t>LV</t>
  </si>
  <si>
    <t>Louvre</t>
  </si>
  <si>
    <t>Alette, grigliato di ventilazione</t>
  </si>
  <si>
    <t>Nessuna delle precedenti</t>
  </si>
  <si>
    <t>04_CM  ·  Columns</t>
  </si>
  <si>
    <t>CM_Category_Code</t>
  </si>
  <si>
    <t>CM_Category</t>
  </si>
  <si>
    <t>CM_Group1_Code</t>
  </si>
  <si>
    <t>CM_Group1</t>
  </si>
  <si>
    <t>CM_Group1_ITA</t>
  </si>
  <si>
    <t>CM_Group2_Code</t>
  </si>
  <si>
    <t>CM_Group2</t>
  </si>
  <si>
    <t>CM_Group2_ITA</t>
  </si>
  <si>
    <t>Columns</t>
  </si>
  <si>
    <t>CV</t>
  </si>
  <si>
    <t>Covering</t>
  </si>
  <si>
    <t>Rivestimento di un pilastro strutturale</t>
  </si>
  <si>
    <t>CR</t>
  </si>
  <si>
    <t>Circular</t>
  </si>
  <si>
    <t>Tonda. Si compila solo il diametro.</t>
  </si>
  <si>
    <t>SA</t>
  </si>
  <si>
    <t>Standalone</t>
  </si>
  <si>
    <t>Colonna architettonica autoportante</t>
  </si>
  <si>
    <t>SQ</t>
  </si>
  <si>
    <t>Square</t>
  </si>
  <si>
    <t>Quadrata</t>
  </si>
  <si>
    <t>Lesene, semicolonne, elementi d’ordine</t>
  </si>
  <si>
    <t>RC</t>
  </si>
  <si>
    <t>Rectangular</t>
  </si>
  <si>
    <t>Rettangolare</t>
  </si>
  <si>
    <t>AC</t>
  </si>
  <si>
    <t>Accessory</t>
  </si>
  <si>
    <t>Capitelli, basi, elementi accessori modellati a parte</t>
  </si>
  <si>
    <t>SH</t>
  </si>
  <si>
    <t>Shaped</t>
  </si>
  <si>
    <t>Sagomata, scanalata, su disegno</t>
  </si>
  <si>
    <t>05_FN  ·  Furniture   —   Group1 = tabella condivisa (provenienza)</t>
  </si>
  <si>
    <t>FN_Category_Code</t>
  </si>
  <si>
    <t>FN_Category</t>
  </si>
  <si>
    <t>FN_Group2_Code</t>
  </si>
  <si>
    <t>FN_Group2</t>
  </si>
  <si>
    <t>FN_Group2_ITA</t>
  </si>
  <si>
    <t>FN</t>
  </si>
  <si>
    <t>Furniture</t>
  </si>
  <si>
    <t>SE</t>
  </si>
  <si>
    <t>Seating</t>
  </si>
  <si>
    <t>Sedute di ogni tipo</t>
  </si>
  <si>
    <t>TD</t>
  </si>
  <si>
    <t>Table-Desk</t>
  </si>
  <si>
    <t>Tavoli, scrivanie, piani d’appoggio</t>
  </si>
  <si>
    <t>SG</t>
  </si>
  <si>
    <t>Storage</t>
  </si>
  <si>
    <t>Armadi e contenitori mobili</t>
  </si>
  <si>
    <t>Shelving</t>
  </si>
  <si>
    <t>Scaffalature, librerie</t>
  </si>
  <si>
    <t>Sleeping</t>
  </si>
  <si>
    <t>Letti</t>
  </si>
  <si>
    <t>CN</t>
  </si>
  <si>
    <t>Counter</t>
  </si>
  <si>
    <t>Banconi mobili, reception non fisse</t>
  </si>
  <si>
    <t>PR</t>
  </si>
  <si>
    <t>Partition</t>
  </si>
  <si>
    <t>Divisori d’arredo non strutturali</t>
  </si>
  <si>
    <t>OD</t>
  </si>
  <si>
    <t>Outdoor</t>
  </si>
  <si>
    <t>Arredo da esterno</t>
  </si>
  <si>
    <t>TX</t>
  </si>
  <si>
    <t>Textile</t>
  </si>
  <si>
    <t>Tende, tappeti, tessili</t>
  </si>
  <si>
    <t>Decoration</t>
  </si>
  <si>
    <t>Quadri, oggetti, complementi</t>
  </si>
  <si>
    <t>AS</t>
  </si>
  <si>
    <t>Appendiabiti, cestini, minuteria</t>
  </si>
  <si>
    <t>06_FS  ·  Furniture Systems   —   Group1 = tabella condivisa (provenienza)</t>
  </si>
  <si>
    <t>FS_Category_Code</t>
  </si>
  <si>
    <t>FS_Category</t>
  </si>
  <si>
    <t>FS_Group2_Code</t>
  </si>
  <si>
    <t>FS_Group2</t>
  </si>
  <si>
    <t>FS_Group2_ITA</t>
  </si>
  <si>
    <t>FS</t>
  </si>
  <si>
    <t>Furniture Systems</t>
  </si>
  <si>
    <t>WS</t>
  </si>
  <si>
    <t>Workstation</t>
  </si>
  <si>
    <t>Postazioni di lavoro composte</t>
  </si>
  <si>
    <t>Pannelli divisori del sistema</t>
  </si>
  <si>
    <t>Contenitori integrati nel sistema</t>
  </si>
  <si>
    <t>Banchi e piani continui</t>
  </si>
  <si>
    <t>SD</t>
  </si>
  <si>
    <t>Schermature integrate</t>
  </si>
  <si>
    <t>RL</t>
  </si>
  <si>
    <t>Rail</t>
  </si>
  <si>
    <t>Binari e montanti di supporto</t>
  </si>
  <si>
    <t>Sedute integrate nel sistema</t>
  </si>
  <si>
    <t>07_CK  ·  Casework   —   Group1 = tabella condivisa (provenienza)</t>
  </si>
  <si>
    <t>CK_Category_Code</t>
  </si>
  <si>
    <t>CK_Category</t>
  </si>
  <si>
    <t>CK_Group2_Code</t>
  </si>
  <si>
    <t>CK_Group2</t>
  </si>
  <si>
    <t>CK_Group2_ITA</t>
  </si>
  <si>
    <t>CK</t>
  </si>
  <si>
    <t>Casework</t>
  </si>
  <si>
    <t>KT</t>
  </si>
  <si>
    <t>Kitchen</t>
  </si>
  <si>
    <t>Cucine, blocchi cottura</t>
  </si>
  <si>
    <t>BT</t>
  </si>
  <si>
    <t>Bathroom</t>
  </si>
  <si>
    <t>Mobili bagno, lavabo attrezzato</t>
  </si>
  <si>
    <t>WD</t>
  </si>
  <si>
    <t>Wardrobe</t>
  </si>
  <si>
    <t>Armadiature a muro, cabine</t>
  </si>
  <si>
    <t>Contenitori fissi generici</t>
  </si>
  <si>
    <t>Scaffalature fisse</t>
  </si>
  <si>
    <t>Banconi, reception, piani di lavoro fissi</t>
  </si>
  <si>
    <t>CD</t>
  </si>
  <si>
    <t>Display</t>
  </si>
  <si>
    <t>Vetrine, espositori</t>
  </si>
  <si>
    <t>NC</t>
  </si>
  <si>
    <t>Niche</t>
  </si>
  <si>
    <t>Nicchie attrezzate ricavate nella muratura</t>
  </si>
  <si>
    <t>LB</t>
  </si>
  <si>
    <t>Laboratory</t>
  </si>
  <si>
    <t>Banchi da laboratorio, cappe</t>
  </si>
  <si>
    <t>MC</t>
  </si>
  <si>
    <t>Medical</t>
  </si>
  <si>
    <t>Arredi fissi sanitari</t>
  </si>
  <si>
    <t>08_PF  ·  Plumbing Fixtures   —   Group1 = tabella condivisa (provenienza)</t>
  </si>
  <si>
    <t>PF_Category_Code</t>
  </si>
  <si>
    <t>PF_Category</t>
  </si>
  <si>
    <t>PF_Group2_Code</t>
  </si>
  <si>
    <t>PF_Group2</t>
  </si>
  <si>
    <t>PF_Group2_ITA</t>
  </si>
  <si>
    <t>PF</t>
  </si>
  <si>
    <t>Plumbing Fixtures</t>
  </si>
  <si>
    <t>WC</t>
  </si>
  <si>
    <t>Water Closet</t>
  </si>
  <si>
    <t>Vasi</t>
  </si>
  <si>
    <t>UR</t>
  </si>
  <si>
    <t>Urinal</t>
  </si>
  <si>
    <t>Orinatoi</t>
  </si>
  <si>
    <t>BD</t>
  </si>
  <si>
    <t>Bidet</t>
  </si>
  <si>
    <t>BA</t>
  </si>
  <si>
    <t>Basin</t>
  </si>
  <si>
    <t>Lavabi</t>
  </si>
  <si>
    <t>SN</t>
  </si>
  <si>
    <t>Sink</t>
  </si>
  <si>
    <t>Lavelli, acquai</t>
  </si>
  <si>
    <t>Shower</t>
  </si>
  <si>
    <t>Piatti e box doccia</t>
  </si>
  <si>
    <t>Bathtub</t>
  </si>
  <si>
    <t>Vasche</t>
  </si>
  <si>
    <t>Floor Drain</t>
  </si>
  <si>
    <t>Pilette, canaline</t>
  </si>
  <si>
    <t>FC</t>
  </si>
  <si>
    <t>Faucet</t>
  </si>
  <si>
    <t>Rubinetteria modellata a parte</t>
  </si>
  <si>
    <t>FL</t>
  </si>
  <si>
    <t>Flushing</t>
  </si>
  <si>
    <t>Cassette e sistemi di scarico</t>
  </si>
  <si>
    <t>DF</t>
  </si>
  <si>
    <t>Drinking Fountain</t>
  </si>
  <si>
    <t>Fontanelle, erogatori</t>
  </si>
  <si>
    <t>09_SE  ·  Specialty Equipment   —   Group1 = tabella condivisa (provenienza)</t>
  </si>
  <si>
    <t>SE_Category_Code</t>
  </si>
  <si>
    <t>SE_Category</t>
  </si>
  <si>
    <t>SE_Group2_Code</t>
  </si>
  <si>
    <t>SE_Group2</t>
  </si>
  <si>
    <t>SE_Group2_ITA</t>
  </si>
  <si>
    <t>Specialty Equipment</t>
  </si>
  <si>
    <t>Catering</t>
  </si>
  <si>
    <t>Cucine professionali, bar, ristorazione</t>
  </si>
  <si>
    <t>LN</t>
  </si>
  <si>
    <t>Laundry</t>
  </si>
  <si>
    <t>Lavanderia</t>
  </si>
  <si>
    <t>Attrezzature sanitarie e diagnostiche</t>
  </si>
  <si>
    <t>Strumentazione da laboratorio</t>
  </si>
  <si>
    <t>SP</t>
  </si>
  <si>
    <t>Sport</t>
  </si>
  <si>
    <t>Attrezzature sportive e ludiche</t>
  </si>
  <si>
    <t>TR</t>
  </si>
  <si>
    <t>Transport</t>
  </si>
  <si>
    <t>Ascensori, scale mobili, montacarichi, piattaforme</t>
  </si>
  <si>
    <t>Safety</t>
  </si>
  <si>
    <t>Antincendio, evacuazione, protezione</t>
  </si>
  <si>
    <t>SC</t>
  </si>
  <si>
    <t>Security</t>
  </si>
  <si>
    <t>Controllo accessi, tornelli, sorveglianza</t>
  </si>
  <si>
    <t>AV</t>
  </si>
  <si>
    <t>Audio-Video</t>
  </si>
  <si>
    <t>Proiezione, audio, schermi, registrazione</t>
  </si>
  <si>
    <t>IT</t>
  </si>
  <si>
    <t>Information Technology</t>
  </si>
  <si>
    <t>Rack, server, postazioni tecniche, stampanti</t>
  </si>
  <si>
    <t>CL</t>
  </si>
  <si>
    <t>Cleaning</t>
  </si>
  <si>
    <t>Pulizia, manutenzione, rifiuti</t>
  </si>
  <si>
    <t>PL</t>
  </si>
  <si>
    <t>Pool</t>
  </si>
  <si>
    <t>Piscine e impianti annessi</t>
  </si>
  <si>
    <t>AM</t>
  </si>
  <si>
    <t>Automation</t>
  </si>
  <si>
    <t>Automazioni, robotica, macchinari</t>
  </si>
  <si>
    <t>VH</t>
  </si>
  <si>
    <t>Vehicle</t>
  </si>
  <si>
    <t>Attrezzature per veicoli, ricarica, officina</t>
  </si>
  <si>
    <t>Acoustic</t>
  </si>
  <si>
    <t>Trattamento acustico non strutturale</t>
  </si>
  <si>
    <t>FP</t>
  </si>
  <si>
    <t>Fireplace</t>
  </si>
  <si>
    <t>Camini, stufe</t>
  </si>
  <si>
    <t>10_SI  ·  Site   —   Group1 = tabella condivisa (provenienza)</t>
  </si>
  <si>
    <t>SI_Category_Code</t>
  </si>
  <si>
    <t>SI_Category</t>
  </si>
  <si>
    <t>SI_Group2_Code</t>
  </si>
  <si>
    <t>SI_Group2</t>
  </si>
  <si>
    <t>SI_Group2_ITA</t>
  </si>
  <si>
    <t>SI</t>
  </si>
  <si>
    <t>Site</t>
  </si>
  <si>
    <t>FE</t>
  </si>
  <si>
    <t>Fence</t>
  </si>
  <si>
    <t>Recinzioni</t>
  </si>
  <si>
    <t>Cancelli, sbarre</t>
  </si>
  <si>
    <t>BR</t>
  </si>
  <si>
    <t>Barrier</t>
  </si>
  <si>
    <t>Dissuasori, guard rail, cordoli</t>
  </si>
  <si>
    <t>FT</t>
  </si>
  <si>
    <t>Arredo urbano: panchine, cestini, fioriere</t>
  </si>
  <si>
    <t>LT</t>
  </si>
  <si>
    <t>Lighting</t>
  </si>
  <si>
    <t>Illuminazione esterna</t>
  </si>
  <si>
    <t>Pole</t>
  </si>
  <si>
    <t>Pali, aste, antenne</t>
  </si>
  <si>
    <t>Signage</t>
  </si>
  <si>
    <t>Segnaletica, insegne</t>
  </si>
  <si>
    <t>MH</t>
  </si>
  <si>
    <t>Manhole</t>
  </si>
  <si>
    <t>Chiusini, pozzetti, botole</t>
  </si>
  <si>
    <t>Attrezzature sportive esterne, gioco</t>
  </si>
  <si>
    <t>Shelter</t>
  </si>
  <si>
    <t>Pensiline, chioschi, gazebo</t>
  </si>
  <si>
    <t>Scaffolding</t>
  </si>
  <si>
    <t>Ponteggi, opere provvisionali</t>
  </si>
  <si>
    <t>11_PK  ·  Parking</t>
  </si>
  <si>
    <t>PK_Category_Code</t>
  </si>
  <si>
    <t>PK_Category</t>
  </si>
  <si>
    <t>PK_Group1_Code</t>
  </si>
  <si>
    <t>PK_Group1</t>
  </si>
  <si>
    <t>PK_Group1_ITA</t>
  </si>
  <si>
    <t>PK_Group2_Code</t>
  </si>
  <si>
    <t>PK_Group2</t>
  </si>
  <si>
    <t>PK_Group2_ITA</t>
  </si>
  <si>
    <t>PK</t>
  </si>
  <si>
    <t>Parking</t>
  </si>
  <si>
    <t>ST</t>
  </si>
  <si>
    <t>Standard</t>
  </si>
  <si>
    <t>Posto auto ordinario</t>
  </si>
  <si>
    <t>PP</t>
  </si>
  <si>
    <t>Perpendicular</t>
  </si>
  <si>
    <t>A pettine, 90°</t>
  </si>
  <si>
    <t>Accessible</t>
  </si>
  <si>
    <t>Posto per disabili, a norma</t>
  </si>
  <si>
    <t>AN</t>
  </si>
  <si>
    <t>Angled</t>
  </si>
  <si>
    <t>A spina: 30°, 45°, 60°</t>
  </si>
  <si>
    <t>EV</t>
  </si>
  <si>
    <t>Electric</t>
  </si>
  <si>
    <t>Con ricarica elettrica</t>
  </si>
  <si>
    <t>Parallel</t>
  </si>
  <si>
    <t>In linea</t>
  </si>
  <si>
    <t>Motorcycle</t>
  </si>
  <si>
    <t>Moto e ciclomotori</t>
  </si>
  <si>
    <t>BC</t>
  </si>
  <si>
    <t>Bicycle</t>
  </si>
  <si>
    <t>Rastrelliere, posti bici</t>
  </si>
  <si>
    <t>LD</t>
  </si>
  <si>
    <t>Loading</t>
  </si>
  <si>
    <t>Carico e scarico, mezzi pesanti</t>
  </si>
  <si>
    <t>RS</t>
  </si>
  <si>
    <t>Reserved</t>
  </si>
  <si>
    <t>Riservati, visitatori, servizio</t>
  </si>
  <si>
    <t>12_EN  ·  Entourage</t>
  </si>
  <si>
    <t>EN_Category_Code</t>
  </si>
  <si>
    <t>EN_Category</t>
  </si>
  <si>
    <t>EN_Group1_Code</t>
  </si>
  <si>
    <t>EN_Group1</t>
  </si>
  <si>
    <t>EN_Group1_ITA</t>
  </si>
  <si>
    <t>EN_Group2_Code</t>
  </si>
  <si>
    <t>EN_Group2</t>
  </si>
  <si>
    <t>EN_Group2_ITA</t>
  </si>
  <si>
    <t>Entourage</t>
  </si>
  <si>
    <t>PE</t>
  </si>
  <si>
    <t>Person</t>
  </si>
  <si>
    <t>Figure umane</t>
  </si>
  <si>
    <t>Realistic</t>
  </si>
  <si>
    <t>3D dettagliato, per render</t>
  </si>
  <si>
    <t>Auto, mezzi</t>
  </si>
  <si>
    <t>SM</t>
  </si>
  <si>
    <t>Simplified</t>
  </si>
  <si>
    <t>3D semplificato, leggero</t>
  </si>
  <si>
    <t>Bici, monopattini</t>
  </si>
  <si>
    <t>Cutout</t>
  </si>
  <si>
    <t>Sagoma 2D piana</t>
  </si>
  <si>
    <t>Animal</t>
  </si>
  <si>
    <t>Animali</t>
  </si>
  <si>
    <t>OB</t>
  </si>
  <si>
    <t>Object</t>
  </si>
  <si>
    <t>Oggetti di scena: valigie, ombrelloni</t>
  </si>
  <si>
    <t>13_PL  ·  Planting</t>
  </si>
  <si>
    <t>PL_Category_Code</t>
  </si>
  <si>
    <t>PL_Category</t>
  </si>
  <si>
    <t>PL_Group1_Code</t>
  </si>
  <si>
    <t>PL_Group1</t>
  </si>
  <si>
    <t>PL_Group1_ITA</t>
  </si>
  <si>
    <t>PL_Group2_Code</t>
  </si>
  <si>
    <t>PL_Group2</t>
  </si>
  <si>
    <t>PL_Group2_ITA</t>
  </si>
  <si>
    <t>Planting</t>
  </si>
  <si>
    <t>Urban</t>
  </si>
  <si>
    <t>Alberature stradali, verde urbano</t>
  </si>
  <si>
    <t>Tree</t>
  </si>
  <si>
    <t>Alberi d’alto fusto</t>
  </si>
  <si>
    <t>Park</t>
  </si>
  <si>
    <t>Parchi e giardini</t>
  </si>
  <si>
    <t>SB</t>
  </si>
  <si>
    <t>Shrub</t>
  </si>
  <si>
    <t>Arbusti, cespugli</t>
  </si>
  <si>
    <t>RF</t>
  </si>
  <si>
    <t>Roof</t>
  </si>
  <si>
    <t>Coperture a verde, terrazze</t>
  </si>
  <si>
    <t>HD</t>
  </si>
  <si>
    <t>Hedge</t>
  </si>
  <si>
    <t>Siepi</t>
  </si>
  <si>
    <t>Indoor</t>
  </si>
  <si>
    <t>Verde d’interno</t>
  </si>
  <si>
    <t>GC</t>
  </si>
  <si>
    <t>Groundcover</t>
  </si>
  <si>
    <t>Tappezzanti, prato, aiuole</t>
  </si>
  <si>
    <t>Screening</t>
  </si>
  <si>
    <t>Barriere verdi, mascheramenti</t>
  </si>
  <si>
    <t>Climber</t>
  </si>
  <si>
    <t>Rampicanti</t>
  </si>
  <si>
    <t>AQ</t>
  </si>
  <si>
    <t>Aquatic</t>
  </si>
  <si>
    <t>Piante acquatiche</t>
  </si>
  <si>
    <t>14_GM  ·  Generic Models   —   Group1 = tabella condivisa (provenienza)</t>
  </si>
  <si>
    <t>GM_Category_Code</t>
  </si>
  <si>
    <t>GM_Category</t>
  </si>
  <si>
    <t>GM_Group2_Code</t>
  </si>
  <si>
    <t>GM_Group2</t>
  </si>
  <si>
    <t>GM_Group2_ITA</t>
  </si>
  <si>
    <t>GM</t>
  </si>
  <si>
    <t>Generic Models</t>
  </si>
  <si>
    <t>AR</t>
  </si>
  <si>
    <t>Architectural</t>
  </si>
  <si>
    <t>Elementi architettonici senza categoria propria</t>
  </si>
  <si>
    <t>Structural</t>
  </si>
  <si>
    <t>Elementi strutturali modellati come generici</t>
  </si>
  <si>
    <t>MP</t>
  </si>
  <si>
    <t>MEP</t>
  </si>
  <si>
    <t>Elementi impiantistici senza categoria propria</t>
  </si>
  <si>
    <t>Elementi di sito</t>
  </si>
  <si>
    <t>DT</t>
  </si>
  <si>
    <t>Detail</t>
  </si>
  <si>
    <t>Elementi di dettaglio costruttivo</t>
  </si>
  <si>
    <t>Container</t>
  </si>
  <si>
    <t>15_MS  ·  Mass</t>
  </si>
  <si>
    <t>MS_Category_Code</t>
  </si>
  <si>
    <t>MS_Category</t>
  </si>
  <si>
    <t>MS_Group1_Code</t>
  </si>
  <si>
    <t>MS_Group1</t>
  </si>
  <si>
    <t>MS_Group1_ITA</t>
  </si>
  <si>
    <t>MS_Group2_Code</t>
  </si>
  <si>
    <t>MS_Group2</t>
  </si>
  <si>
    <t>MS_Group2_ITA</t>
  </si>
  <si>
    <t>Mass</t>
  </si>
  <si>
    <t>Building</t>
  </si>
  <si>
    <t>Volume di un edificio</t>
  </si>
  <si>
    <t>VL</t>
  </si>
  <si>
    <t>Volumetry</t>
  </si>
  <si>
    <t>Studio volumetrico di progetto</t>
  </si>
  <si>
    <t>Volume di comparto o lotto</t>
  </si>
  <si>
    <t>ZN</t>
  </si>
  <si>
    <t>Zoning</t>
  </si>
  <si>
    <t>Inviluppo urbanistico, limiti edificatori</t>
  </si>
  <si>
    <t>EL</t>
  </si>
  <si>
    <t>Element</t>
  </si>
  <si>
    <t>Volume di un singolo elemento</t>
  </si>
  <si>
    <t>Area</t>
  </si>
  <si>
    <t>Calcolo superfici e SLP</t>
  </si>
  <si>
    <t>Studio ombre e soleggiamento</t>
  </si>
  <si>
    <t>CX</t>
  </si>
  <si>
    <t>Context</t>
  </si>
  <si>
    <t>Edifici al contorno, stato di fatto volumetrico</t>
  </si>
  <si>
    <t>Le tabelle sono entità Tabella di Excel e in quanto tali modificabili: aggiungere o togliere una riga si riflette subito sui menu dei generatori. I codici già usati nei modelli non vanno cambiati.</t>
  </si>
  <si>
    <t>La colonna TM Code compare solo dove il Group2 alimenta una cifra del Type Mark. Sulle sette categorie a Group1 condiviso il Type Mark prende direttamente le due lettere del Group2.</t>
  </si>
  <si>
    <t>Manufacturer e Brand non hanno tabella di validazione: sono campi liberi sul generatore.</t>
  </si>
  <si>
    <t>01_DR  ·  Generatore nomi famiglia Doors</t>
  </si>
  <si>
    <t>Compilare le celle chiare: le grigie sono calcolate automaticamente. Questo foglio genera il nome della FAMIGLIA. Il nome del tipo è da inserire manualmente e la sua regola è riportata in fondo, in evidenza. Le tabelle di validazione sono nel foglio DV, i principi generali nel foglio Istruzioni.</t>
  </si>
  <si>
    <t>NOME DELLA FAMIGLIA — lo genera questo foglio:   Author _ [(I)]Cat.G1.G2 _ L{n} _ [CW hosted] _ [Entrance] _ [REI] _ [Manufacturer] _ [Brand] _ [Descrizione]</t>
  </si>
  <si>
    <t>NOME DEL TIPO — da inserire manualmente:   TypeMark _ {larghezza}x{altezza} _ [Descrizione]        Il sequenziale cambia a ogni tipo; costante su tutta la famiglia è il codice che viene dal Group2.</t>
  </si>
  <si>
    <t>ID</t>
  </si>
  <si>
    <t>Auth</t>
  </si>
  <si>
    <t>Category</t>
  </si>
  <si>
    <t>Cat</t>
  </si>
  <si>
    <t>Group1</t>
  </si>
  <si>
    <t>G1</t>
  </si>
  <si>
    <t>Group2</t>
  </si>
  <si>
    <t>G2</t>
  </si>
  <si>
    <t>Leaves</t>
  </si>
  <si>
    <t>CW hosted</t>
  </si>
  <si>
    <t>CWh</t>
  </si>
  <si>
    <t>Ent</t>
  </si>
  <si>
    <t>REI</t>
  </si>
  <si>
    <t>Manufacturer</t>
  </si>
  <si>
    <t>Brand</t>
  </si>
  <si>
    <t>Description</t>
  </si>
  <si>
    <t>Cat.G1.G2</t>
  </si>
  <si>
    <t>FAMILY NAME</t>
  </si>
  <si>
    <t>Type name (example)</t>
  </si>
  <si>
    <t>src_En</t>
  </si>
  <si>
    <t>es1</t>
  </si>
  <si>
    <t>es2</t>
  </si>
  <si>
    <t>es3</t>
  </si>
  <si>
    <t>REI60</t>
  </si>
  <si>
    <t>es4</t>
  </si>
  <si>
    <t>es5</t>
  </si>
  <si>
    <t>Ninz</t>
  </si>
  <si>
    <t>es6</t>
  </si>
  <si>
    <t>Dierre</t>
  </si>
  <si>
    <t>Armoured</t>
  </si>
  <si>
    <t>es7</t>
  </si>
  <si>
    <t>Schuco</t>
  </si>
  <si>
    <t>es8</t>
  </si>
  <si>
    <t>Boon</t>
  </si>
  <si>
    <t>es9</t>
  </si>
  <si>
    <t>Pocket</t>
  </si>
  <si>
    <t>es10</t>
  </si>
  <si>
    <t>Breda</t>
  </si>
  <si>
    <t>es11</t>
  </si>
  <si>
    <t>EI120</t>
  </si>
  <si>
    <t>es12</t>
  </si>
  <si>
    <t>es13</t>
  </si>
  <si>
    <t>Hafele</t>
  </si>
  <si>
    <t>Handle</t>
  </si>
  <si>
    <t>es14</t>
  </si>
  <si>
    <t>IL NOME DEL TIPO</t>
  </si>
  <si>
    <t xml:space="preserve">   DR-1xx _ {larghezza}x{altezza} _ [Descrizione]</t>
  </si>
  <si>
    <t>Da inserire manualmente alla duplicazione di un tipo: questo foglio non li genera. Il codice che sta fra il trattino e il sequenziale viene dal Group2, non dal Group1. Il sequenziale cambia a ogni tipo ed è unico dentro la coppia categoria + codice Group2: due famiglie con lo stesso Group2 proseguono la stessa numerazione, non ripartono da 01. Colonna Type name (example): riporta il modello completo calcolato sulla riga.</t>
  </si>
  <si>
    <t>Cifra del Type Mark per ogni Group2</t>
  </si>
  <si>
    <t>IN = 1   EX = 2   TC = 3   GT = 4   OP = 5   OT = 9</t>
  </si>
  <si>
    <t>NOTE — DOORS</t>
  </si>
  <si>
    <t>Group1 proprio di questa categoria, con Component e Symbol in coda. I principi generali sono nel foglio Istruzioni.</t>
  </si>
  <si>
    <t>Famiglie annidate</t>
  </si>
  <si>
    <t>Maniglie, cerniere e chiudiporta modellati a parte sono famiglie annidate nella porta: Group1 = Component, Group2 = OT, nella categoria in cui sono stati creati. Il meccanismo di apertura non si dichiara: una maniglia non ne ha uno.</t>
  </si>
  <si>
    <t>Porte in facciata continua</t>
  </si>
  <si>
    <t>La porta è annidata in un pannello di curtain wall. Il pannello si nomina nella scheda 03_CP.</t>
  </si>
  <si>
    <t>Elementi in place</t>
  </si>
  <si>
    <t>Un elemento modellato in place non è una famiglia caricata da una libreria: vive solo dentro il progetto, non ha un file .rfa e non si riusa altrove. Il marcatore (I) lo dichiara attaccato al codice di categoria, senza separatore — e_(I)DR.HN.IN — così in abaco si isolano con un filtro sui nomi che iniziano per (I). Tutto il resto del nome segue le regole della categoria, perché anche un in place ha un Group1 e un Group2. La cella vuota è il caso normale.</t>
  </si>
  <si>
    <t>Component e Symbol sono in coda al Group1 di questa categoria. Il Group1 è un campo solo: quando la famiglia è un componente nidificato o un simbolo, quel valore prende il posto della classificazione funzionale e il Group2 diventa OT. La provenienza commerciale o su misura qui non si dichiara: su questa categoria non è il dato che distingue una famiglia da un’altra.</t>
  </si>
  <si>
    <t>Manufacturer indica l’azienda produttrice, Brand il marchio del CLIENTE di cui l’elemento è standard. Sono indipendenti fra loro e sono campi liberi, quindi vanno scritti sempre allo stesso modo. Limite noto: quando è compilato un solo blocco, dal nome non è distinguibile quale dei due sia.</t>
  </si>
  <si>
    <t>REGOLE DI COMPILAZIONE</t>
  </si>
  <si>
    <t>Autore della codifica.</t>
  </si>
  <si>
    <t>Facoltativo. Si compila solo quando l’elemento è modellato in place dentro il progetto, non caricato da una libreria. Nel nome diventa (I) attaccato al codice di categoria, senza separatore: e_(I)DR.HN.IN. Cella vuota = famiglia caricabile ordinaria, che è il caso normale.</t>
  </si>
  <si>
    <t>Categoria Revit della famiglia.</t>
  </si>
  <si>
    <t>Meccanismo di apertura. Component e Symbol chiudono la lista: quando la famiglia è un componente nidificato o un simbolo, quel valore prende il posto della classificazione funzionale, e il Group2 diventa OT.</t>
  </si>
  <si>
    <t>Posizione e tipologia. IN interna. EX esterna, unica che ammette Entrance. TC locali tecnici e cavedi. GT cancelli e portoni. OP vano libero. Prestazioni escluse: il REI ha il suo campo, acustica e antieffrazione vanno in Description.</t>
  </si>
  <si>
    <t>Da 0 a 9, sempre compilato. Nel nome: L + numero. Vano libero (Group2 = OP) → L0. Due ante = famiglia diversa, non tipo diverso. Con Group1 = Component o Symbol il campo si spegne, la cella diventa grigia e resta vuota: un componente nidificato o un simbolo non hanno ante.</t>
  </si>
  <si>
    <t>Facoltativo. Famiglia nidificata in un pannello di curtain wall anziché ospitata da una parete. Il pannello si nomina nella scheda 03_CP.</t>
  </si>
  <si>
    <t>Facoltativo. Marca gli ingressi principali, per selezionarli rapidamente. Ammesso solo con Group2 = EX.</t>
  </si>
  <si>
    <t>Facoltativo. Sigla completa come certificata: REI60, EI90. Deve coincidere con FireRating. È l’unico modo di dichiarare la resistenza al fuoco: il Group2 non ha un codice dedicato.</t>
  </si>
  <si>
    <t>Facoltativo. Azienda produttrice. Campo libero: senza spazi, iniziali maiuscole. Non compatibile con Group1 = Custom.</t>
  </si>
  <si>
    <t>Facoltativo. Marchio del CLIENTE di cui l’elemento è standard, non la linea di prodotto del produttore. Indipendente da Manufacturer: uno standard di marchio si realizza tanto a catalogo quanto su misura. Campo libero senza spazi, sempre scritto allo stesso modo. Limite noto: con un solo blocco compilato fra Manufacturer e Brand, dal nome non si distingue quale dei due sia.</t>
  </si>
  <si>
    <t>Facoltativa. Solo se aggiunge un’informazione non già nei codici: destinazione, posizione, o ciò che distingue due famiglie altrimenti identiche. Senza spazi, iniziali maiuscole, massimo 40 caratteri, senza accenti.</t>
  </si>
  <si>
    <t>Le colonne grigie sono calcolate automaticamente.</t>
  </si>
  <si>
    <t>02_WN  ·  Generatore nomi famiglia Windows</t>
  </si>
  <si>
    <t>NOME DELLA FAMIGLIA — lo genera questo foglio:   Author _ [(I)]Cat.G1.G2 _ L{n} _ [CW hosted] _ [Manufacturer] _ [Brand] _ [Descrizione]</t>
  </si>
  <si>
    <t>Velux</t>
  </si>
  <si>
    <t>Colt</t>
  </si>
  <si>
    <t>Louvred</t>
  </si>
  <si>
    <t xml:space="preserve">   WN-0xx _ {larghezza}x{altezza} _ [Descrizione]</t>
  </si>
  <si>
    <t>GN = 0   FD = 1   SK = 2   SF = 3   VN = 4   SU = 5   AH = 6   OP = 7   OT = 9</t>
  </si>
  <si>
    <t>NOTE — WINDOWS</t>
  </si>
  <si>
    <t>Ferramenta e oscuramenti modellati a parte sono famiglie annidate nella finestra: Group1 = Component, Group2 = OT.</t>
  </si>
  <si>
    <t>Finestre in facciata continua</t>
  </si>
  <si>
    <t>La finestra è annidata in un pannello di curtain wall. Il pannello si nomina nella scheda 03_CP.</t>
  </si>
  <si>
    <t>Lucernari</t>
  </si>
  <si>
    <t>SK = finestre da tetto caricabili. Falde vetrate modellate come sistema → scheda 03_RF dell’altro file.</t>
  </si>
  <si>
    <t>Meccanismo di apertura. Asse orizzontale o verticale di un’apertura a libro o a bilico → parametri di tipo, non entra nel nome. Component e Symbol chiudono la lista: quando la famiglia è un componente nidificato o un simbolo, quel valore prende il posto della classificazione funzionale, e il Group2 diventa OT.</t>
  </si>
  <si>
    <t>Tipologia. GN = finestra ordinaria, il caso corrente. La posizione non ha un codice: una finestra è praticamente sempre esterna. FD, SK, SF, VN, SU, AH e OP prevalgono su GN. Prestazioni escluse: inferriate e acustica vanno in Description.</t>
  </si>
  <si>
    <t>03_CP  ·  Generatore nomi famiglia Curtain Panels</t>
  </si>
  <si>
    <t>NOME DELLA FAMIGLIA — lo genera questo foglio:   Author _ [(I)]Cat.G1.G2 _ [Manufacturer] _ [Brand] _ [Descrizione]</t>
  </si>
  <si>
    <t>NOME DEL TIPO — da inserire manualmente:   TypeMark _ T{spessore} _ [Descrizione]        Il sequenziale cambia a ogni tipo; costante su tutta la famiglia è il codice che viene dal Group2.</t>
  </si>
  <si>
    <t>Perforated</t>
  </si>
  <si>
    <t>Alucobond</t>
  </si>
  <si>
    <t>Bracket</t>
  </si>
  <si>
    <t xml:space="preserve">   CP-1xx _ T{spessore} _ [Descrizione]</t>
  </si>
  <si>
    <t>VS = 1   SR = 2   VN = 3   DC = 4   TL = 5   OT = 9</t>
  </si>
  <si>
    <t>NOTE — CURTAIN PANELS</t>
  </si>
  <si>
    <t>Famiglia annidata</t>
  </si>
  <si>
    <t>Il pannello è annidato nel Curtain Wall. Il muro continuo si nomina in 09_WL dell’altro file, i montanti in 10_CN.</t>
  </si>
  <si>
    <t>Solo pannelli caricabili</t>
  </si>
  <si>
    <t>Il System Panel di Revit si nomina in 13_CP dell’altro file.</t>
  </si>
  <si>
    <t>Composizione del pannello. Component e Symbol chiudono la lista: quando la famiglia è un componente nidificato o un simbolo, quel valore prende il posto della classificazione funzionale, e il Group2 diventa OT.</t>
  </si>
  <si>
    <t>Ruolo nella facciata.</t>
  </si>
  <si>
    <t>04_CM  ·  Generatore nomi famiglia Columns</t>
  </si>
  <si>
    <t>NOME DEL TIPO — da inserire manualmente:   TypeMark _ {b}x{h} | D{diametro} _ [Descrizione]        Il sequenziale cambia a ogni tipo; costante su tutta la famiglia è il codice che viene dal Group2.</t>
  </si>
  <si>
    <t>Capital</t>
  </si>
  <si>
    <t>Base</t>
  </si>
  <si>
    <t xml:space="preserve">   CM-1xx _ {b}x{h} | D{diametro} _ [Descrizione]</t>
  </si>
  <si>
    <t>CV = 1   SA = 2   DC = 3   AC = 4   OT = 9</t>
  </si>
  <si>
    <t>NOTE — COLUMNS</t>
  </si>
  <si>
    <t>Non sono i pilastri strutturali</t>
  </si>
  <si>
    <t>Structural Columns è un’altra categoria. Non si nomina qui.</t>
  </si>
  <si>
    <t>Forma della sezione. Sezione tonda → nel nome del tipo si scrive D + solo diametro. Component e Symbol chiudono la lista: quando la famiglia è un componente nidificato o un simbolo, quel valore prende il posto della classificazione funzionale, e il Group2 diventa OT.</t>
  </si>
  <si>
    <t>Ruolo della colonna.</t>
  </si>
  <si>
    <t>05_FN  ·  Generatore nomi famiglia Furniture</t>
  </si>
  <si>
    <t>NOME DEL TIPO — da inserire manualmente:   TypeMark _ {L}x{P}[x{H}] _ [Descrizione]        Il sequenziale cambia a ogni tipo; costante su tutta la famiglia è il codice che viene dal Group2.</t>
  </si>
  <si>
    <t>Vitra</t>
  </si>
  <si>
    <t>Flou</t>
  </si>
  <si>
    <t>Metalco</t>
  </si>
  <si>
    <t>Dior</t>
  </si>
  <si>
    <t xml:space="preserve">   FN-SExx _ {L}x{P}[x{H}] _ [Descrizione]</t>
  </si>
  <si>
    <t>Il codice del Type Mark</t>
  </si>
  <si>
    <t>Sono le due lettere del Group2, riprese tali e quali: SE, TD, SG, SH, SL, CN…  Esempio: il primo tipo con Group2 = SE (Seating) ha Type Mark FN-SE01.</t>
  </si>
  <si>
    <t>NOTE — FURNITURE</t>
  </si>
  <si>
    <t>Group1 = tabella condivisa della provenienza. I principi generali sono nel foglio Istruzioni.</t>
  </si>
  <si>
    <t>Furniture o Casework</t>
  </si>
  <si>
    <t>Fissato all’edificio, non spostabile senza smontaggio → Casework, scheda 07_CK. Spostabile → Furniture.</t>
  </si>
  <si>
    <t>Cosa non sta qui</t>
  </si>
  <si>
    <t>Attrezzature sanitarie, sportive, mediche e audiovisive → 09_SE. Arredo urbano e fioriere → 10_SI. Pavimenti e parapetti → famiglie di sistema, altro file.</t>
  </si>
  <si>
    <t>Il template della famiglia</t>
  </si>
  <si>
    <t>Il template da cui la famiglia deriva non ha un codice nel nome. Due famiglie che differiscono solo per quello — il vaso sospeso e quello a terra — generano lo stesso nome, e si distinguono nella Descrizione.</t>
  </si>
  <si>
    <t>Il Group1 di queste categorie dice da dove viene la famiglia. Commercial è il prodotto di mercato, Custom l’elemento su misura; Component e Symbol dicono invece che la famiglia è nidificata dentro un’altra, e in quel caso la provenienza non interessa. Le quattro voci non si sovrappongono, quindi la scelta è sempre una sola.</t>
  </si>
  <si>
    <t>Manufacturer indica l’azienda produttrice e non è compatibile con Group1 = Custom: se la famiglia è su misura non ha un produttore a catalogo. Con Component e Symbol invece è ammesso, perché un componente nidificato può benissimo essere un prodotto. Brand indica il marchio del CLIENTE di cui l’elemento è standard, ed è indipendente: uno standard di marchio si realizza tanto a catalogo quanto su misura. Sono campi liberi e vanno scritti sempre allo stesso modo. Limite noto: quando è compilato un solo blocco, dal nome non è distinguibile quale dei due sia.</t>
  </si>
  <si>
    <t>Da dove viene la famiglia. Commercial e Custom si escludono a vicenda e descrivono le famiglie complete: prodotto di mercato oppure realizzata su misura. Component e Symbol descrivono le famiglie nidificate dentro un’altra, dove la provenienza non aggiunge nulla perché non si acquistano né si computano da sole. Una sola voce per famiglia: il campo è uno solo.</t>
  </si>
  <si>
    <t>Tipo di oggetto.</t>
  </si>
  <si>
    <t>06_FS  ·  Generatore nomi famiglia Furniture Systems</t>
  </si>
  <si>
    <t xml:space="preserve">   FS-WSxx _ {L}x{P}[x{H}] _ [Descrizione]</t>
  </si>
  <si>
    <t>Sono le due lettere del Group2, riprese tali e quali: WS, PR, SG, CN, SD, RL…  Esempio: il primo tipo con Group2 = WS (Workstation) ha Type Mark FS-WS01.</t>
  </si>
  <si>
    <t>NOTE — FURNITURE SYSTEMS</t>
  </si>
  <si>
    <t>Quando Furniture Systems</t>
  </si>
  <si>
    <t>Insieme componibile che si posa come un elemento unico. Il singolo tavolo dell’isola resta Furniture. In caso di dubbio → Furniture.</t>
  </si>
  <si>
    <t>Tipo di sistema componibile.</t>
  </si>
  <si>
    <t>07_CK  ·  Generatore nomi famiglia Casework</t>
  </si>
  <si>
    <t>BaseUnit</t>
  </si>
  <si>
    <t>WallUnit</t>
  </si>
  <si>
    <t>Waldner</t>
  </si>
  <si>
    <t>Malvestio</t>
  </si>
  <si>
    <t xml:space="preserve">   CK-KTxx _ {L}x{P}[x{H}] _ [Descrizione]</t>
  </si>
  <si>
    <t>Sono le due lettere del Group2, riprese tali e quali: KT, BT, WD, SG, SH, CN…  Esempio: il primo tipo con Group2 = KT (Kitchen) ha Type Mark CK-KT01.</t>
  </si>
  <si>
    <t>NOTE — CASEWORK</t>
  </si>
  <si>
    <t>Casework o Furniture</t>
  </si>
  <si>
    <t>Fissato all’edificio → Casework. Spostabile senza smontaggio → Furniture, scheda 05_FN.</t>
  </si>
  <si>
    <t>Destinazione: il locale o l’uso che il mobile serve. Cassetti e ante sono dettagli interni, non categorie.</t>
  </si>
  <si>
    <t>08_PF  ·  Generatore nomi famiglia Plumbing Fixtures</t>
  </si>
  <si>
    <t>IdealStandard</t>
  </si>
  <si>
    <t>Sospeso</t>
  </si>
  <si>
    <t>ATerra</t>
  </si>
  <si>
    <t>Duravit</t>
  </si>
  <si>
    <t>Catalano</t>
  </si>
  <si>
    <t>Grohe</t>
  </si>
  <si>
    <t>Geberit</t>
  </si>
  <si>
    <t xml:space="preserve">   PF-WCxx _ {L}x{P}[x{H}] _ [Descrizione]</t>
  </si>
  <si>
    <t>Sono le due lettere del Group2, riprese tali e quali: WC, UR, BD, BA, SN, SR…  Esempio: il primo tipo con Group2 = WC (Water Closet) ha Type Mark PF-WC01.</t>
  </si>
  <si>
    <t>NOTE — PLUMBING FIXTURES</t>
  </si>
  <si>
    <t>Rubinetteria e cassette</t>
  </si>
  <si>
    <t>FC e FL solo se modellate come famiglie a sé, annidate nell’apparecchio: Group1 = Component. Comprese nel sanitario → nessun nome proprio.</t>
  </si>
  <si>
    <t>Il template da cui la famiglia deriva non ha un codice nel nome. Due famiglie che differiscono solo per quello — il vaso sospeso e quello a terra — generano lo stesso nome, e si distinguono nella Descrizione. Su questa categoria è il caso più frequente.</t>
  </si>
  <si>
    <t>Impianti</t>
  </si>
  <si>
    <t>Tubazioni e scarichi sono famiglie di sistema MEP. Fuori dal perimetro di questo file.</t>
  </si>
  <si>
    <t>Apparecchio sanitario.</t>
  </si>
  <si>
    <t>09_SE  ·  Generatore nomi famiglia Specialty Equipment</t>
  </si>
  <si>
    <t>Kone</t>
  </si>
  <si>
    <t>Electrolux</t>
  </si>
  <si>
    <t>Miele</t>
  </si>
  <si>
    <t>Siemens</t>
  </si>
  <si>
    <t>Kaba</t>
  </si>
  <si>
    <t>Barco</t>
  </si>
  <si>
    <t>Caimi</t>
  </si>
  <si>
    <t xml:space="preserve">   SE-CTxx _ {L}x{P}[x{H}] _ [Descrizione]</t>
  </si>
  <si>
    <t>Sono le due lettere del Group2, riprese tali e quali: CT, LN, MC, LB, SP, TR…  Esempio: il primo tipo con Group2 = CT (Catering) ha Type Mark SE-CT01.</t>
  </si>
  <si>
    <t>NOTE — SPECIALTY EQUIPMENT</t>
  </si>
  <si>
    <t>Confine con Furniture</t>
  </si>
  <si>
    <t>Attrezzature, non arredo. Sedute, tavoli e contenitori → 05_FN.</t>
  </si>
  <si>
    <t>Ambito dell’attrezzatura. IT assorbe server, rack, stampanti e postazioni tecniche. AV assorbe proiezione, audio, schermi e registrazione. SF assorbe antincendio, evacuazione e protezione.</t>
  </si>
  <si>
    <t>10_SI  ·  Generatore nomi famiglia Site</t>
  </si>
  <si>
    <t>iGuzzini</t>
  </si>
  <si>
    <t>Kompan</t>
  </si>
  <si>
    <t xml:space="preserve">   SI-FExx _ {L}x{P}[x{H}] _ [Descrizione]</t>
  </si>
  <si>
    <t>Sono le due lettere del Group2, riprese tali e quali: FE, GT, BR, FT, LT, PL…  Esempio: il primo tipo con Group2 = FE (Fence) ha Type Mark SI-FE01.</t>
  </si>
  <si>
    <t>NOTE — SITE</t>
  </si>
  <si>
    <t>Site o famiglie di sistema</t>
  </si>
  <si>
    <t>Recinzioni e barriere modellate come Railing sono famiglie di sistema, altro file. Qui solo le caricabili.</t>
  </si>
  <si>
    <t>Terreno e pavimentazioni</t>
  </si>
  <si>
    <t>Non rientrano qui: sono Toposolid, scheda 14_TS dell’altro file.</t>
  </si>
  <si>
    <t>Tipo di elemento di sito.</t>
  </si>
  <si>
    <t>11_PK  ·  Generatore nomi famiglia Parking</t>
  </si>
  <si>
    <t>NOME DEL TIPO — da inserire manualmente:   TypeMark _ {larghezza}x{lunghezza} _ [Descrizione]        Il sequenziale cambia a ogni tipo; costante su tutta la famiglia è il codice che viene dal Group2.</t>
  </si>
  <si>
    <t xml:space="preserve">   PK-1xx _ {larghezza}x{lunghezza} _ [Descrizione]</t>
  </si>
  <si>
    <t>ST = 1   AC = 2   EV = 3   MC = 4   BC = 5   LD = 6   RS = 7   OT = 9</t>
  </si>
  <si>
    <t>NOTE — PARKING</t>
  </si>
  <si>
    <t>Blocco dimensionale del tipo</t>
  </si>
  <si>
    <t>Larghezza per lunghezza del posto. 250x500 standard, 320x500 accessibile. Sono le misure su cui si verifica la conformità.</t>
  </si>
  <si>
    <t>Disposizione del posto rispetto alla corsia. Component e Symbol chiudono la lista: quando la famiglia è un componente nidificato o un simbolo, quel valore prende il posto della classificazione funzionale, e il Group2 diventa OT.</t>
  </si>
  <si>
    <t>Destinazione del posto.</t>
  </si>
  <si>
    <t>12_EN  ·  Generatore nomi famiglia Entourage</t>
  </si>
  <si>
    <t>NOME DEL TIPO — da inserire manualmente:   TypeMark _ (nessun blocco dimensionale) _ [Descrizione]        Il sequenziale cambia a ogni tipo; costante su tutta la famiglia è il codice che viene dal Group2.</t>
  </si>
  <si>
    <t>AXYZ</t>
  </si>
  <si>
    <t xml:space="preserve">   EN-1xx _ (nessun blocco dimensionale) _ [Descrizione]</t>
  </si>
  <si>
    <t>RL = 1   SM = 2   CO = 3   OT = 9</t>
  </si>
  <si>
    <t>NOTE — ENTOURAGE</t>
  </si>
  <si>
    <t>Peso del modello</t>
  </si>
  <si>
    <t>L’entourage è la prima causa di file gonfi. Le famiglie RL vanno caricate solo nelle viste che le usano.</t>
  </si>
  <si>
    <t>Soggetto rappresentato. Component e Symbol chiudono la lista: quando la famiglia è un componente nidificato o un simbolo, quel valore prende il posto della classificazione funzionale, e il Group2 diventa OT.</t>
  </si>
  <si>
    <t>Livello di rappresentazione. Su questa categoria determina la scelta della famiglia e il peso del file.</t>
  </si>
  <si>
    <t>13_PL  ·  Generatore nomi famiglia Planting</t>
  </si>
  <si>
    <t>NOME DEL TIPO — da inserire manualmente:   TypeMark _ H{altezza} _ [Descrizione]        Il sequenziale cambia a ogni tipo; costante su tutta la famiglia è il codice che viene dal Group2.</t>
  </si>
  <si>
    <t>TiliaCordata</t>
  </si>
  <si>
    <t>QuercusRobur</t>
  </si>
  <si>
    <t xml:space="preserve">   PL-1xx _ H{altezza} _ [Descrizione]</t>
  </si>
  <si>
    <t>UR = 1   PK = 2   RF = 3   IN = 4   SN = 5   OT = 9</t>
  </si>
  <si>
    <t>NOTE — PLANTING</t>
  </si>
  <si>
    <t>Nome botanico</t>
  </si>
  <si>
    <t>Va in Description: e_PL.TR.UR_TiliaCordata. Una specie non è una classe e l’elenco non si chiude.</t>
  </si>
  <si>
    <t>Tipo di pianta. Component e Symbol chiudono la lista: quando la famiglia è un componente nidificato o un simbolo, quel valore prende il posto della classificazione funzionale, e il Group2 diventa OT.</t>
  </si>
  <si>
    <t>Contesto di impianto.</t>
  </si>
  <si>
    <t>14_GM  ·  Generatore nomi famiglia Generic Models</t>
  </si>
  <si>
    <t>SkylightWell</t>
  </si>
  <si>
    <t xml:space="preserve">   GM-ARxx _ {L}x{P}[x{H}] _ [Descrizione]</t>
  </si>
  <si>
    <t>Sono le due lettere del Group2, riprese tali e quali: AR, ST, MP, SI, DT, CN…  Esempio: il primo tipo con Group2 = AR (Architectural) ha Type Mark GM-AR01.</t>
  </si>
  <si>
    <t>NOTE — GENERIC MODELS</t>
  </si>
  <si>
    <t>Categoria di ultima istanza</t>
  </si>
  <si>
    <t>Un Generic Model non compare negli abachi della sua disciplina, non eredita i parametri della categoria giusta e non si filtra. Se il Group2 scelto corrisponde a una categoria Revit esistente, la famiglia va in quella categoria.</t>
  </si>
  <si>
    <t>Disciplina. Serve a filtrare ciò che per necessità finisce in questa categoria.</t>
  </si>
  <si>
    <t>15_MS  ·  Generatore nomi famiglia Mass</t>
  </si>
  <si>
    <t xml:space="preserve">   MS-1xx _ (nessun blocco dimensionale) _ [Descrizione]</t>
  </si>
  <si>
    <t>VL = 1   ZN = 2   AR = 3   SD = 4   CX = 5   OT = 9</t>
  </si>
  <si>
    <t>NOTE — MASS</t>
  </si>
  <si>
    <t>Contesto</t>
  </si>
  <si>
    <t>CX = edifici al contorno. Non è una fase: lo stato di fatto è il parametro Fase di Revit.</t>
  </si>
  <si>
    <t>Scala del volume. Component e Symbol chiudono la lista: quando la famiglia è un componente nidificato o un simbolo, quel valore prende il posto della classificazione funzionale, e il Group2 diventa OT.</t>
  </si>
  <si>
    <t>Scopo dello studio volumetrico.</t>
  </si>
  <si>
    <t>Foglio di servizio – NON MODIFICARE. A1 vuota = sorgente neutra. B1 = suffisso Entrance, B2 vuota = non ammesso.</t>
  </si>
  <si>
    <t>BF</t>
  </si>
  <si>
    <t>PO</t>
  </si>
  <si>
    <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</si>
</sst>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2"/>
      <color rgb="FF4A6D82"/>
      <name val="Calibri"/>
    </font>
    <font>
      <b/>
      <sz val="9"/>
      <color rgb="FFFFFFFF"/>
      <name val="Calibri"/>
    </font>
    <font>
      <sz val="10"/>
      <color rgb="FF2B2B2B"/>
      <name val="Calibri"/>
    </font>
    <font>
      <i/>
      <sz val="9"/>
      <color rgb="FF767676"/>
      <name val="Calibri"/>
    </font>
    <font>
      <sz val="9"/>
      <color rgb="FF767676"/>
      <name val="Calibri"/>
    </font>
    <font>
      <b/>
      <sz val="15"/>
      <color rgb="FF2B2B2B"/>
      <name val="Calibri"/>
    </font>
    <font>
      <sz val="9"/>
      <color rgb="FF4A6D82"/>
      <name val="Calibri"/>
    </font>
    <font>
      <b/>
      <sz val="9"/>
      <color rgb="FF2B2B2B"/>
      <name val="Calibri"/>
    </font>
    <font>
      <b/>
      <sz val="8"/>
      <color rgb="FFFFFFFF"/>
      <name val="Calibri"/>
    </font>
    <font>
      <sz val="8"/>
      <color rgb="FFBFBFBF"/>
      <name val="Calibri"/>
    </font>
    <font>
      <i/>
      <sz val="9"/>
      <color rgb="FF2B2B2B"/>
      <name val="Calibri"/>
    </font>
    <font>
      <i/>
      <sz val="8"/>
      <color rgb="FFA6A6A6"/>
      <name val="Calibri"/>
    </font>
    <font>
      <i/>
      <sz val="9"/>
      <color rgb="FF4A6D82"/>
      <name val="Calibri"/>
    </font>
    <font>
      <sz val="9"/>
      <color rgb="FF2B2B2B"/>
      <name val="Calibri"/>
    </font>
    <font>
      <sz val="8"/>
      <color rgb="FFA6A6A6"/>
      <name val="Calibri"/>
    </font>
    <font>
      <b/>
      <sz val="12"/>
      <color rgb="FF2B2B2B"/>
      <name val="Calibri"/>
    </font>
    <font>
      <b/>
      <sz val="10"/>
      <color rgb="FF4A6D82"/>
      <name val="Calibri"/>
    </font>
    <font>
      <b/>
      <sz val="17"/>
      <color rgb="FF2B2B2B"/>
      <name val="Calibri"/>
    </font>
    <font>
      <b/>
      <sz val="10"/>
      <color rgb="FFFFFFFF"/>
      <name val="Calibri"/>
    </font>
    <font>
      <b/>
      <sz val="11"/>
      <color rgb="FF4A6D82"/>
      <name val="Calibri"/>
    </font>
    <font>
      <sz val="10"/>
      <color rgb="FF4A6D82"/>
      <name val="Calibri"/>
    </font>
    <font>
      <sz val="10"/>
      <color rgb="FF2B2B2B"/>
      <name val="Calibri"/>
      <family val="2"/>
    </font>
  </fonts>
  <fills count="10">
    <fill>
      <patternFill patternType="none"/>
    </fill>
    <fill>
      <patternFill patternType="gray125"/>
    </fill>
    <fill>
      <patternFill patternType="solid">
        <fgColor rgb="FF4A4A4A"/>
      </patternFill>
    </fill>
    <fill>
      <patternFill patternType="solid">
        <fgColor rgb="FFF2F6F8"/>
      </patternFill>
    </fill>
    <fill>
      <patternFill patternType="solid">
        <fgColor rgb="FF4A6D82"/>
      </patternFill>
    </fill>
    <fill>
      <patternFill patternType="solid">
        <fgColor rgb="FFF7F7F7"/>
      </patternFill>
    </fill>
    <fill>
      <patternFill patternType="solid">
        <fgColor rgb="FFEDF2F5"/>
      </patternFill>
    </fill>
    <fill>
      <patternFill patternType="solid">
        <fgColor rgb="FFF7F9FA"/>
      </patternFill>
    </fill>
    <fill>
      <patternFill patternType="solid">
        <fgColor rgb="FFDCE6EC"/>
      </patternFill>
    </fill>
    <fill>
      <patternFill patternType="solid">
        <fgColor rgb="FFE8EEF2"/>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bottom style="medium">
        <color rgb="FF4A6D82"/>
      </bottom>
      <diagonal/>
    </border>
    <border>
      <left/>
      <right/>
      <top/>
      <bottom style="medium">
        <color rgb="FF4A6D82"/>
      </bottom>
      <diagonal/>
    </border>
  </borders>
  <cellStyleXfs count="1">
    <xf numFmtId="0" fontId="0" fillId="0" borderId="0"/>
  </cellStyleXfs>
  <cellXfs count="46">
    <xf numFmtId="0" fontId="0" fillId="0" borderId="0" xfId="0"/>
    <xf numFmtId="0" fontId="1" fillId="0" borderId="0" xfId="0" applyFont="1"/>
    <xf numFmtId="0" fontId="4" fillId="0" borderId="0" xfId="0" applyFont="1"/>
    <xf numFmtId="0" fontId="2" fillId="2" borderId="1" xfId="0" applyFont="1" applyFill="1" applyBorder="1" applyAlignment="1">
      <alignment horizontal="center" vertical="center" wrapText="1"/>
    </xf>
    <xf numFmtId="0" fontId="3" fillId="0" borderId="1" xfId="0" applyFont="1" applyBorder="1"/>
    <xf numFmtId="0" fontId="5" fillId="0" borderId="1" xfId="0" applyFont="1" applyBorder="1"/>
    <xf numFmtId="0" fontId="6" fillId="0" borderId="0" xfId="0" applyFont="1"/>
    <xf numFmtId="0" fontId="5" fillId="0" borderId="0" xfId="0" applyFont="1"/>
    <xf numFmtId="0" fontId="7" fillId="0" borderId="0" xfId="0" applyFont="1"/>
    <xf numFmtId="0" fontId="8" fillId="3" borderId="0" xfId="0" applyFont="1" applyFill="1"/>
    <xf numFmtId="0" fontId="0" fillId="3" borderId="0" xfId="0" applyFill="1"/>
    <xf numFmtId="0" fontId="9"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2" fillId="0" borderId="1" xfId="0" applyFont="1" applyBorder="1" applyAlignment="1">
      <alignment horizontal="center"/>
    </xf>
    <xf numFmtId="0" fontId="11" fillId="6" borderId="1" xfId="0" applyFont="1" applyFill="1" applyBorder="1" applyAlignment="1">
      <alignment horizontal="center"/>
    </xf>
    <xf numFmtId="0" fontId="4" fillId="5" borderId="1" xfId="0" applyFont="1" applyFill="1" applyBorder="1" applyAlignment="1">
      <alignment horizontal="center"/>
    </xf>
    <xf numFmtId="0" fontId="11" fillId="7" borderId="1" xfId="0" applyFont="1" applyFill="1" applyBorder="1" applyAlignment="1">
      <alignment horizontal="center"/>
    </xf>
    <xf numFmtId="0" fontId="11" fillId="7" borderId="1" xfId="0" applyFont="1" applyFill="1" applyBorder="1" applyAlignment="1">
      <alignment horizontal="left"/>
    </xf>
    <xf numFmtId="0" fontId="11" fillId="8" borderId="1" xfId="0" applyFont="1" applyFill="1" applyBorder="1" applyAlignment="1">
      <alignment horizontal="left"/>
    </xf>
    <xf numFmtId="0" fontId="13" fillId="8" borderId="1" xfId="0" applyFont="1" applyFill="1" applyBorder="1" applyAlignment="1">
      <alignment horizontal="center"/>
    </xf>
    <xf numFmtId="0" fontId="10" fillId="0" borderId="0" xfId="0" applyFont="1"/>
    <xf numFmtId="0" fontId="15" fillId="0" borderId="1" xfId="0" applyFont="1" applyBorder="1" applyAlignment="1">
      <alignment horizontal="center"/>
    </xf>
    <xf numFmtId="0" fontId="14" fillId="6" borderId="1" xfId="0" applyFont="1" applyFill="1" applyBorder="1" applyAlignment="1">
      <alignment horizontal="center"/>
    </xf>
    <xf numFmtId="0" fontId="5" fillId="5" borderId="1" xfId="0" applyFont="1" applyFill="1" applyBorder="1" applyAlignment="1">
      <alignment horizontal="center"/>
    </xf>
    <xf numFmtId="0" fontId="14" fillId="7" borderId="1" xfId="0" applyFont="1" applyFill="1" applyBorder="1" applyAlignment="1">
      <alignment horizontal="center"/>
    </xf>
    <xf numFmtId="0" fontId="14" fillId="7" borderId="1" xfId="0" applyFont="1" applyFill="1" applyBorder="1" applyAlignment="1">
      <alignment horizontal="left"/>
    </xf>
    <xf numFmtId="0" fontId="8" fillId="8" borderId="1" xfId="0" applyFont="1" applyFill="1" applyBorder="1" applyAlignment="1">
      <alignment horizontal="left"/>
    </xf>
    <xf numFmtId="0" fontId="7" fillId="8" borderId="1" xfId="0" applyFont="1" applyFill="1" applyBorder="1" applyAlignment="1">
      <alignment horizontal="center"/>
    </xf>
    <xf numFmtId="0" fontId="18" fillId="0" borderId="0" xfId="0" applyFont="1"/>
    <xf numFmtId="0" fontId="19" fillId="4" borderId="0" xfId="0" applyFont="1" applyFill="1" applyAlignment="1">
      <alignment horizontal="center" vertical="center"/>
    </xf>
    <xf numFmtId="0" fontId="21" fillId="9" borderId="0" xfId="0" applyFont="1" applyFill="1" applyAlignment="1">
      <alignment vertical="center"/>
    </xf>
    <xf numFmtId="0" fontId="3" fillId="0" borderId="0" xfId="0" applyFont="1" applyAlignment="1">
      <alignment vertical="center" wrapText="1" indent="1"/>
    </xf>
    <xf numFmtId="0" fontId="20" fillId="0" borderId="0" xfId="0" applyFont="1" applyAlignment="1">
      <alignment vertical="center"/>
    </xf>
    <xf numFmtId="0" fontId="0" fillId="0" borderId="0" xfId="0"/>
    <xf numFmtId="0" fontId="4" fillId="0" borderId="0" xfId="0" applyFont="1" applyAlignment="1">
      <alignment vertical="center"/>
    </xf>
    <xf numFmtId="0" fontId="3" fillId="0" borderId="0" xfId="0" applyFont="1" applyAlignment="1">
      <alignment vertical="top" wrapText="1"/>
    </xf>
    <xf numFmtId="0" fontId="20" fillId="3" borderId="0" xfId="0" applyFont="1" applyFill="1" applyAlignment="1">
      <alignment vertical="center" indent="1"/>
    </xf>
    <xf numFmtId="0" fontId="21" fillId="3" borderId="0" xfId="0" applyFont="1" applyFill="1" applyAlignment="1">
      <alignment vertical="center" indent="1"/>
    </xf>
    <xf numFmtId="0" fontId="4" fillId="0" borderId="0" xfId="0" applyFont="1" applyAlignment="1">
      <alignment vertical="top" wrapText="1"/>
    </xf>
    <xf numFmtId="0" fontId="4" fillId="0" borderId="0" xfId="0" applyFont="1" applyAlignment="1">
      <alignment horizontal="left" vertical="center"/>
    </xf>
    <xf numFmtId="0" fontId="3" fillId="0" borderId="0" xfId="0" applyFont="1" applyAlignment="1">
      <alignment horizontal="left" vertical="center" wrapText="1" indent="1"/>
    </xf>
    <xf numFmtId="0" fontId="16" fillId="0" borderId="2" xfId="0" applyFont="1" applyBorder="1" applyAlignment="1">
      <alignment horizontal="left" vertical="center"/>
    </xf>
    <xf numFmtId="0" fontId="0" fillId="0" borderId="3" xfId="0" applyBorder="1"/>
    <xf numFmtId="0" fontId="17" fillId="9" borderId="0" xfId="0" applyFont="1" applyFill="1" applyAlignment="1">
      <alignment horizontal="left" vertical="center" indent="1"/>
    </xf>
    <xf numFmtId="0" fontId="1" fillId="3" borderId="0" xfId="0" applyFont="1" applyFill="1" applyAlignment="1">
      <alignment horizontal="left" vertical="center"/>
    </xf>
    <xf numFmtId="0" fontId="22" fillId="0" borderId="1" xfId="0" applyFont="1" applyBorder="1"/>
  </cellXfs>
  <cellStyles count="1">
    <cellStyle name="Normale" xfId="0" builtinId="0"/>
  </cellStyles>
  <dxfs count="2">
    <dxf>
      <fill>
        <patternFill>
          <bgColor rgb="FFD9D9D9"/>
        </patternFill>
      </fill>
    </dxf>
    <dxf>
      <fill>
        <patternFill>
          <bgColor rgb="FFD9D9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Author" displayName="Tbl_Author" ref="A2:B3">
  <autoFilter ref="A2:B3" xr:uid="{00000000-0009-0000-0100-000001000000}"/>
  <tableColumns count="2">
    <tableColumn id="1" xr3:uid="{00000000-0010-0000-0000-000001000000}" name="Author_Code"/>
    <tableColumn id="2" xr3:uid="{00000000-0010-0000-0000-000002000000}" name="Author"/>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CWh" displayName="Tbl_CWh" ref="A6:B7">
  <autoFilter ref="A6:B7" xr:uid="{00000000-0009-0000-0100-000002000000}"/>
  <tableColumns count="2">
    <tableColumn id="1" xr3:uid="{00000000-0010-0000-0100-000001000000}" name="CWh_Code"/>
    <tableColumn id="2" xr3:uid="{00000000-0010-0000-0100-000002000000}" name="CWh_Nam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Entr" displayName="Tbl_Entr" ref="A9:B10">
  <autoFilter ref="A9:B10" xr:uid="{00000000-0009-0000-0100-000003000000}"/>
  <tableColumns count="2">
    <tableColumn id="1" xr3:uid="{00000000-0010-0000-0200-000001000000}" name="Entr_Code"/>
    <tableColumn id="2" xr3:uid="{00000000-0010-0000-0200-000002000000}" name="Entr_Nam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InPl" displayName="Tbl_InPl" ref="I2:J3">
  <autoFilter ref="I2:J3" xr:uid="{00000000-0009-0000-0100-000004000000}"/>
  <tableColumns count="2">
    <tableColumn id="9" xr3:uid="{00000000-0010-0000-0300-000009000000}" name="InPl_Code"/>
    <tableColumn id="10" xr3:uid="{00000000-0010-0000-0300-00000A000000}" name="InPl_Name"/>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PR_G1" displayName="Tbl_PR_G1" ref="D2:F6">
  <autoFilter ref="D2:F6" xr:uid="{00000000-0009-0000-0100-000005000000}"/>
  <tableColumns count="3">
    <tableColumn id="4" xr3:uid="{00000000-0010-0000-0400-000004000000}" name="PR_Group1_Code"/>
    <tableColumn id="5" xr3:uid="{00000000-0010-0000-0400-000005000000}" name="PR_Group1"/>
    <tableColumn id="6" xr3:uid="{00000000-0010-0000-0400-000006000000}" name="PR_Group1_ITA"/>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DR_Cat" displayName="Tbl_DR_Cat" ref="A14:B15">
  <autoFilter ref="A14:B15" xr:uid="{00000000-0009-0000-0100-000006000000}"/>
  <tableColumns count="2">
    <tableColumn id="1" xr3:uid="{00000000-0010-0000-0500-000001000000}" name="DR_Category_Code"/>
    <tableColumn id="2" xr3:uid="{00000000-0010-0000-0500-000002000000}" name="DR_Category"/>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DR_G1" displayName="Tbl_DR_G1" ref="D14:F25">
  <autoFilter ref="D14:F25" xr:uid="{00000000-0009-0000-0100-000007000000}"/>
  <tableColumns count="3">
    <tableColumn id="4" xr3:uid="{00000000-0010-0000-0600-000004000000}" name="DR_Group1_Code"/>
    <tableColumn id="5" xr3:uid="{00000000-0010-0000-0600-000005000000}" name="DR_Group1"/>
    <tableColumn id="6" xr3:uid="{00000000-0010-0000-0600-000006000000}" name="DR_Group1_ITA"/>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DR_G2" displayName="Tbl_DR_G2" ref="I14:L20">
  <autoFilter ref="I14:L20" xr:uid="{00000000-0009-0000-0100-000008000000}"/>
  <tableColumns count="4">
    <tableColumn id="9" xr3:uid="{00000000-0010-0000-0700-000009000000}" name="DR_Group2_Code"/>
    <tableColumn id="10" xr3:uid="{00000000-0010-0000-0700-00000A000000}" name="DR_Group2"/>
    <tableColumn id="11" xr3:uid="{00000000-0010-0000-0700-00000B000000}" name="DR_Group2_ITA"/>
    <tableColumn id="12" xr3:uid="{00000000-0010-0000-0700-00000C000000}" name="TM Code"/>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WN_Cat" displayName="Tbl_WN_Cat" ref="A29:B30">
  <autoFilter ref="A29:B30" xr:uid="{00000000-0009-0000-0100-000009000000}"/>
  <tableColumns count="2">
    <tableColumn id="1" xr3:uid="{00000000-0010-0000-0800-000001000000}" name="WN_Category_Code"/>
    <tableColumn id="2" xr3:uid="{00000000-0010-0000-0800-000002000000}" name="WN_Category"/>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WN_G1" displayName="Tbl_WN_G1" ref="D29:F40">
  <autoFilter ref="D29:F40" xr:uid="{00000000-0009-0000-0100-00000A000000}"/>
  <tableColumns count="3">
    <tableColumn id="4" xr3:uid="{00000000-0010-0000-0900-000004000000}" name="WN_Group1_Code"/>
    <tableColumn id="5" xr3:uid="{00000000-0010-0000-0900-000005000000}" name="WN_Group1"/>
    <tableColumn id="6" xr3:uid="{00000000-0010-0000-0900-000006000000}" name="WN_Group1_ITA"/>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WN_G2" displayName="Tbl_WN_G2" ref="I29:L38">
  <autoFilter ref="I29:L38" xr:uid="{00000000-0009-0000-0100-00000B000000}"/>
  <tableColumns count="4">
    <tableColumn id="9" xr3:uid="{00000000-0010-0000-0A00-000009000000}" name="WN_Group2_Code"/>
    <tableColumn id="10" xr3:uid="{00000000-0010-0000-0A00-00000A000000}" name="WN_Group2"/>
    <tableColumn id="11" xr3:uid="{00000000-0010-0000-0A00-00000B000000}" name="WN_Group2_ITA"/>
    <tableColumn id="12" xr3:uid="{00000000-0010-0000-0A00-00000C000000}" name="TM Code"/>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CP_Cat" displayName="Tbl_CP_Cat" ref="A44:B45">
  <autoFilter ref="A44:B45" xr:uid="{00000000-0009-0000-0100-00000C000000}"/>
  <tableColumns count="2">
    <tableColumn id="1" xr3:uid="{00000000-0010-0000-0B00-000001000000}" name="CP_Category_Code"/>
    <tableColumn id="2" xr3:uid="{00000000-0010-0000-0B00-000002000000}" name="CP_Category"/>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CP_G1" displayName="Tbl_CP_G1" ref="D44:F53">
  <autoFilter ref="D44:F53" xr:uid="{00000000-0009-0000-0100-00000D000000}"/>
  <tableColumns count="3">
    <tableColumn id="4" xr3:uid="{00000000-0010-0000-0C00-000004000000}" name="CP_Group1_Code"/>
    <tableColumn id="5" xr3:uid="{00000000-0010-0000-0C00-000005000000}" name="CP_Group1"/>
    <tableColumn id="6" xr3:uid="{00000000-0010-0000-0C00-000006000000}" name="CP_Group1_ITA"/>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_CP_G2" displayName="Tbl_CP_G2" ref="I44:L50">
  <autoFilter ref="I44:L50" xr:uid="{00000000-0009-0000-0100-00000E000000}"/>
  <tableColumns count="4">
    <tableColumn id="9" xr3:uid="{00000000-0010-0000-0D00-000009000000}" name="CP_Group2_Code"/>
    <tableColumn id="10" xr3:uid="{00000000-0010-0000-0D00-00000A000000}" name="CP_Group2"/>
    <tableColumn id="11" xr3:uid="{00000000-0010-0000-0D00-00000B000000}" name="CP_Group2_ITA"/>
    <tableColumn id="12" xr3:uid="{00000000-0010-0000-0D00-00000C000000}" name="TM Code"/>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bl_CM_Cat" displayName="Tbl_CM_Cat" ref="A57:B58">
  <autoFilter ref="A57:B58" xr:uid="{00000000-0009-0000-0100-00000F000000}"/>
  <tableColumns count="2">
    <tableColumn id="1" xr3:uid="{00000000-0010-0000-0E00-000001000000}" name="CM_Category_Code"/>
    <tableColumn id="2" xr3:uid="{00000000-0010-0000-0E00-000002000000}" name="CM_Category"/>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bl_CM_G1" displayName="Tbl_CM_G1" ref="D57:F65">
  <autoFilter ref="D57:F65" xr:uid="{00000000-0009-0000-0100-000010000000}"/>
  <tableColumns count="3">
    <tableColumn id="4" xr3:uid="{00000000-0010-0000-0F00-000004000000}" name="CM_Group1_Code"/>
    <tableColumn id="5" xr3:uid="{00000000-0010-0000-0F00-000005000000}" name="CM_Group1"/>
    <tableColumn id="6" xr3:uid="{00000000-0010-0000-0F00-000006000000}" name="CM_Group1_ITA"/>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bl_CM_G2" displayName="Tbl_CM_G2" ref="I57:L62">
  <autoFilter ref="I57:L62" xr:uid="{00000000-0009-0000-0100-000011000000}"/>
  <tableColumns count="4">
    <tableColumn id="9" xr3:uid="{00000000-0010-0000-1000-000009000000}" name="CM_Group2_Code"/>
    <tableColumn id="10" xr3:uid="{00000000-0010-0000-1000-00000A000000}" name="CM_Group2"/>
    <tableColumn id="11" xr3:uid="{00000000-0010-0000-1000-00000B000000}" name="CM_Group2_ITA"/>
    <tableColumn id="12" xr3:uid="{00000000-0010-0000-1000-00000C000000}" name="TM Code"/>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bl_FN_Cat" displayName="Tbl_FN_Cat" ref="A69:B70">
  <autoFilter ref="A69:B70" xr:uid="{00000000-0009-0000-0100-000012000000}"/>
  <tableColumns count="2">
    <tableColumn id="1" xr3:uid="{00000000-0010-0000-1100-000001000000}" name="FN_Category_Code"/>
    <tableColumn id="2" xr3:uid="{00000000-0010-0000-1100-000002000000}" name="FN_Category"/>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bl_FN_G2" displayName="Tbl_FN_G2" ref="I69:K81">
  <autoFilter ref="I69:K81" xr:uid="{00000000-0009-0000-0100-000013000000}"/>
  <tableColumns count="3">
    <tableColumn id="9" xr3:uid="{00000000-0010-0000-1200-000009000000}" name="FN_Group2_Code"/>
    <tableColumn id="10" xr3:uid="{00000000-0010-0000-1200-00000A000000}" name="FN_Group2"/>
    <tableColumn id="11" xr3:uid="{00000000-0010-0000-1200-00000B000000}" name="FN_Group2_ITA"/>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bl_FS_Cat" displayName="Tbl_FS_Cat" ref="A85:B86">
  <autoFilter ref="A85:B86" xr:uid="{00000000-0009-0000-0100-000014000000}"/>
  <tableColumns count="2">
    <tableColumn id="1" xr3:uid="{00000000-0010-0000-1300-000001000000}" name="FS_Category_Code"/>
    <tableColumn id="2" xr3:uid="{00000000-0010-0000-1300-000002000000}" name="FS_Category"/>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bl_FS_G2" displayName="Tbl_FS_G2" ref="I85:K93">
  <autoFilter ref="I85:K93" xr:uid="{00000000-0009-0000-0100-000015000000}"/>
  <tableColumns count="3">
    <tableColumn id="9" xr3:uid="{00000000-0010-0000-1400-000009000000}" name="FS_Group2_Code"/>
    <tableColumn id="10" xr3:uid="{00000000-0010-0000-1400-00000A000000}" name="FS_Group2"/>
    <tableColumn id="11" xr3:uid="{00000000-0010-0000-1400-00000B000000}" name="FS_Group2_ITA"/>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bl_CK_Cat" displayName="Tbl_CK_Cat" ref="A97:B98">
  <autoFilter ref="A97:B98" xr:uid="{00000000-0009-0000-0100-000016000000}"/>
  <tableColumns count="2">
    <tableColumn id="1" xr3:uid="{00000000-0010-0000-1500-000001000000}" name="CK_Category_Code"/>
    <tableColumn id="2" xr3:uid="{00000000-0010-0000-1500-000002000000}" name="CK_Category"/>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bl_CK_G2" displayName="Tbl_CK_G2" ref="I97:K108">
  <autoFilter ref="I97:K108" xr:uid="{00000000-0009-0000-0100-000017000000}"/>
  <tableColumns count="3">
    <tableColumn id="9" xr3:uid="{00000000-0010-0000-1600-000009000000}" name="CK_Group2_Code"/>
    <tableColumn id="10" xr3:uid="{00000000-0010-0000-1600-00000A000000}" name="CK_Group2"/>
    <tableColumn id="11" xr3:uid="{00000000-0010-0000-1600-00000B000000}" name="CK_Group2_ITA"/>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bl_PF_Cat" displayName="Tbl_PF_Cat" ref="A112:B113">
  <autoFilter ref="A112:B113" xr:uid="{00000000-0009-0000-0100-000018000000}"/>
  <tableColumns count="2">
    <tableColumn id="1" xr3:uid="{00000000-0010-0000-1700-000001000000}" name="PF_Category_Code"/>
    <tableColumn id="2" xr3:uid="{00000000-0010-0000-1700-000002000000}" name="PF_Category"/>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bl_PF_G2" displayName="Tbl_PF_G2" ref="I112:K124">
  <autoFilter ref="I112:K124" xr:uid="{00000000-0009-0000-0100-000019000000}"/>
  <tableColumns count="3">
    <tableColumn id="9" xr3:uid="{00000000-0010-0000-1800-000009000000}" name="PF_Group2_Code"/>
    <tableColumn id="10" xr3:uid="{00000000-0010-0000-1800-00000A000000}" name="PF_Group2"/>
    <tableColumn id="11" xr3:uid="{00000000-0010-0000-1800-00000B000000}" name="PF_Group2_ITA"/>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bl_SE_Cat" displayName="Tbl_SE_Cat" ref="A128:B129">
  <autoFilter ref="A128:B129" xr:uid="{00000000-0009-0000-0100-00001A000000}"/>
  <tableColumns count="2">
    <tableColumn id="1" xr3:uid="{00000000-0010-0000-1900-000001000000}" name="SE_Category_Code"/>
    <tableColumn id="2" xr3:uid="{00000000-0010-0000-1900-000002000000}" name="SE_Category"/>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bl_SE_G2" displayName="Tbl_SE_G2" ref="I128:K145">
  <autoFilter ref="I128:K145" xr:uid="{00000000-0009-0000-0100-00001B000000}"/>
  <tableColumns count="3">
    <tableColumn id="9" xr3:uid="{00000000-0010-0000-1A00-000009000000}" name="SE_Group2_Code"/>
    <tableColumn id="10" xr3:uid="{00000000-0010-0000-1A00-00000A000000}" name="SE_Group2"/>
    <tableColumn id="11" xr3:uid="{00000000-0010-0000-1A00-00000B000000}" name="SE_Group2_ITA"/>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bl_SI_Cat" displayName="Tbl_SI_Cat" ref="A149:B150">
  <autoFilter ref="A149:B150" xr:uid="{00000000-0009-0000-0100-00001C000000}"/>
  <tableColumns count="2">
    <tableColumn id="1" xr3:uid="{00000000-0010-0000-1B00-000001000000}" name="SI_Category_Code"/>
    <tableColumn id="2" xr3:uid="{00000000-0010-0000-1B00-000002000000}" name="SI_Category"/>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bl_SI_G2" displayName="Tbl_SI_G2" ref="I149:K161">
  <autoFilter ref="I149:K161" xr:uid="{00000000-0009-0000-0100-00001D000000}"/>
  <tableColumns count="3">
    <tableColumn id="9" xr3:uid="{00000000-0010-0000-1C00-000009000000}" name="SI_Group2_Code"/>
    <tableColumn id="10" xr3:uid="{00000000-0010-0000-1C00-00000A000000}" name="SI_Group2"/>
    <tableColumn id="11" xr3:uid="{00000000-0010-0000-1C00-00000B000000}" name="SI_Group2_ITA"/>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bl_PK_Cat" displayName="Tbl_PK_Cat" ref="A165:B166">
  <autoFilter ref="A165:B166" xr:uid="{00000000-0009-0000-0100-00001E000000}"/>
  <tableColumns count="2">
    <tableColumn id="1" xr3:uid="{00000000-0010-0000-1D00-000001000000}" name="PK_Category_Code"/>
    <tableColumn id="2" xr3:uid="{00000000-0010-0000-1D00-000002000000}" name="PK_Category"/>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bl_PK_G1" displayName="Tbl_PK_G1" ref="D165:F172">
  <autoFilter ref="D165:F172" xr:uid="{00000000-0009-0000-0100-00001F000000}"/>
  <tableColumns count="3">
    <tableColumn id="4" xr3:uid="{00000000-0010-0000-1E00-000004000000}" name="PK_Group1_Code"/>
    <tableColumn id="5" xr3:uid="{00000000-0010-0000-1E00-000005000000}" name="PK_Group1"/>
    <tableColumn id="6" xr3:uid="{00000000-0010-0000-1E00-000006000000}" name="PK_Group1_ITA"/>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bl_PK_G2" displayName="Tbl_PK_G2" ref="I165:L173">
  <autoFilter ref="I165:L173" xr:uid="{00000000-0009-0000-0100-000020000000}"/>
  <tableColumns count="4">
    <tableColumn id="9" xr3:uid="{00000000-0010-0000-1F00-000009000000}" name="PK_Group2_Code"/>
    <tableColumn id="10" xr3:uid="{00000000-0010-0000-1F00-00000A000000}" name="PK_Group2"/>
    <tableColumn id="11" xr3:uid="{00000000-0010-0000-1F00-00000B000000}" name="PK_Group2_ITA"/>
    <tableColumn id="12" xr3:uid="{00000000-0010-0000-1F00-00000C000000}" name="TM Code"/>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bl_EN_Cat" displayName="Tbl_EN_Cat" ref="A177:B178">
  <autoFilter ref="A177:B178" xr:uid="{00000000-0009-0000-0100-000021000000}"/>
  <tableColumns count="2">
    <tableColumn id="1" xr3:uid="{00000000-0010-0000-2000-000001000000}" name="EN_Category_Code"/>
    <tableColumn id="2" xr3:uid="{00000000-0010-0000-2000-000002000000}" name="EN_Category"/>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bl_EN_G1" displayName="Tbl_EN_G1" ref="D177:F185">
  <autoFilter ref="D177:F185" xr:uid="{00000000-0009-0000-0100-000022000000}"/>
  <tableColumns count="3">
    <tableColumn id="4" xr3:uid="{00000000-0010-0000-2100-000004000000}" name="EN_Group1_Code"/>
    <tableColumn id="5" xr3:uid="{00000000-0010-0000-2100-000005000000}" name="EN_Group1"/>
    <tableColumn id="6" xr3:uid="{00000000-0010-0000-2100-000006000000}" name="EN_Group1_ITA"/>
  </tableColumns>
  <tableStyleInfo name="TableStyleLight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bl_EN_G2" displayName="Tbl_EN_G2" ref="I177:L181">
  <autoFilter ref="I177:L181" xr:uid="{00000000-0009-0000-0100-000023000000}"/>
  <tableColumns count="4">
    <tableColumn id="9" xr3:uid="{00000000-0010-0000-2200-000009000000}" name="EN_Group2_Code"/>
    <tableColumn id="10" xr3:uid="{00000000-0010-0000-2200-00000A000000}" name="EN_Group2"/>
    <tableColumn id="11" xr3:uid="{00000000-0010-0000-2200-00000B000000}" name="EN_Group2_ITA"/>
    <tableColumn id="12" xr3:uid="{00000000-0010-0000-2200-00000C000000}" name="TM Code"/>
  </tableColumns>
  <tableStyleInfo name="TableStyleLight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bl_PL_Cat" displayName="Tbl_PL_Cat" ref="A189:B190">
  <autoFilter ref="A189:B190" xr:uid="{00000000-0009-0000-0100-000024000000}"/>
  <tableColumns count="2">
    <tableColumn id="1" xr3:uid="{00000000-0010-0000-2300-000001000000}" name="PL_Category_Code"/>
    <tableColumn id="2" xr3:uid="{00000000-0010-0000-2300-000002000000}" name="PL_Category"/>
  </tableColumns>
  <tableStyleInfo name="TableStyleLight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bl_PL_G1" displayName="Tbl_PL_G1" ref="D189:F199">
  <autoFilter ref="D189:F199" xr:uid="{00000000-0009-0000-0100-000025000000}"/>
  <tableColumns count="3">
    <tableColumn id="4" xr3:uid="{00000000-0010-0000-2400-000004000000}" name="PL_Group1_Code"/>
    <tableColumn id="5" xr3:uid="{00000000-0010-0000-2400-000005000000}" name="PL_Group1"/>
    <tableColumn id="6" xr3:uid="{00000000-0010-0000-2400-000006000000}" name="PL_Group1_ITA"/>
  </tableColumns>
  <tableStyleInfo name="TableStyleLight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bl_PL_G2" displayName="Tbl_PL_G2" ref="I189:L195">
  <autoFilter ref="I189:L195" xr:uid="{00000000-0009-0000-0100-000026000000}"/>
  <tableColumns count="4">
    <tableColumn id="9" xr3:uid="{00000000-0010-0000-2500-000009000000}" name="PL_Group2_Code"/>
    <tableColumn id="10" xr3:uid="{00000000-0010-0000-2500-00000A000000}" name="PL_Group2"/>
    <tableColumn id="11" xr3:uid="{00000000-0010-0000-2500-00000B000000}" name="PL_Group2_ITA"/>
    <tableColumn id="12" xr3:uid="{00000000-0010-0000-2500-00000C000000}" name="TM Code"/>
  </tableColumns>
  <tableStyleInfo name="TableStyleLight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bl_GM_Cat" displayName="Tbl_GM_Cat" ref="A203:B204">
  <autoFilter ref="A203:B204" xr:uid="{00000000-0009-0000-0100-000027000000}"/>
  <tableColumns count="2">
    <tableColumn id="1" xr3:uid="{00000000-0010-0000-2600-000001000000}" name="GM_Category_Code"/>
    <tableColumn id="2" xr3:uid="{00000000-0010-0000-2600-000002000000}" name="GM_Category"/>
  </tableColumns>
  <tableStyleInfo name="TableStyleLight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bl_GM_G2" displayName="Tbl_GM_G2" ref="I203:K209">
  <autoFilter ref="I203:K209" xr:uid="{00000000-0009-0000-0100-000028000000}"/>
  <tableColumns count="3">
    <tableColumn id="9" xr3:uid="{00000000-0010-0000-2700-000009000000}" name="GM_Group2_Code"/>
    <tableColumn id="10" xr3:uid="{00000000-0010-0000-2700-00000A000000}" name="GM_Group2"/>
    <tableColumn id="11" xr3:uid="{00000000-0010-0000-2700-00000B000000}" name="GM_Group2_ITA"/>
  </tableColumns>
  <tableStyleInfo name="TableStyleLight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bl_MS_Cat" displayName="Tbl_MS_Cat" ref="A213:B214">
  <autoFilter ref="A213:B214" xr:uid="{00000000-0009-0000-0100-000029000000}"/>
  <tableColumns count="2">
    <tableColumn id="1" xr3:uid="{00000000-0010-0000-2800-000001000000}" name="MS_Category_Code"/>
    <tableColumn id="2" xr3:uid="{00000000-0010-0000-2800-000002000000}" name="MS_Category"/>
  </tableColumns>
  <tableStyleInfo name="TableStyleLight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bl_MS_G1" displayName="Tbl_MS_G1" ref="D213:F219">
  <autoFilter ref="D213:F219" xr:uid="{00000000-0009-0000-0100-00002A000000}"/>
  <tableColumns count="3">
    <tableColumn id="4" xr3:uid="{00000000-0010-0000-2900-000004000000}" name="MS_Group1_Code"/>
    <tableColumn id="5" xr3:uid="{00000000-0010-0000-2900-000005000000}" name="MS_Group1"/>
    <tableColumn id="6" xr3:uid="{00000000-0010-0000-2900-000006000000}" name="MS_Group1_ITA"/>
  </tableColumns>
  <tableStyleInfo name="TableStyleLight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bl_MS_G2" displayName="Tbl_MS_G2" ref="I213:L219">
  <autoFilter ref="I213:L219" xr:uid="{00000000-0009-0000-0100-00002B000000}"/>
  <tableColumns count="4">
    <tableColumn id="9" xr3:uid="{00000000-0010-0000-2A00-000009000000}" name="MS_Group2_Code"/>
    <tableColumn id="10" xr3:uid="{00000000-0010-0000-2A00-00000A000000}" name="MS_Group2"/>
    <tableColumn id="11" xr3:uid="{00000000-0010-0000-2A00-00000B000000}" name="MS_Group2_ITA"/>
    <tableColumn id="12" xr3:uid="{00000000-0010-0000-2A00-00000C000000}" name="TM Cod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29" Type="http://schemas.openxmlformats.org/officeDocument/2006/relationships/table" Target="../tables/table29.xml"/><Relationship Id="rId41" Type="http://schemas.openxmlformats.org/officeDocument/2006/relationships/table" Target="../tables/table41.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3"/>
  <sheetViews>
    <sheetView showGridLines="0" workbookViewId="0"/>
  </sheetViews>
  <sheetFormatPr defaultRowHeight="15" x14ac:dyDescent="0.25"/>
  <cols>
    <col min="1" max="1" width="4" customWidth="1"/>
    <col min="2" max="2" width="30" customWidth="1"/>
    <col min="3" max="3" width="112" customWidth="1"/>
  </cols>
  <sheetData>
    <row r="1" spans="1:3" ht="24" customHeight="1" x14ac:dyDescent="0.35">
      <c r="B1" s="28" t="s">
        <v>0</v>
      </c>
    </row>
    <row r="2" spans="1:3" ht="90" customHeight="1" x14ac:dyDescent="0.25">
      <c r="B2" s="38" t="s">
        <v>1</v>
      </c>
      <c r="C2" s="33"/>
    </row>
    <row r="4" spans="1:3" ht="20.100000000000001" customHeight="1" x14ac:dyDescent="0.25">
      <c r="A4" s="29">
        <v>1</v>
      </c>
      <c r="B4" s="32" t="s">
        <v>2</v>
      </c>
      <c r="C4" s="33"/>
    </row>
    <row r="5" spans="1:3" ht="15" customHeight="1" x14ac:dyDescent="0.25">
      <c r="B5" s="34" t="s">
        <v>3</v>
      </c>
      <c r="C5" s="33"/>
    </row>
    <row r="6" spans="1:3" ht="21.95" customHeight="1" x14ac:dyDescent="0.25">
      <c r="B6" s="36" t="s">
        <v>4</v>
      </c>
      <c r="C6" s="33"/>
    </row>
    <row r="7" spans="1:3" ht="63.95" customHeight="1" x14ac:dyDescent="0.25">
      <c r="B7" s="35" t="s">
        <v>5</v>
      </c>
      <c r="C7" s="33"/>
    </row>
    <row r="9" spans="1:3" ht="20.100000000000001" customHeight="1" x14ac:dyDescent="0.25">
      <c r="A9" s="29">
        <v>2</v>
      </c>
      <c r="B9" s="32" t="s">
        <v>6</v>
      </c>
      <c r="C9" s="33"/>
    </row>
    <row r="10" spans="1:3" ht="15" customHeight="1" x14ac:dyDescent="0.25">
      <c r="B10" s="34" t="s">
        <v>3</v>
      </c>
      <c r="C10" s="33"/>
    </row>
    <row r="11" spans="1:3" ht="50.1" customHeight="1" x14ac:dyDescent="0.25">
      <c r="B11" s="35" t="s">
        <v>7</v>
      </c>
      <c r="C11" s="33"/>
    </row>
    <row r="12" spans="1:3" ht="36" customHeight="1" x14ac:dyDescent="0.25">
      <c r="B12" s="35" t="s">
        <v>8</v>
      </c>
      <c r="C12" s="33"/>
    </row>
    <row r="13" spans="1:3" ht="20.100000000000001" customHeight="1" x14ac:dyDescent="0.25">
      <c r="B13" s="37" t="s">
        <v>9</v>
      </c>
      <c r="C13" s="33"/>
    </row>
    <row r="14" spans="1:3" ht="20.100000000000001" customHeight="1" x14ac:dyDescent="0.25">
      <c r="B14" s="37" t="s">
        <v>10</v>
      </c>
      <c r="C14" s="33"/>
    </row>
    <row r="15" spans="1:3" ht="38.1" customHeight="1" x14ac:dyDescent="0.25">
      <c r="B15" s="30" t="s">
        <v>11</v>
      </c>
      <c r="C15" s="31" t="s">
        <v>12</v>
      </c>
    </row>
    <row r="16" spans="1:3" ht="5.0999999999999996" customHeight="1" x14ac:dyDescent="0.25"/>
    <row r="17" spans="1:3" ht="38.1" customHeight="1" x14ac:dyDescent="0.25">
      <c r="B17" s="30" t="s">
        <v>13</v>
      </c>
      <c r="C17" s="31" t="s">
        <v>14</v>
      </c>
    </row>
    <row r="18" spans="1:3" ht="5.0999999999999996" customHeight="1" x14ac:dyDescent="0.25"/>
    <row r="19" spans="1:3" ht="38.1" customHeight="1" x14ac:dyDescent="0.25">
      <c r="B19" s="30" t="s">
        <v>15</v>
      </c>
      <c r="C19" s="31" t="s">
        <v>16</v>
      </c>
    </row>
    <row r="20" spans="1:3" ht="5.0999999999999996" customHeight="1" x14ac:dyDescent="0.25"/>
    <row r="21" spans="1:3" ht="24" customHeight="1" x14ac:dyDescent="0.25">
      <c r="B21" s="30" t="s">
        <v>17</v>
      </c>
      <c r="C21" s="31" t="s">
        <v>18</v>
      </c>
    </row>
    <row r="22" spans="1:3" ht="5.0999999999999996" customHeight="1" x14ac:dyDescent="0.25"/>
    <row r="24" spans="1:3" ht="20.100000000000001" customHeight="1" x14ac:dyDescent="0.25">
      <c r="A24" s="29">
        <v>3</v>
      </c>
      <c r="B24" s="32" t="s">
        <v>19</v>
      </c>
      <c r="C24" s="33"/>
    </row>
    <row r="25" spans="1:3" ht="15" customHeight="1" x14ac:dyDescent="0.25">
      <c r="B25" s="34" t="s">
        <v>3</v>
      </c>
      <c r="C25" s="33"/>
    </row>
    <row r="26" spans="1:3" ht="21.95" customHeight="1" x14ac:dyDescent="0.25">
      <c r="B26" s="36" t="s">
        <v>20</v>
      </c>
      <c r="C26" s="33"/>
    </row>
    <row r="27" spans="1:3" ht="50.1" customHeight="1" x14ac:dyDescent="0.25">
      <c r="B27" s="35" t="s">
        <v>21</v>
      </c>
      <c r="C27" s="33"/>
    </row>
    <row r="28" spans="1:3" ht="63.95" customHeight="1" x14ac:dyDescent="0.25">
      <c r="B28" s="35" t="s">
        <v>22</v>
      </c>
      <c r="C28" s="33"/>
    </row>
    <row r="29" spans="1:3" ht="20.100000000000001" customHeight="1" x14ac:dyDescent="0.25">
      <c r="B29" s="37" t="s">
        <v>23</v>
      </c>
      <c r="C29" s="33"/>
    </row>
    <row r="30" spans="1:3" ht="20.100000000000001" customHeight="1" x14ac:dyDescent="0.25">
      <c r="B30" s="37" t="s">
        <v>24</v>
      </c>
      <c r="C30" s="33"/>
    </row>
    <row r="31" spans="1:3" ht="50.1" customHeight="1" x14ac:dyDescent="0.25">
      <c r="B31" s="35" t="s">
        <v>25</v>
      </c>
      <c r="C31" s="33"/>
    </row>
    <row r="33" spans="1:3" ht="20.100000000000001" customHeight="1" x14ac:dyDescent="0.25">
      <c r="A33" s="29">
        <v>4</v>
      </c>
      <c r="B33" s="32" t="s">
        <v>26</v>
      </c>
      <c r="C33" s="33"/>
    </row>
    <row r="34" spans="1:3" ht="15" customHeight="1" x14ac:dyDescent="0.25">
      <c r="B34" s="34" t="s">
        <v>3</v>
      </c>
      <c r="C34" s="33"/>
    </row>
    <row r="35" spans="1:3" ht="21.95" customHeight="1" x14ac:dyDescent="0.25">
      <c r="B35" s="35" t="s">
        <v>27</v>
      </c>
      <c r="C35" s="33"/>
    </row>
    <row r="36" spans="1:3" ht="24" customHeight="1" x14ac:dyDescent="0.25">
      <c r="B36" s="30" t="s">
        <v>28</v>
      </c>
      <c r="C36" s="31" t="s">
        <v>29</v>
      </c>
    </row>
    <row r="37" spans="1:3" ht="5.0999999999999996" customHeight="1" x14ac:dyDescent="0.25"/>
    <row r="38" spans="1:3" ht="38.1" customHeight="1" x14ac:dyDescent="0.25">
      <c r="B38" s="30" t="s">
        <v>30</v>
      </c>
      <c r="C38" s="31" t="s">
        <v>31</v>
      </c>
    </row>
    <row r="39" spans="1:3" ht="5.0999999999999996" customHeight="1" x14ac:dyDescent="0.25"/>
    <row r="40" spans="1:3" ht="24" customHeight="1" x14ac:dyDescent="0.25">
      <c r="B40" s="30" t="s">
        <v>32</v>
      </c>
      <c r="C40" s="31" t="s">
        <v>33</v>
      </c>
    </row>
    <row r="41" spans="1:3" ht="5.0999999999999996" customHeight="1" x14ac:dyDescent="0.25"/>
    <row r="42" spans="1:3" ht="24" customHeight="1" x14ac:dyDescent="0.25">
      <c r="B42" s="30" t="s">
        <v>34</v>
      </c>
      <c r="C42" s="31" t="s">
        <v>35</v>
      </c>
    </row>
    <row r="43" spans="1:3" ht="5.0999999999999996" customHeight="1" x14ac:dyDescent="0.25"/>
    <row r="44" spans="1:3" ht="24" customHeight="1" x14ac:dyDescent="0.25">
      <c r="B44" s="30" t="s">
        <v>36</v>
      </c>
      <c r="C44" s="31" t="s">
        <v>37</v>
      </c>
    </row>
    <row r="45" spans="1:3" ht="5.0999999999999996" customHeight="1" x14ac:dyDescent="0.25"/>
    <row r="46" spans="1:3" ht="24" customHeight="1" x14ac:dyDescent="0.25">
      <c r="B46" s="30" t="s">
        <v>38</v>
      </c>
      <c r="C46" s="31" t="s">
        <v>39</v>
      </c>
    </row>
    <row r="47" spans="1:3" ht="5.0999999999999996" customHeight="1" x14ac:dyDescent="0.25"/>
    <row r="48" spans="1:3" ht="24" customHeight="1" x14ac:dyDescent="0.25">
      <c r="B48" s="30" t="s">
        <v>40</v>
      </c>
      <c r="C48" s="31" t="s">
        <v>41</v>
      </c>
    </row>
    <row r="49" spans="1:3" ht="5.0999999999999996" customHeight="1" x14ac:dyDescent="0.25"/>
    <row r="51" spans="1:3" ht="20.100000000000001" customHeight="1" x14ac:dyDescent="0.25">
      <c r="A51" s="29">
        <v>5</v>
      </c>
      <c r="B51" s="32" t="s">
        <v>42</v>
      </c>
      <c r="C51" s="33"/>
    </row>
    <row r="52" spans="1:3" ht="15" customHeight="1" x14ac:dyDescent="0.25">
      <c r="B52" s="34" t="s">
        <v>3</v>
      </c>
      <c r="C52" s="33"/>
    </row>
    <row r="53" spans="1:3" ht="50.1" customHeight="1" x14ac:dyDescent="0.25">
      <c r="B53" s="35" t="s">
        <v>43</v>
      </c>
      <c r="C53" s="33"/>
    </row>
    <row r="54" spans="1:3" ht="63.95" customHeight="1" x14ac:dyDescent="0.25">
      <c r="B54" s="35" t="s">
        <v>44</v>
      </c>
      <c r="C54" s="33"/>
    </row>
    <row r="56" spans="1:3" ht="20.100000000000001" customHeight="1" x14ac:dyDescent="0.25">
      <c r="A56" s="29">
        <v>6</v>
      </c>
      <c r="B56" s="32" t="s">
        <v>45</v>
      </c>
      <c r="C56" s="33"/>
    </row>
    <row r="57" spans="1:3" ht="15" customHeight="1" x14ac:dyDescent="0.25">
      <c r="B57" s="34" t="s">
        <v>46</v>
      </c>
      <c r="C57" s="33"/>
    </row>
    <row r="58" spans="1:3" ht="36" customHeight="1" x14ac:dyDescent="0.25">
      <c r="B58" s="35" t="s">
        <v>47</v>
      </c>
      <c r="C58" s="33"/>
    </row>
    <row r="59" spans="1:3" ht="20.100000000000001" customHeight="1" x14ac:dyDescent="0.25">
      <c r="B59" s="37" t="s">
        <v>48</v>
      </c>
      <c r="C59" s="33"/>
    </row>
    <row r="60" spans="1:3" ht="50.1" customHeight="1" x14ac:dyDescent="0.25">
      <c r="B60" s="35" t="s">
        <v>49</v>
      </c>
      <c r="C60" s="33"/>
    </row>
    <row r="61" spans="1:3" ht="38.1" customHeight="1" x14ac:dyDescent="0.25">
      <c r="B61" s="30" t="s">
        <v>50</v>
      </c>
      <c r="C61" s="31" t="s">
        <v>51</v>
      </c>
    </row>
    <row r="62" spans="1:3" ht="5.0999999999999996" customHeight="1" x14ac:dyDescent="0.25"/>
    <row r="63" spans="1:3" ht="38.1" customHeight="1" x14ac:dyDescent="0.25">
      <c r="B63" s="30" t="s">
        <v>52</v>
      </c>
      <c r="C63" s="31" t="s">
        <v>53</v>
      </c>
    </row>
    <row r="64" spans="1:3" ht="5.0999999999999996" customHeight="1" x14ac:dyDescent="0.25"/>
    <row r="66" spans="1:3" ht="20.100000000000001" customHeight="1" x14ac:dyDescent="0.25">
      <c r="A66" s="29">
        <v>7</v>
      </c>
      <c r="B66" s="32" t="s">
        <v>54</v>
      </c>
      <c r="C66" s="33"/>
    </row>
    <row r="67" spans="1:3" ht="15" customHeight="1" x14ac:dyDescent="0.25">
      <c r="B67" s="34" t="s">
        <v>55</v>
      </c>
      <c r="C67" s="33"/>
    </row>
    <row r="68" spans="1:3" ht="50.1" customHeight="1" x14ac:dyDescent="0.25">
      <c r="B68" s="35" t="s">
        <v>56</v>
      </c>
      <c r="C68" s="33"/>
    </row>
    <row r="69" spans="1:3" ht="36" customHeight="1" x14ac:dyDescent="0.25">
      <c r="B69" s="35" t="s">
        <v>57</v>
      </c>
      <c r="C69" s="33"/>
    </row>
    <row r="71" spans="1:3" ht="20.100000000000001" customHeight="1" x14ac:dyDescent="0.25">
      <c r="A71" s="29">
        <v>8</v>
      </c>
      <c r="B71" s="32" t="s">
        <v>58</v>
      </c>
      <c r="C71" s="33"/>
    </row>
    <row r="72" spans="1:3" ht="15" customHeight="1" x14ac:dyDescent="0.25">
      <c r="B72" s="34" t="s">
        <v>59</v>
      </c>
      <c r="C72" s="33"/>
    </row>
    <row r="73" spans="1:3" ht="50.1" customHeight="1" x14ac:dyDescent="0.25">
      <c r="B73" s="35" t="s">
        <v>60</v>
      </c>
      <c r="C73" s="33"/>
    </row>
    <row r="74" spans="1:3" ht="63.95" customHeight="1" x14ac:dyDescent="0.25">
      <c r="B74" s="35" t="s">
        <v>61</v>
      </c>
      <c r="C74" s="33"/>
    </row>
    <row r="76" spans="1:3" ht="20.100000000000001" customHeight="1" x14ac:dyDescent="0.25">
      <c r="A76" s="29">
        <v>9</v>
      </c>
      <c r="B76" s="32" t="s">
        <v>62</v>
      </c>
      <c r="C76" s="33"/>
    </row>
    <row r="77" spans="1:3" ht="15" customHeight="1" x14ac:dyDescent="0.25">
      <c r="B77" s="34" t="s">
        <v>3</v>
      </c>
      <c r="C77" s="33"/>
    </row>
    <row r="78" spans="1:3" ht="50.1" customHeight="1" x14ac:dyDescent="0.25">
      <c r="B78" s="35" t="s">
        <v>63</v>
      </c>
      <c r="C78" s="33"/>
    </row>
    <row r="79" spans="1:3" ht="20.100000000000001" customHeight="1" x14ac:dyDescent="0.25">
      <c r="B79" s="37" t="s">
        <v>64</v>
      </c>
      <c r="C79" s="33"/>
    </row>
    <row r="80" spans="1:3" ht="63.95" customHeight="1" x14ac:dyDescent="0.25">
      <c r="B80" s="35" t="s">
        <v>65</v>
      </c>
      <c r="C80" s="33"/>
    </row>
    <row r="82" spans="1:3" ht="20.100000000000001" customHeight="1" x14ac:dyDescent="0.25">
      <c r="A82" s="29">
        <v>10</v>
      </c>
      <c r="B82" s="32" t="s">
        <v>66</v>
      </c>
      <c r="C82" s="33"/>
    </row>
    <row r="83" spans="1:3" ht="15" customHeight="1" x14ac:dyDescent="0.25">
      <c r="B83" s="34" t="s">
        <v>3</v>
      </c>
      <c r="C83" s="33"/>
    </row>
    <row r="84" spans="1:3" ht="36" customHeight="1" x14ac:dyDescent="0.25">
      <c r="B84" s="35" t="s">
        <v>67</v>
      </c>
      <c r="C84" s="33"/>
    </row>
    <row r="85" spans="1:3" ht="38.1" customHeight="1" x14ac:dyDescent="0.25">
      <c r="B85" s="30" t="s">
        <v>68</v>
      </c>
      <c r="C85" s="31" t="s">
        <v>69</v>
      </c>
    </row>
    <row r="86" spans="1:3" ht="5.0999999999999996" customHeight="1" x14ac:dyDescent="0.25"/>
    <row r="87" spans="1:3" ht="38.1" customHeight="1" x14ac:dyDescent="0.25">
      <c r="B87" s="30" t="s">
        <v>70</v>
      </c>
      <c r="C87" s="31" t="s">
        <v>71</v>
      </c>
    </row>
    <row r="88" spans="1:3" ht="5.0999999999999996" customHeight="1" x14ac:dyDescent="0.25"/>
    <row r="89" spans="1:3" ht="38.1" customHeight="1" x14ac:dyDescent="0.25">
      <c r="B89" s="30" t="s">
        <v>72</v>
      </c>
      <c r="C89" s="31" t="s">
        <v>73</v>
      </c>
    </row>
    <row r="90" spans="1:3" ht="5.0999999999999996" customHeight="1" x14ac:dyDescent="0.25"/>
    <row r="92" spans="1:3" ht="20.100000000000001" customHeight="1" x14ac:dyDescent="0.25">
      <c r="A92" s="29">
        <v>11</v>
      </c>
      <c r="B92" s="32" t="s">
        <v>74</v>
      </c>
      <c r="C92" s="33"/>
    </row>
    <row r="93" spans="1:3" ht="15" customHeight="1" x14ac:dyDescent="0.25">
      <c r="B93" s="34" t="s">
        <v>3</v>
      </c>
      <c r="C93" s="33"/>
    </row>
    <row r="94" spans="1:3" ht="63.95" customHeight="1" x14ac:dyDescent="0.25">
      <c r="B94" s="35" t="s">
        <v>75</v>
      </c>
      <c r="C94" s="33"/>
    </row>
    <row r="96" spans="1:3" ht="20.100000000000001" customHeight="1" x14ac:dyDescent="0.25">
      <c r="A96" s="29">
        <v>12</v>
      </c>
      <c r="B96" s="32" t="s">
        <v>76</v>
      </c>
      <c r="C96" s="33"/>
    </row>
    <row r="97" spans="1:3" ht="15" customHeight="1" x14ac:dyDescent="0.25">
      <c r="B97" s="34" t="s">
        <v>3</v>
      </c>
      <c r="C97" s="33"/>
    </row>
    <row r="98" spans="1:3" ht="36" customHeight="1" x14ac:dyDescent="0.25">
      <c r="B98" s="35" t="s">
        <v>77</v>
      </c>
      <c r="C98" s="33"/>
    </row>
    <row r="99" spans="1:3" ht="36" customHeight="1" x14ac:dyDescent="0.25">
      <c r="B99" s="35" t="s">
        <v>78</v>
      </c>
      <c r="C99" s="33"/>
    </row>
    <row r="101" spans="1:3" ht="20.100000000000001" customHeight="1" x14ac:dyDescent="0.25">
      <c r="A101" s="29">
        <v>13</v>
      </c>
      <c r="B101" s="32" t="s">
        <v>79</v>
      </c>
      <c r="C101" s="33"/>
    </row>
    <row r="102" spans="1:3" ht="15" customHeight="1" x14ac:dyDescent="0.25">
      <c r="B102" s="34" t="s">
        <v>3</v>
      </c>
      <c r="C102" s="33"/>
    </row>
    <row r="103" spans="1:3" ht="63.95" customHeight="1" x14ac:dyDescent="0.25">
      <c r="B103" s="35" t="s">
        <v>80</v>
      </c>
      <c r="C103" s="33"/>
    </row>
  </sheetData>
  <mergeCells count="57">
    <mergeCell ref="B96:C96"/>
    <mergeCell ref="B2:C2"/>
    <mergeCell ref="B11:C11"/>
    <mergeCell ref="B98:C98"/>
    <mergeCell ref="B67:C67"/>
    <mergeCell ref="B101:C101"/>
    <mergeCell ref="B14:C14"/>
    <mergeCell ref="B60:C60"/>
    <mergeCell ref="B57:C57"/>
    <mergeCell ref="B53:C53"/>
    <mergeCell ref="B82:C82"/>
    <mergeCell ref="B73:C73"/>
    <mergeCell ref="B13:C13"/>
    <mergeCell ref="B69:C69"/>
    <mergeCell ref="B78:C78"/>
    <mergeCell ref="B29:C29"/>
    <mergeCell ref="B9:C9"/>
    <mergeCell ref="B103:C103"/>
    <mergeCell ref="B34:C34"/>
    <mergeCell ref="B10:C10"/>
    <mergeCell ref="B28:C28"/>
    <mergeCell ref="B99:C99"/>
    <mergeCell ref="B84:C84"/>
    <mergeCell ref="B83:C83"/>
    <mergeCell ref="B74:C74"/>
    <mergeCell ref="B92:C92"/>
    <mergeCell ref="B102:C102"/>
    <mergeCell ref="B12:C12"/>
    <mergeCell ref="B58:C58"/>
    <mergeCell ref="B77:C77"/>
    <mergeCell ref="B52:C52"/>
    <mergeCell ref="B97:C97"/>
    <mergeCell ref="B54:C54"/>
    <mergeCell ref="B94:C94"/>
    <mergeCell ref="B26:C26"/>
    <mergeCell ref="B79:C79"/>
    <mergeCell ref="B35:C35"/>
    <mergeCell ref="B6:C6"/>
    <mergeCell ref="B24:C24"/>
    <mergeCell ref="B30:C30"/>
    <mergeCell ref="B68:C68"/>
    <mergeCell ref="B33:C33"/>
    <mergeCell ref="B7:C7"/>
    <mergeCell ref="B25:C25"/>
    <mergeCell ref="B72:C72"/>
    <mergeCell ref="B59:C59"/>
    <mergeCell ref="B66:C66"/>
    <mergeCell ref="B93:C93"/>
    <mergeCell ref="B31:C31"/>
    <mergeCell ref="B4:C4"/>
    <mergeCell ref="B5:C5"/>
    <mergeCell ref="B51:C51"/>
    <mergeCell ref="B76:C76"/>
    <mergeCell ref="B80:C80"/>
    <mergeCell ref="B27:C27"/>
    <mergeCell ref="B56:C56"/>
    <mergeCell ref="B71:C7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27"/>
  <sheetViews>
    <sheetView showGridLines="0" zoomScale="85" zoomScaleNormal="85" workbookViewId="0">
      <pane ySplit="1" topLeftCell="A205" activePane="bottomLeft" state="frozen"/>
      <selection pane="bottomLeft" activeCell="F235" sqref="F235"/>
    </sheetView>
  </sheetViews>
  <sheetFormatPr defaultRowHeight="15" x14ac:dyDescent="0.25"/>
  <cols>
    <col min="1" max="1" width="20" customWidth="1"/>
    <col min="2" max="2" width="24" customWidth="1"/>
    <col min="3" max="3" width="3" customWidth="1"/>
    <col min="4" max="4" width="17" customWidth="1"/>
    <col min="5" max="5" width="20" customWidth="1"/>
    <col min="6" max="6" width="60" customWidth="1"/>
    <col min="7" max="7" width="14" customWidth="1"/>
    <col min="8" max="8" width="3" customWidth="1"/>
    <col min="9" max="9" width="17" customWidth="1"/>
    <col min="10" max="10" width="22" customWidth="1"/>
    <col min="11" max="11" width="60" customWidth="1"/>
    <col min="12" max="12" width="9" customWidth="1"/>
  </cols>
  <sheetData>
    <row r="1" spans="1:12" ht="15.75" x14ac:dyDescent="0.25">
      <c r="A1" s="1" t="s">
        <v>81</v>
      </c>
      <c r="D1" s="2" t="s">
        <v>82</v>
      </c>
      <c r="I1" s="2" t="s">
        <v>83</v>
      </c>
    </row>
    <row r="2" spans="1:12" x14ac:dyDescent="0.25">
      <c r="A2" s="3" t="s">
        <v>84</v>
      </c>
      <c r="B2" s="3" t="s">
        <v>85</v>
      </c>
      <c r="D2" s="3" t="s">
        <v>86</v>
      </c>
      <c r="E2" s="3" t="s">
        <v>87</v>
      </c>
      <c r="F2" s="3" t="s">
        <v>88</v>
      </c>
      <c r="I2" s="3" t="s">
        <v>89</v>
      </c>
      <c r="J2" s="3" t="s">
        <v>90</v>
      </c>
    </row>
    <row r="3" spans="1:12" x14ac:dyDescent="0.25">
      <c r="A3" s="4" t="s">
        <v>91</v>
      </c>
      <c r="B3" s="4" t="s">
        <v>92</v>
      </c>
      <c r="D3" s="4" t="s">
        <v>93</v>
      </c>
      <c r="E3" s="4" t="s">
        <v>94</v>
      </c>
      <c r="F3" s="5" t="s">
        <v>95</v>
      </c>
      <c r="I3" s="4" t="s">
        <v>96</v>
      </c>
      <c r="J3" s="4" t="s">
        <v>97</v>
      </c>
    </row>
    <row r="4" spans="1:12" x14ac:dyDescent="0.25">
      <c r="D4" s="4" t="s">
        <v>98</v>
      </c>
      <c r="E4" s="4" t="s">
        <v>99</v>
      </c>
      <c r="F4" s="5" t="s">
        <v>100</v>
      </c>
    </row>
    <row r="5" spans="1:12" x14ac:dyDescent="0.25">
      <c r="A5" s="2" t="s">
        <v>101</v>
      </c>
      <c r="D5" s="4" t="s">
        <v>102</v>
      </c>
      <c r="E5" s="4" t="s">
        <v>103</v>
      </c>
      <c r="F5" s="5" t="s">
        <v>104</v>
      </c>
    </row>
    <row r="6" spans="1:12" x14ac:dyDescent="0.25">
      <c r="A6" s="3" t="s">
        <v>105</v>
      </c>
      <c r="B6" s="3" t="s">
        <v>106</v>
      </c>
      <c r="D6" s="4" t="s">
        <v>107</v>
      </c>
      <c r="E6" s="4" t="s">
        <v>108</v>
      </c>
      <c r="F6" s="5" t="s">
        <v>109</v>
      </c>
    </row>
    <row r="7" spans="1:12" x14ac:dyDescent="0.25">
      <c r="A7" s="4" t="s">
        <v>110</v>
      </c>
      <c r="B7" s="4" t="s">
        <v>111</v>
      </c>
      <c r="D7" s="2" t="s">
        <v>112</v>
      </c>
    </row>
    <row r="8" spans="1:12" x14ac:dyDescent="0.25">
      <c r="A8" s="2" t="s">
        <v>113</v>
      </c>
    </row>
    <row r="9" spans="1:12" x14ac:dyDescent="0.25">
      <c r="A9" s="3" t="s">
        <v>114</v>
      </c>
      <c r="B9" s="3" t="s">
        <v>115</v>
      </c>
    </row>
    <row r="10" spans="1:12" x14ac:dyDescent="0.25">
      <c r="A10" s="4" t="s">
        <v>116</v>
      </c>
      <c r="B10" s="4" t="s">
        <v>117</v>
      </c>
    </row>
    <row r="13" spans="1:12" ht="15.75" x14ac:dyDescent="0.25">
      <c r="A13" s="1" t="s">
        <v>118</v>
      </c>
    </row>
    <row r="14" spans="1:12" x14ac:dyDescent="0.25">
      <c r="A14" s="3" t="s">
        <v>119</v>
      </c>
      <c r="B14" s="3" t="s">
        <v>120</v>
      </c>
      <c r="D14" s="3" t="s">
        <v>121</v>
      </c>
      <c r="E14" s="3" t="s">
        <v>122</v>
      </c>
      <c r="F14" s="3" t="s">
        <v>123</v>
      </c>
      <c r="I14" s="3" t="s">
        <v>124</v>
      </c>
      <c r="J14" s="3" t="s">
        <v>125</v>
      </c>
      <c r="K14" s="3" t="s">
        <v>126</v>
      </c>
      <c r="L14" s="3" t="s">
        <v>127</v>
      </c>
    </row>
    <row r="15" spans="1:12" x14ac:dyDescent="0.25">
      <c r="A15" s="4" t="s">
        <v>128</v>
      </c>
      <c r="B15" s="4" t="s">
        <v>129</v>
      </c>
      <c r="D15" s="4" t="s">
        <v>130</v>
      </c>
      <c r="E15" s="4" t="s">
        <v>131</v>
      </c>
      <c r="F15" s="5" t="s">
        <v>132</v>
      </c>
      <c r="I15" s="4" t="s">
        <v>133</v>
      </c>
      <c r="J15" s="4" t="s">
        <v>134</v>
      </c>
      <c r="K15" s="5" t="s">
        <v>135</v>
      </c>
      <c r="L15" s="5" t="s">
        <v>136</v>
      </c>
    </row>
    <row r="16" spans="1:12" x14ac:dyDescent="0.25">
      <c r="D16" s="4" t="s">
        <v>137</v>
      </c>
      <c r="E16" s="4" t="s">
        <v>138</v>
      </c>
      <c r="F16" s="5" t="s">
        <v>139</v>
      </c>
      <c r="I16" s="4" t="s">
        <v>140</v>
      </c>
      <c r="J16" s="4" t="s">
        <v>141</v>
      </c>
      <c r="K16" s="5" t="s">
        <v>142</v>
      </c>
      <c r="L16" s="5" t="s">
        <v>143</v>
      </c>
    </row>
    <row r="17" spans="1:12" x14ac:dyDescent="0.25">
      <c r="D17" s="4" t="s">
        <v>144</v>
      </c>
      <c r="E17" s="4" t="s">
        <v>145</v>
      </c>
      <c r="F17" s="5" t="s">
        <v>146</v>
      </c>
      <c r="I17" s="4" t="s">
        <v>147</v>
      </c>
      <c r="J17" s="4" t="s">
        <v>148</v>
      </c>
      <c r="K17" s="5" t="s">
        <v>149</v>
      </c>
      <c r="L17" s="5" t="s">
        <v>150</v>
      </c>
    </row>
    <row r="18" spans="1:12" x14ac:dyDescent="0.25">
      <c r="D18" s="4" t="s">
        <v>151</v>
      </c>
      <c r="E18" s="4" t="s">
        <v>152</v>
      </c>
      <c r="F18" s="5" t="s">
        <v>153</v>
      </c>
      <c r="I18" s="4" t="s">
        <v>154</v>
      </c>
      <c r="J18" s="4" t="s">
        <v>155</v>
      </c>
      <c r="K18" s="5" t="s">
        <v>156</v>
      </c>
      <c r="L18" s="5" t="s">
        <v>157</v>
      </c>
    </row>
    <row r="19" spans="1:12" x14ac:dyDescent="0.25">
      <c r="D19" s="4" t="s">
        <v>158</v>
      </c>
      <c r="E19" s="4" t="s">
        <v>159</v>
      </c>
      <c r="F19" s="5" t="s">
        <v>160</v>
      </c>
      <c r="I19" s="4" t="s">
        <v>161</v>
      </c>
      <c r="J19" s="4" t="s">
        <v>162</v>
      </c>
      <c r="K19" s="5" t="s">
        <v>163</v>
      </c>
      <c r="L19" s="5" t="s">
        <v>164</v>
      </c>
    </row>
    <row r="20" spans="1:12" x14ac:dyDescent="0.25">
      <c r="D20" s="4" t="s">
        <v>165</v>
      </c>
      <c r="E20" s="4" t="s">
        <v>166</v>
      </c>
      <c r="F20" s="5" t="s">
        <v>167</v>
      </c>
      <c r="I20" s="4" t="s">
        <v>168</v>
      </c>
      <c r="J20" s="4" t="s">
        <v>169</v>
      </c>
      <c r="K20" s="5" t="s">
        <v>170</v>
      </c>
      <c r="L20" s="5" t="s">
        <v>171</v>
      </c>
    </row>
    <row r="21" spans="1:12" x14ac:dyDescent="0.25">
      <c r="D21" s="4" t="s">
        <v>172</v>
      </c>
      <c r="E21" s="4" t="s">
        <v>173</v>
      </c>
      <c r="F21" s="5" t="s">
        <v>174</v>
      </c>
    </row>
    <row r="22" spans="1:12" x14ac:dyDescent="0.25">
      <c r="D22" s="4" t="s">
        <v>175</v>
      </c>
      <c r="E22" s="4" t="s">
        <v>176</v>
      </c>
      <c r="F22" s="5" t="s">
        <v>177</v>
      </c>
    </row>
    <row r="23" spans="1:12" x14ac:dyDescent="0.25">
      <c r="D23" s="4" t="s">
        <v>102</v>
      </c>
      <c r="E23" s="4" t="s">
        <v>103</v>
      </c>
      <c r="F23" s="5" t="s">
        <v>104</v>
      </c>
    </row>
    <row r="24" spans="1:12" x14ac:dyDescent="0.25">
      <c r="D24" s="4" t="s">
        <v>107</v>
      </c>
      <c r="E24" s="4" t="s">
        <v>108</v>
      </c>
      <c r="F24" s="5" t="s">
        <v>109</v>
      </c>
    </row>
    <row r="25" spans="1:12" x14ac:dyDescent="0.25">
      <c r="D25" s="4" t="s">
        <v>168</v>
      </c>
      <c r="E25" s="4" t="s">
        <v>169</v>
      </c>
      <c r="F25" s="5" t="s">
        <v>178</v>
      </c>
    </row>
    <row r="28" spans="1:12" ht="15.75" x14ac:dyDescent="0.25">
      <c r="A28" s="1" t="s">
        <v>179</v>
      </c>
    </row>
    <row r="29" spans="1:12" x14ac:dyDescent="0.25">
      <c r="A29" s="3" t="s">
        <v>180</v>
      </c>
      <c r="B29" s="3" t="s">
        <v>181</v>
      </c>
      <c r="D29" s="3" t="s">
        <v>182</v>
      </c>
      <c r="E29" s="3" t="s">
        <v>183</v>
      </c>
      <c r="F29" s="3" t="s">
        <v>184</v>
      </c>
      <c r="I29" s="3" t="s">
        <v>185</v>
      </c>
      <c r="J29" s="3" t="s">
        <v>186</v>
      </c>
      <c r="K29" s="3" t="s">
        <v>187</v>
      </c>
      <c r="L29" s="3" t="s">
        <v>127</v>
      </c>
    </row>
    <row r="30" spans="1:12" x14ac:dyDescent="0.25">
      <c r="A30" s="4" t="s">
        <v>188</v>
      </c>
      <c r="B30" s="4" t="s">
        <v>189</v>
      </c>
      <c r="D30" s="4" t="s">
        <v>130</v>
      </c>
      <c r="E30" s="4" t="s">
        <v>131</v>
      </c>
      <c r="F30" s="5" t="s">
        <v>132</v>
      </c>
      <c r="I30" s="4" t="s">
        <v>130</v>
      </c>
      <c r="J30" s="4" t="s">
        <v>131</v>
      </c>
      <c r="K30" s="5" t="s">
        <v>190</v>
      </c>
      <c r="L30" s="5" t="s">
        <v>191</v>
      </c>
    </row>
    <row r="31" spans="1:12" x14ac:dyDescent="0.25">
      <c r="D31" s="4" t="s">
        <v>175</v>
      </c>
      <c r="E31" s="4" t="s">
        <v>176</v>
      </c>
      <c r="F31" s="5" t="s">
        <v>192</v>
      </c>
      <c r="I31" s="4" t="s">
        <v>151</v>
      </c>
      <c r="J31" s="4" t="s">
        <v>193</v>
      </c>
      <c r="K31" s="5" t="s">
        <v>194</v>
      </c>
      <c r="L31" s="5" t="s">
        <v>136</v>
      </c>
    </row>
    <row r="32" spans="1:12" x14ac:dyDescent="0.25">
      <c r="D32" s="4" t="s">
        <v>137</v>
      </c>
      <c r="E32" s="4" t="s">
        <v>138</v>
      </c>
      <c r="F32" s="5" t="s">
        <v>139</v>
      </c>
      <c r="I32" s="4" t="s">
        <v>195</v>
      </c>
      <c r="J32" s="4" t="s">
        <v>196</v>
      </c>
      <c r="K32" s="5" t="s">
        <v>197</v>
      </c>
      <c r="L32" s="5" t="s">
        <v>143</v>
      </c>
    </row>
    <row r="33" spans="1:12" x14ac:dyDescent="0.25">
      <c r="D33" s="4" t="s">
        <v>198</v>
      </c>
      <c r="E33" s="4" t="s">
        <v>199</v>
      </c>
      <c r="F33" s="5" t="s">
        <v>200</v>
      </c>
      <c r="I33" s="4" t="s">
        <v>201</v>
      </c>
      <c r="J33" s="4" t="s">
        <v>202</v>
      </c>
      <c r="K33" s="5" t="s">
        <v>203</v>
      </c>
      <c r="L33" s="5" t="s">
        <v>150</v>
      </c>
    </row>
    <row r="34" spans="1:12" x14ac:dyDescent="0.25">
      <c r="D34" s="4" t="s">
        <v>204</v>
      </c>
      <c r="E34" s="4" t="s">
        <v>205</v>
      </c>
      <c r="F34" s="5" t="s">
        <v>206</v>
      </c>
      <c r="I34" s="4" t="s">
        <v>207</v>
      </c>
      <c r="J34" s="4" t="s">
        <v>208</v>
      </c>
      <c r="K34" s="5" t="s">
        <v>209</v>
      </c>
      <c r="L34" s="5" t="s">
        <v>157</v>
      </c>
    </row>
    <row r="35" spans="1:12" x14ac:dyDescent="0.25">
      <c r="D35" s="4" t="s">
        <v>144</v>
      </c>
      <c r="E35" s="4" t="s">
        <v>145</v>
      </c>
      <c r="F35" s="5" t="s">
        <v>210</v>
      </c>
      <c r="I35" s="4" t="s">
        <v>211</v>
      </c>
      <c r="J35" s="4" t="s">
        <v>212</v>
      </c>
      <c r="K35" s="5" t="s">
        <v>213</v>
      </c>
      <c r="L35" s="5" t="s">
        <v>164</v>
      </c>
    </row>
    <row r="36" spans="1:12" x14ac:dyDescent="0.25">
      <c r="D36" s="4" t="s">
        <v>151</v>
      </c>
      <c r="E36" s="4" t="s">
        <v>152</v>
      </c>
      <c r="F36" s="5" t="s">
        <v>214</v>
      </c>
      <c r="I36" s="4" t="s">
        <v>215</v>
      </c>
      <c r="J36" s="4" t="s">
        <v>216</v>
      </c>
      <c r="K36" s="5" t="s">
        <v>217</v>
      </c>
      <c r="L36" s="5" t="s">
        <v>218</v>
      </c>
    </row>
    <row r="37" spans="1:12" x14ac:dyDescent="0.25">
      <c r="D37" s="4" t="s">
        <v>165</v>
      </c>
      <c r="E37" s="4" t="s">
        <v>166</v>
      </c>
      <c r="F37" s="5" t="s">
        <v>167</v>
      </c>
      <c r="I37" s="4" t="s">
        <v>161</v>
      </c>
      <c r="J37" s="4" t="s">
        <v>162</v>
      </c>
      <c r="K37" s="5" t="s">
        <v>163</v>
      </c>
      <c r="L37" s="5" t="s">
        <v>219</v>
      </c>
    </row>
    <row r="38" spans="1:12" x14ac:dyDescent="0.25">
      <c r="D38" s="4" t="s">
        <v>102</v>
      </c>
      <c r="E38" s="4" t="s">
        <v>103</v>
      </c>
      <c r="F38" s="5" t="s">
        <v>104</v>
      </c>
      <c r="I38" s="4" t="s">
        <v>168</v>
      </c>
      <c r="J38" s="4" t="s">
        <v>169</v>
      </c>
      <c r="K38" s="5" t="s">
        <v>170</v>
      </c>
      <c r="L38" s="5" t="s">
        <v>171</v>
      </c>
    </row>
    <row r="39" spans="1:12" x14ac:dyDescent="0.25">
      <c r="D39" s="4" t="s">
        <v>107</v>
      </c>
      <c r="E39" s="4" t="s">
        <v>108</v>
      </c>
      <c r="F39" s="5" t="s">
        <v>109</v>
      </c>
    </row>
    <row r="40" spans="1:12" x14ac:dyDescent="0.25">
      <c r="D40" s="4" t="s">
        <v>168</v>
      </c>
      <c r="E40" s="4" t="s">
        <v>169</v>
      </c>
      <c r="F40" s="5" t="s">
        <v>178</v>
      </c>
    </row>
    <row r="43" spans="1:12" ht="15.75" x14ac:dyDescent="0.25">
      <c r="A43" s="1" t="s">
        <v>220</v>
      </c>
    </row>
    <row r="44" spans="1:12" x14ac:dyDescent="0.25">
      <c r="A44" s="3" t="s">
        <v>221</v>
      </c>
      <c r="B44" s="3" t="s">
        <v>222</v>
      </c>
      <c r="D44" s="3" t="s">
        <v>223</v>
      </c>
      <c r="E44" s="3" t="s">
        <v>224</v>
      </c>
      <c r="F44" s="3" t="s">
        <v>225</v>
      </c>
      <c r="I44" s="3" t="s">
        <v>226</v>
      </c>
      <c r="J44" s="3" t="s">
        <v>227</v>
      </c>
      <c r="K44" s="3" t="s">
        <v>228</v>
      </c>
      <c r="L44" s="3" t="s">
        <v>127</v>
      </c>
    </row>
    <row r="45" spans="1:12" x14ac:dyDescent="0.25">
      <c r="A45" s="4" t="s">
        <v>229</v>
      </c>
      <c r="B45" s="4" t="s">
        <v>230</v>
      </c>
      <c r="D45" s="4" t="s">
        <v>130</v>
      </c>
      <c r="E45" s="4" t="s">
        <v>131</v>
      </c>
      <c r="F45" s="5" t="s">
        <v>132</v>
      </c>
      <c r="I45" s="4" t="s">
        <v>231</v>
      </c>
      <c r="J45" s="4" t="s">
        <v>232</v>
      </c>
      <c r="K45" s="5" t="s">
        <v>233</v>
      </c>
      <c r="L45" s="5" t="s">
        <v>136</v>
      </c>
    </row>
    <row r="46" spans="1:12" x14ac:dyDescent="0.25">
      <c r="D46" s="4" t="s">
        <v>234</v>
      </c>
      <c r="E46" s="4" t="s">
        <v>235</v>
      </c>
      <c r="F46" s="5" t="s">
        <v>236</v>
      </c>
      <c r="I46" s="4" t="s">
        <v>237</v>
      </c>
      <c r="J46" s="4" t="s">
        <v>238</v>
      </c>
      <c r="K46" s="5" t="s">
        <v>239</v>
      </c>
      <c r="L46" s="5" t="s">
        <v>143</v>
      </c>
    </row>
    <row r="47" spans="1:12" x14ac:dyDescent="0.25">
      <c r="D47" s="4" t="s">
        <v>144</v>
      </c>
      <c r="E47" s="4" t="s">
        <v>240</v>
      </c>
      <c r="F47" s="5" t="s">
        <v>241</v>
      </c>
      <c r="I47" s="4" t="s">
        <v>207</v>
      </c>
      <c r="J47" s="4" t="s">
        <v>242</v>
      </c>
      <c r="K47" s="5" t="s">
        <v>243</v>
      </c>
      <c r="L47" s="5" t="s">
        <v>150</v>
      </c>
    </row>
    <row r="48" spans="1:12" x14ac:dyDescent="0.25">
      <c r="D48" s="4" t="s">
        <v>93</v>
      </c>
      <c r="E48" s="4" t="s">
        <v>244</v>
      </c>
      <c r="F48" s="5" t="s">
        <v>245</v>
      </c>
      <c r="I48" s="4" t="s">
        <v>246</v>
      </c>
      <c r="J48" s="4" t="s">
        <v>247</v>
      </c>
      <c r="K48" s="5" t="s">
        <v>248</v>
      </c>
      <c r="L48" s="5" t="s">
        <v>157</v>
      </c>
    </row>
    <row r="49" spans="1:12" x14ac:dyDescent="0.25">
      <c r="D49" s="4" t="s">
        <v>249</v>
      </c>
      <c r="E49" s="4" t="s">
        <v>250</v>
      </c>
      <c r="F49" s="5" t="s">
        <v>251</v>
      </c>
      <c r="I49" s="4" t="s">
        <v>252</v>
      </c>
      <c r="J49" s="4" t="s">
        <v>253</v>
      </c>
      <c r="K49" s="5" t="s">
        <v>254</v>
      </c>
      <c r="L49" s="5" t="s">
        <v>164</v>
      </c>
    </row>
    <row r="50" spans="1:12" x14ac:dyDescent="0.25">
      <c r="D50" s="4" t="s">
        <v>255</v>
      </c>
      <c r="E50" s="4" t="s">
        <v>256</v>
      </c>
      <c r="F50" s="5" t="s">
        <v>257</v>
      </c>
      <c r="I50" s="4" t="s">
        <v>168</v>
      </c>
      <c r="J50" s="4" t="s">
        <v>169</v>
      </c>
      <c r="K50" s="5" t="s">
        <v>258</v>
      </c>
      <c r="L50" s="5" t="s">
        <v>171</v>
      </c>
    </row>
    <row r="51" spans="1:12" x14ac:dyDescent="0.25">
      <c r="D51" s="4" t="s">
        <v>102</v>
      </c>
      <c r="E51" s="4" t="s">
        <v>103</v>
      </c>
      <c r="F51" s="5" t="s">
        <v>104</v>
      </c>
    </row>
    <row r="52" spans="1:12" x14ac:dyDescent="0.25">
      <c r="D52" s="4" t="s">
        <v>107</v>
      </c>
      <c r="E52" s="4" t="s">
        <v>108</v>
      </c>
      <c r="F52" s="5" t="s">
        <v>109</v>
      </c>
    </row>
    <row r="53" spans="1:12" x14ac:dyDescent="0.25">
      <c r="D53" s="4" t="s">
        <v>168</v>
      </c>
      <c r="E53" s="4" t="s">
        <v>169</v>
      </c>
      <c r="F53" s="5" t="s">
        <v>178</v>
      </c>
    </row>
    <row r="56" spans="1:12" ht="15.75" x14ac:dyDescent="0.25">
      <c r="A56" s="1" t="s">
        <v>259</v>
      </c>
    </row>
    <row r="57" spans="1:12" x14ac:dyDescent="0.25">
      <c r="A57" s="3" t="s">
        <v>260</v>
      </c>
      <c r="B57" s="3" t="s">
        <v>261</v>
      </c>
      <c r="D57" s="3" t="s">
        <v>262</v>
      </c>
      <c r="E57" s="3" t="s">
        <v>263</v>
      </c>
      <c r="F57" s="3" t="s">
        <v>264</v>
      </c>
      <c r="I57" s="3" t="s">
        <v>265</v>
      </c>
      <c r="J57" s="3" t="s">
        <v>266</v>
      </c>
      <c r="K57" s="3" t="s">
        <v>267</v>
      </c>
      <c r="L57" s="3" t="s">
        <v>127</v>
      </c>
    </row>
    <row r="58" spans="1:12" x14ac:dyDescent="0.25">
      <c r="A58" s="4" t="s">
        <v>102</v>
      </c>
      <c r="B58" s="4" t="s">
        <v>268</v>
      </c>
      <c r="D58" s="4" t="s">
        <v>130</v>
      </c>
      <c r="E58" s="4" t="s">
        <v>131</v>
      </c>
      <c r="F58" s="5" t="s">
        <v>132</v>
      </c>
      <c r="I58" s="4" t="s">
        <v>269</v>
      </c>
      <c r="J58" s="4" t="s">
        <v>270</v>
      </c>
      <c r="K58" s="5" t="s">
        <v>271</v>
      </c>
      <c r="L58" s="5" t="s">
        <v>136</v>
      </c>
    </row>
    <row r="59" spans="1:12" x14ac:dyDescent="0.25">
      <c r="D59" s="4" t="s">
        <v>272</v>
      </c>
      <c r="E59" s="4" t="s">
        <v>273</v>
      </c>
      <c r="F59" s="5" t="s">
        <v>274</v>
      </c>
      <c r="I59" s="4" t="s">
        <v>275</v>
      </c>
      <c r="J59" s="4" t="s">
        <v>276</v>
      </c>
      <c r="K59" s="5" t="s">
        <v>277</v>
      </c>
      <c r="L59" s="5" t="s">
        <v>143</v>
      </c>
    </row>
    <row r="60" spans="1:12" x14ac:dyDescent="0.25">
      <c r="D60" s="4" t="s">
        <v>278</v>
      </c>
      <c r="E60" s="4" t="s">
        <v>279</v>
      </c>
      <c r="F60" s="5" t="s">
        <v>280</v>
      </c>
      <c r="I60" s="4" t="s">
        <v>246</v>
      </c>
      <c r="J60" s="4" t="s">
        <v>247</v>
      </c>
      <c r="K60" s="5" t="s">
        <v>281</v>
      </c>
      <c r="L60" s="5" t="s">
        <v>150</v>
      </c>
    </row>
    <row r="61" spans="1:12" x14ac:dyDescent="0.25">
      <c r="D61" s="4" t="s">
        <v>282</v>
      </c>
      <c r="E61" s="4" t="s">
        <v>283</v>
      </c>
      <c r="F61" s="5" t="s">
        <v>284</v>
      </c>
      <c r="I61" s="4" t="s">
        <v>285</v>
      </c>
      <c r="J61" s="4" t="s">
        <v>286</v>
      </c>
      <c r="K61" s="5" t="s">
        <v>287</v>
      </c>
      <c r="L61" s="5" t="s">
        <v>157</v>
      </c>
    </row>
    <row r="62" spans="1:12" x14ac:dyDescent="0.25">
      <c r="D62" s="4" t="s">
        <v>288</v>
      </c>
      <c r="E62" s="4" t="s">
        <v>289</v>
      </c>
      <c r="F62" s="5" t="s">
        <v>290</v>
      </c>
      <c r="I62" s="4" t="s">
        <v>168</v>
      </c>
      <c r="J62" s="4" t="s">
        <v>169</v>
      </c>
      <c r="K62" s="5" t="s">
        <v>258</v>
      </c>
      <c r="L62" s="5" t="s">
        <v>171</v>
      </c>
    </row>
    <row r="63" spans="1:12" x14ac:dyDescent="0.25">
      <c r="D63" s="4" t="s">
        <v>102</v>
      </c>
      <c r="E63" s="4" t="s">
        <v>103</v>
      </c>
      <c r="F63" s="5" t="s">
        <v>104</v>
      </c>
    </row>
    <row r="64" spans="1:12" x14ac:dyDescent="0.25">
      <c r="D64" s="4" t="s">
        <v>107</v>
      </c>
      <c r="E64" s="4" t="s">
        <v>108</v>
      </c>
      <c r="F64" s="5" t="s">
        <v>109</v>
      </c>
    </row>
    <row r="65" spans="1:11" x14ac:dyDescent="0.25">
      <c r="D65" s="4" t="s">
        <v>168</v>
      </c>
      <c r="E65" s="4" t="s">
        <v>169</v>
      </c>
      <c r="F65" s="5" t="s">
        <v>178</v>
      </c>
    </row>
    <row r="68" spans="1:11" ht="15.75" x14ac:dyDescent="0.25">
      <c r="A68" s="1" t="s">
        <v>291</v>
      </c>
    </row>
    <row r="69" spans="1:11" x14ac:dyDescent="0.25">
      <c r="A69" s="3" t="s">
        <v>292</v>
      </c>
      <c r="B69" s="3" t="s">
        <v>293</v>
      </c>
      <c r="I69" s="3" t="s">
        <v>294</v>
      </c>
      <c r="J69" s="3" t="s">
        <v>295</v>
      </c>
      <c r="K69" s="3" t="s">
        <v>296</v>
      </c>
    </row>
    <row r="70" spans="1:11" x14ac:dyDescent="0.25">
      <c r="A70" s="4" t="s">
        <v>297</v>
      </c>
      <c r="B70" s="4" t="s">
        <v>298</v>
      </c>
      <c r="I70" s="4" t="s">
        <v>299</v>
      </c>
      <c r="J70" s="4" t="s">
        <v>300</v>
      </c>
      <c r="K70" s="5" t="s">
        <v>301</v>
      </c>
    </row>
    <row r="71" spans="1:11" x14ac:dyDescent="0.25">
      <c r="I71" s="4" t="s">
        <v>302</v>
      </c>
      <c r="J71" s="4" t="s">
        <v>303</v>
      </c>
      <c r="K71" s="5" t="s">
        <v>304</v>
      </c>
    </row>
    <row r="72" spans="1:11" x14ac:dyDescent="0.25">
      <c r="I72" s="45" t="s">
        <v>508</v>
      </c>
      <c r="J72" s="4" t="s">
        <v>306</v>
      </c>
      <c r="K72" s="5" t="s">
        <v>307</v>
      </c>
    </row>
    <row r="73" spans="1:11" x14ac:dyDescent="0.25">
      <c r="I73" s="45" t="s">
        <v>900</v>
      </c>
      <c r="J73" s="4" t="s">
        <v>308</v>
      </c>
      <c r="K73" s="5" t="s">
        <v>309</v>
      </c>
    </row>
    <row r="74" spans="1:11" x14ac:dyDescent="0.25">
      <c r="I74" s="4" t="s">
        <v>144</v>
      </c>
      <c r="J74" s="4" t="s">
        <v>310</v>
      </c>
      <c r="K74" s="5" t="s">
        <v>311</v>
      </c>
    </row>
    <row r="75" spans="1:11" x14ac:dyDescent="0.25">
      <c r="I75" s="4" t="s">
        <v>312</v>
      </c>
      <c r="J75" s="4" t="s">
        <v>313</v>
      </c>
      <c r="K75" s="5" t="s">
        <v>314</v>
      </c>
    </row>
    <row r="76" spans="1:11" x14ac:dyDescent="0.25">
      <c r="I76" s="4" t="s">
        <v>315</v>
      </c>
      <c r="J76" s="4" t="s">
        <v>316</v>
      </c>
      <c r="K76" s="5" t="s">
        <v>317</v>
      </c>
    </row>
    <row r="77" spans="1:11" x14ac:dyDescent="0.25">
      <c r="I77" s="4" t="s">
        <v>318</v>
      </c>
      <c r="J77" s="4" t="s">
        <v>319</v>
      </c>
      <c r="K77" s="5" t="s">
        <v>320</v>
      </c>
    </row>
    <row r="78" spans="1:11" x14ac:dyDescent="0.25">
      <c r="I78" s="4" t="s">
        <v>321</v>
      </c>
      <c r="J78" s="4" t="s">
        <v>322</v>
      </c>
      <c r="K78" s="5" t="s">
        <v>323</v>
      </c>
    </row>
    <row r="79" spans="1:11" x14ac:dyDescent="0.25">
      <c r="I79" s="4" t="s">
        <v>246</v>
      </c>
      <c r="J79" s="4" t="s">
        <v>324</v>
      </c>
      <c r="K79" s="5" t="s">
        <v>325</v>
      </c>
    </row>
    <row r="80" spans="1:11" x14ac:dyDescent="0.25">
      <c r="I80" s="4" t="s">
        <v>326</v>
      </c>
      <c r="J80" s="4" t="s">
        <v>286</v>
      </c>
      <c r="K80" s="5" t="s">
        <v>327</v>
      </c>
    </row>
    <row r="81" spans="1:11" x14ac:dyDescent="0.25">
      <c r="I81" s="4" t="s">
        <v>168</v>
      </c>
      <c r="J81" s="4" t="s">
        <v>169</v>
      </c>
      <c r="K81" s="5" t="s">
        <v>258</v>
      </c>
    </row>
    <row r="84" spans="1:11" ht="15.75" x14ac:dyDescent="0.25">
      <c r="A84" s="1" t="s">
        <v>328</v>
      </c>
    </row>
    <row r="85" spans="1:11" x14ac:dyDescent="0.25">
      <c r="A85" s="3" t="s">
        <v>329</v>
      </c>
      <c r="B85" s="3" t="s">
        <v>330</v>
      </c>
      <c r="I85" s="3" t="s">
        <v>331</v>
      </c>
      <c r="J85" s="3" t="s">
        <v>332</v>
      </c>
      <c r="K85" s="3" t="s">
        <v>333</v>
      </c>
    </row>
    <row r="86" spans="1:11" x14ac:dyDescent="0.25">
      <c r="A86" s="4" t="s">
        <v>334</v>
      </c>
      <c r="B86" s="4" t="s">
        <v>335</v>
      </c>
      <c r="I86" s="4" t="s">
        <v>336</v>
      </c>
      <c r="J86" s="4" t="s">
        <v>337</v>
      </c>
      <c r="K86" s="5" t="s">
        <v>338</v>
      </c>
    </row>
    <row r="87" spans="1:11" x14ac:dyDescent="0.25">
      <c r="I87" s="4" t="s">
        <v>315</v>
      </c>
      <c r="J87" s="4" t="s">
        <v>316</v>
      </c>
      <c r="K87" s="5" t="s">
        <v>339</v>
      </c>
    </row>
    <row r="88" spans="1:11" x14ac:dyDescent="0.25">
      <c r="I88" s="45" t="s">
        <v>508</v>
      </c>
      <c r="J88" s="4" t="s">
        <v>306</v>
      </c>
      <c r="K88" s="5" t="s">
        <v>340</v>
      </c>
    </row>
    <row r="89" spans="1:11" x14ac:dyDescent="0.25">
      <c r="I89" s="4" t="s">
        <v>312</v>
      </c>
      <c r="J89" s="4" t="s">
        <v>313</v>
      </c>
      <c r="K89" s="5" t="s">
        <v>341</v>
      </c>
    </row>
    <row r="90" spans="1:11" x14ac:dyDescent="0.25">
      <c r="I90" s="4" t="s">
        <v>342</v>
      </c>
      <c r="J90" s="4" t="s">
        <v>212</v>
      </c>
      <c r="K90" s="5" t="s">
        <v>343</v>
      </c>
    </row>
    <row r="91" spans="1:11" x14ac:dyDescent="0.25">
      <c r="I91" s="4" t="s">
        <v>344</v>
      </c>
      <c r="J91" s="4" t="s">
        <v>345</v>
      </c>
      <c r="K91" s="5" t="s">
        <v>346</v>
      </c>
    </row>
    <row r="92" spans="1:11" x14ac:dyDescent="0.25">
      <c r="I92" s="4" t="s">
        <v>299</v>
      </c>
      <c r="J92" s="4" t="s">
        <v>300</v>
      </c>
      <c r="K92" s="5" t="s">
        <v>347</v>
      </c>
    </row>
    <row r="93" spans="1:11" x14ac:dyDescent="0.25">
      <c r="I93" s="4" t="s">
        <v>168</v>
      </c>
      <c r="J93" s="4" t="s">
        <v>169</v>
      </c>
      <c r="K93" s="5" t="s">
        <v>258</v>
      </c>
    </row>
    <row r="96" spans="1:11" ht="15.75" x14ac:dyDescent="0.25">
      <c r="A96" s="1" t="s">
        <v>348</v>
      </c>
    </row>
    <row r="97" spans="1:11" x14ac:dyDescent="0.25">
      <c r="A97" s="3" t="s">
        <v>349</v>
      </c>
      <c r="B97" s="3" t="s">
        <v>350</v>
      </c>
      <c r="I97" s="3" t="s">
        <v>351</v>
      </c>
      <c r="J97" s="3" t="s">
        <v>352</v>
      </c>
      <c r="K97" s="3" t="s">
        <v>353</v>
      </c>
    </row>
    <row r="98" spans="1:11" x14ac:dyDescent="0.25">
      <c r="A98" s="4" t="s">
        <v>354</v>
      </c>
      <c r="B98" s="4" t="s">
        <v>355</v>
      </c>
      <c r="I98" s="4" t="s">
        <v>356</v>
      </c>
      <c r="J98" s="4" t="s">
        <v>357</v>
      </c>
      <c r="K98" s="5" t="s">
        <v>358</v>
      </c>
    </row>
    <row r="99" spans="1:11" x14ac:dyDescent="0.25">
      <c r="I99" s="45" t="s">
        <v>898</v>
      </c>
      <c r="J99" s="45" t="s">
        <v>360</v>
      </c>
      <c r="K99" s="5" t="s">
        <v>361</v>
      </c>
    </row>
    <row r="100" spans="1:11" x14ac:dyDescent="0.25">
      <c r="I100" s="4" t="s">
        <v>362</v>
      </c>
      <c r="J100" s="4" t="s">
        <v>363</v>
      </c>
      <c r="K100" s="5" t="s">
        <v>364</v>
      </c>
    </row>
    <row r="101" spans="1:11" x14ac:dyDescent="0.25">
      <c r="I101" s="45" t="s">
        <v>508</v>
      </c>
      <c r="J101" s="4" t="s">
        <v>306</v>
      </c>
      <c r="K101" s="5" t="s">
        <v>365</v>
      </c>
    </row>
    <row r="102" spans="1:11" x14ac:dyDescent="0.25">
      <c r="I102" s="45" t="s">
        <v>900</v>
      </c>
      <c r="J102" s="4" t="s">
        <v>308</v>
      </c>
      <c r="K102" s="5" t="s">
        <v>366</v>
      </c>
    </row>
    <row r="103" spans="1:11" x14ac:dyDescent="0.25">
      <c r="I103" s="4" t="s">
        <v>312</v>
      </c>
      <c r="J103" s="4" t="s">
        <v>313</v>
      </c>
      <c r="K103" s="5" t="s">
        <v>367</v>
      </c>
    </row>
    <row r="104" spans="1:11" x14ac:dyDescent="0.25">
      <c r="I104" s="4" t="s">
        <v>368</v>
      </c>
      <c r="J104" s="4" t="s">
        <v>369</v>
      </c>
      <c r="K104" s="5" t="s">
        <v>370</v>
      </c>
    </row>
    <row r="105" spans="1:11" x14ac:dyDescent="0.25">
      <c r="I105" s="4" t="s">
        <v>371</v>
      </c>
      <c r="J105" s="4" t="s">
        <v>372</v>
      </c>
      <c r="K105" s="5" t="s">
        <v>373</v>
      </c>
    </row>
    <row r="106" spans="1:11" x14ac:dyDescent="0.25">
      <c r="I106" s="4" t="s">
        <v>374</v>
      </c>
      <c r="J106" s="4" t="s">
        <v>375</v>
      </c>
      <c r="K106" s="5" t="s">
        <v>376</v>
      </c>
    </row>
    <row r="107" spans="1:11" x14ac:dyDescent="0.25">
      <c r="I107" s="4" t="s">
        <v>377</v>
      </c>
      <c r="J107" s="4" t="s">
        <v>378</v>
      </c>
      <c r="K107" s="5" t="s">
        <v>379</v>
      </c>
    </row>
    <row r="108" spans="1:11" x14ac:dyDescent="0.25">
      <c r="I108" s="4" t="s">
        <v>168</v>
      </c>
      <c r="J108" s="4" t="s">
        <v>169</v>
      </c>
      <c r="K108" s="5" t="s">
        <v>258</v>
      </c>
    </row>
    <row r="111" spans="1:11" ht="15.75" x14ac:dyDescent="0.25">
      <c r="A111" s="1" t="s">
        <v>380</v>
      </c>
    </row>
    <row r="112" spans="1:11" x14ac:dyDescent="0.25">
      <c r="A112" s="3" t="s">
        <v>381</v>
      </c>
      <c r="B112" s="3" t="s">
        <v>382</v>
      </c>
      <c r="I112" s="3" t="s">
        <v>383</v>
      </c>
      <c r="J112" s="3" t="s">
        <v>384</v>
      </c>
      <c r="K112" s="3" t="s">
        <v>385</v>
      </c>
    </row>
    <row r="113" spans="1:11" x14ac:dyDescent="0.25">
      <c r="A113" s="4" t="s">
        <v>386</v>
      </c>
      <c r="B113" s="4" t="s">
        <v>387</v>
      </c>
      <c r="I113" s="4" t="s">
        <v>388</v>
      </c>
      <c r="J113" s="4" t="s">
        <v>389</v>
      </c>
      <c r="K113" s="5" t="s">
        <v>390</v>
      </c>
    </row>
    <row r="114" spans="1:11" x14ac:dyDescent="0.25">
      <c r="I114" s="4" t="s">
        <v>391</v>
      </c>
      <c r="J114" s="4" t="s">
        <v>392</v>
      </c>
      <c r="K114" s="5" t="s">
        <v>393</v>
      </c>
    </row>
    <row r="115" spans="1:11" x14ac:dyDescent="0.25">
      <c r="I115" s="4" t="s">
        <v>394</v>
      </c>
      <c r="J115" s="4" t="s">
        <v>395</v>
      </c>
      <c r="K115" s="5" t="s">
        <v>395</v>
      </c>
    </row>
    <row r="116" spans="1:11" x14ac:dyDescent="0.25">
      <c r="I116" s="4" t="s">
        <v>396</v>
      </c>
      <c r="J116" s="4" t="s">
        <v>397</v>
      </c>
      <c r="K116" s="5" t="s">
        <v>398</v>
      </c>
    </row>
    <row r="117" spans="1:11" x14ac:dyDescent="0.25">
      <c r="I117" s="4" t="s">
        <v>399</v>
      </c>
      <c r="J117" s="4" t="s">
        <v>400</v>
      </c>
      <c r="K117" s="5" t="s">
        <v>401</v>
      </c>
    </row>
    <row r="118" spans="1:11" x14ac:dyDescent="0.25">
      <c r="I118" s="4" t="s">
        <v>237</v>
      </c>
      <c r="J118" s="4" t="s">
        <v>402</v>
      </c>
      <c r="K118" s="5" t="s">
        <v>403</v>
      </c>
    </row>
    <row r="119" spans="1:11" x14ac:dyDescent="0.25">
      <c r="I119" s="4" t="s">
        <v>359</v>
      </c>
      <c r="J119" s="4" t="s">
        <v>404</v>
      </c>
      <c r="K119" s="5" t="s">
        <v>405</v>
      </c>
    </row>
    <row r="120" spans="1:11" x14ac:dyDescent="0.25">
      <c r="I120" s="4" t="s">
        <v>151</v>
      </c>
      <c r="J120" s="4" t="s">
        <v>406</v>
      </c>
      <c r="K120" s="5" t="s">
        <v>407</v>
      </c>
    </row>
    <row r="121" spans="1:11" x14ac:dyDescent="0.25">
      <c r="I121" s="4" t="s">
        <v>408</v>
      </c>
      <c r="J121" s="4" t="s">
        <v>409</v>
      </c>
      <c r="K121" s="5" t="s">
        <v>410</v>
      </c>
    </row>
    <row r="122" spans="1:11" x14ac:dyDescent="0.25">
      <c r="I122" s="4" t="s">
        <v>411</v>
      </c>
      <c r="J122" s="4" t="s">
        <v>412</v>
      </c>
      <c r="K122" s="5" t="s">
        <v>413</v>
      </c>
    </row>
    <row r="123" spans="1:11" x14ac:dyDescent="0.25">
      <c r="I123" s="4" t="s">
        <v>414</v>
      </c>
      <c r="J123" s="4" t="s">
        <v>415</v>
      </c>
      <c r="K123" s="5" t="s">
        <v>416</v>
      </c>
    </row>
    <row r="124" spans="1:11" x14ac:dyDescent="0.25">
      <c r="I124" s="4" t="s">
        <v>168</v>
      </c>
      <c r="J124" s="4" t="s">
        <v>169</v>
      </c>
      <c r="K124" s="5" t="s">
        <v>258</v>
      </c>
    </row>
    <row r="127" spans="1:11" ht="15.75" x14ac:dyDescent="0.25">
      <c r="A127" s="1" t="s">
        <v>417</v>
      </c>
    </row>
    <row r="128" spans="1:11" x14ac:dyDescent="0.25">
      <c r="A128" s="3" t="s">
        <v>418</v>
      </c>
      <c r="B128" s="3" t="s">
        <v>419</v>
      </c>
      <c r="I128" s="3" t="s">
        <v>420</v>
      </c>
      <c r="J128" s="3" t="s">
        <v>421</v>
      </c>
      <c r="K128" s="3" t="s">
        <v>422</v>
      </c>
    </row>
    <row r="129" spans="1:11" x14ac:dyDescent="0.25">
      <c r="A129" s="4" t="s">
        <v>299</v>
      </c>
      <c r="B129" s="4" t="s">
        <v>423</v>
      </c>
      <c r="I129" s="4" t="s">
        <v>98</v>
      </c>
      <c r="J129" s="4" t="s">
        <v>424</v>
      </c>
      <c r="K129" s="5" t="s">
        <v>425</v>
      </c>
    </row>
    <row r="130" spans="1:11" x14ac:dyDescent="0.25">
      <c r="I130" s="4" t="s">
        <v>426</v>
      </c>
      <c r="J130" s="4" t="s">
        <v>427</v>
      </c>
      <c r="K130" s="5" t="s">
        <v>428</v>
      </c>
    </row>
    <row r="131" spans="1:11" x14ac:dyDescent="0.25">
      <c r="I131" s="4" t="s">
        <v>377</v>
      </c>
      <c r="J131" s="4" t="s">
        <v>378</v>
      </c>
      <c r="K131" s="5" t="s">
        <v>429</v>
      </c>
    </row>
    <row r="132" spans="1:11" x14ac:dyDescent="0.25">
      <c r="I132" s="4" t="s">
        <v>374</v>
      </c>
      <c r="J132" s="4" t="s">
        <v>375</v>
      </c>
      <c r="K132" s="5" t="s">
        <v>430</v>
      </c>
    </row>
    <row r="133" spans="1:11" x14ac:dyDescent="0.25">
      <c r="I133" s="4" t="s">
        <v>431</v>
      </c>
      <c r="J133" s="4" t="s">
        <v>432</v>
      </c>
      <c r="K133" s="5" t="s">
        <v>433</v>
      </c>
    </row>
    <row r="134" spans="1:11" x14ac:dyDescent="0.25">
      <c r="I134" s="4" t="s">
        <v>434</v>
      </c>
      <c r="J134" s="4" t="s">
        <v>435</v>
      </c>
      <c r="K134" s="5" t="s">
        <v>436</v>
      </c>
    </row>
    <row r="135" spans="1:11" x14ac:dyDescent="0.25">
      <c r="I135" s="45" t="s">
        <v>275</v>
      </c>
      <c r="J135" s="4" t="s">
        <v>437</v>
      </c>
      <c r="K135" s="5" t="s">
        <v>438</v>
      </c>
    </row>
    <row r="136" spans="1:11" x14ac:dyDescent="0.25">
      <c r="I136" s="4" t="s">
        <v>439</v>
      </c>
      <c r="J136" s="4" t="s">
        <v>440</v>
      </c>
      <c r="K136" s="5" t="s">
        <v>441</v>
      </c>
    </row>
    <row r="137" spans="1:11" x14ac:dyDescent="0.25">
      <c r="I137" s="4" t="s">
        <v>442</v>
      </c>
      <c r="J137" s="4" t="s">
        <v>443</v>
      </c>
      <c r="K137" s="5" t="s">
        <v>444</v>
      </c>
    </row>
    <row r="138" spans="1:11" x14ac:dyDescent="0.25">
      <c r="I138" s="4" t="s">
        <v>445</v>
      </c>
      <c r="J138" s="4" t="s">
        <v>446</v>
      </c>
      <c r="K138" s="5" t="s">
        <v>447</v>
      </c>
    </row>
    <row r="139" spans="1:11" x14ac:dyDescent="0.25">
      <c r="I139" s="4" t="s">
        <v>448</v>
      </c>
      <c r="J139" s="4" t="s">
        <v>449</v>
      </c>
      <c r="K139" s="5" t="s">
        <v>450</v>
      </c>
    </row>
    <row r="140" spans="1:11" x14ac:dyDescent="0.25">
      <c r="I140" s="45" t="s">
        <v>899</v>
      </c>
      <c r="J140" s="4" t="s">
        <v>452</v>
      </c>
      <c r="K140" s="5" t="s">
        <v>453</v>
      </c>
    </row>
    <row r="141" spans="1:11" x14ac:dyDescent="0.25">
      <c r="I141" s="4" t="s">
        <v>454</v>
      </c>
      <c r="J141" s="4" t="s">
        <v>455</v>
      </c>
      <c r="K141" s="5" t="s">
        <v>456</v>
      </c>
    </row>
    <row r="142" spans="1:11" x14ac:dyDescent="0.25">
      <c r="I142" s="4" t="s">
        <v>457</v>
      </c>
      <c r="J142" s="4" t="s">
        <v>458</v>
      </c>
      <c r="K142" s="5" t="s">
        <v>459</v>
      </c>
    </row>
    <row r="143" spans="1:11" x14ac:dyDescent="0.25">
      <c r="I143" s="4" t="s">
        <v>285</v>
      </c>
      <c r="J143" s="4" t="s">
        <v>460</v>
      </c>
      <c r="K143" s="5" t="s">
        <v>461</v>
      </c>
    </row>
    <row r="144" spans="1:11" x14ac:dyDescent="0.25">
      <c r="I144" s="4" t="s">
        <v>462</v>
      </c>
      <c r="J144" s="4" t="s">
        <v>463</v>
      </c>
      <c r="K144" s="5" t="s">
        <v>464</v>
      </c>
    </row>
    <row r="145" spans="1:11" x14ac:dyDescent="0.25">
      <c r="I145" s="4" t="s">
        <v>168</v>
      </c>
      <c r="J145" s="4" t="s">
        <v>169</v>
      </c>
      <c r="K145" s="5" t="s">
        <v>258</v>
      </c>
    </row>
    <row r="148" spans="1:11" ht="15.75" x14ac:dyDescent="0.25">
      <c r="A148" s="1" t="s">
        <v>465</v>
      </c>
    </row>
    <row r="149" spans="1:11" x14ac:dyDescent="0.25">
      <c r="A149" s="3" t="s">
        <v>466</v>
      </c>
      <c r="B149" s="3" t="s">
        <v>467</v>
      </c>
      <c r="I149" s="3" t="s">
        <v>468</v>
      </c>
      <c r="J149" s="3" t="s">
        <v>469</v>
      </c>
      <c r="K149" s="3" t="s">
        <v>470</v>
      </c>
    </row>
    <row r="150" spans="1:11" x14ac:dyDescent="0.25">
      <c r="A150" s="4" t="s">
        <v>471</v>
      </c>
      <c r="B150" s="4" t="s">
        <v>472</v>
      </c>
      <c r="I150" s="4" t="s">
        <v>473</v>
      </c>
      <c r="J150" s="4" t="s">
        <v>474</v>
      </c>
      <c r="K150" s="5" t="s">
        <v>475</v>
      </c>
    </row>
    <row r="151" spans="1:11" x14ac:dyDescent="0.25">
      <c r="I151" s="4" t="s">
        <v>154</v>
      </c>
      <c r="J151" s="4" t="s">
        <v>155</v>
      </c>
      <c r="K151" s="5" t="s">
        <v>476</v>
      </c>
    </row>
    <row r="152" spans="1:11" x14ac:dyDescent="0.25">
      <c r="I152" s="4" t="s">
        <v>477</v>
      </c>
      <c r="J152" s="4" t="s">
        <v>478</v>
      </c>
      <c r="K152" s="5" t="s">
        <v>479</v>
      </c>
    </row>
    <row r="153" spans="1:11" x14ac:dyDescent="0.25">
      <c r="I153" s="4" t="s">
        <v>480</v>
      </c>
      <c r="J153" s="4" t="s">
        <v>298</v>
      </c>
      <c r="K153" s="5" t="s">
        <v>481</v>
      </c>
    </row>
    <row r="154" spans="1:11" x14ac:dyDescent="0.25">
      <c r="I154" s="4" t="s">
        <v>482</v>
      </c>
      <c r="J154" s="4" t="s">
        <v>483</v>
      </c>
      <c r="K154" s="5" t="s">
        <v>484</v>
      </c>
    </row>
    <row r="155" spans="1:11" x14ac:dyDescent="0.25">
      <c r="I155" s="4" t="s">
        <v>451</v>
      </c>
      <c r="J155" s="4" t="s">
        <v>485</v>
      </c>
      <c r="K155" s="5" t="s">
        <v>486</v>
      </c>
    </row>
    <row r="156" spans="1:11" x14ac:dyDescent="0.25">
      <c r="I156" s="4" t="s">
        <v>305</v>
      </c>
      <c r="J156" s="4" t="s">
        <v>487</v>
      </c>
      <c r="K156" s="5" t="s">
        <v>488</v>
      </c>
    </row>
    <row r="157" spans="1:11" x14ac:dyDescent="0.25">
      <c r="I157" s="4" t="s">
        <v>489</v>
      </c>
      <c r="J157" s="4" t="s">
        <v>490</v>
      </c>
      <c r="K157" s="5" t="s">
        <v>491</v>
      </c>
    </row>
    <row r="158" spans="1:11" x14ac:dyDescent="0.25">
      <c r="I158" s="4" t="s">
        <v>431</v>
      </c>
      <c r="J158" s="4" t="s">
        <v>432</v>
      </c>
      <c r="K158" s="5" t="s">
        <v>492</v>
      </c>
    </row>
    <row r="159" spans="1:11" x14ac:dyDescent="0.25">
      <c r="I159" s="4" t="s">
        <v>288</v>
      </c>
      <c r="J159" s="4" t="s">
        <v>493</v>
      </c>
      <c r="K159" s="5" t="s">
        <v>494</v>
      </c>
    </row>
    <row r="160" spans="1:11" x14ac:dyDescent="0.25">
      <c r="I160" s="4" t="s">
        <v>201</v>
      </c>
      <c r="J160" s="4" t="s">
        <v>495</v>
      </c>
      <c r="K160" s="5" t="s">
        <v>496</v>
      </c>
    </row>
    <row r="161" spans="1:12" x14ac:dyDescent="0.25">
      <c r="I161" s="4" t="s">
        <v>168</v>
      </c>
      <c r="J161" s="4" t="s">
        <v>169</v>
      </c>
      <c r="K161" s="5" t="s">
        <v>258</v>
      </c>
    </row>
    <row r="164" spans="1:12" ht="15.75" x14ac:dyDescent="0.25">
      <c r="A164" s="1" t="s">
        <v>497</v>
      </c>
    </row>
    <row r="165" spans="1:12" x14ac:dyDescent="0.25">
      <c r="A165" s="3" t="s">
        <v>498</v>
      </c>
      <c r="B165" s="3" t="s">
        <v>499</v>
      </c>
      <c r="D165" s="3" t="s">
        <v>500</v>
      </c>
      <c r="E165" s="3" t="s">
        <v>501</v>
      </c>
      <c r="F165" s="3" t="s">
        <v>502</v>
      </c>
      <c r="I165" s="3" t="s">
        <v>503</v>
      </c>
      <c r="J165" s="3" t="s">
        <v>504</v>
      </c>
      <c r="K165" s="3" t="s">
        <v>505</v>
      </c>
      <c r="L165" s="3" t="s">
        <v>127</v>
      </c>
    </row>
    <row r="166" spans="1:12" x14ac:dyDescent="0.25">
      <c r="A166" s="4" t="s">
        <v>506</v>
      </c>
      <c r="B166" s="4" t="s">
        <v>507</v>
      </c>
      <c r="D166" s="4" t="s">
        <v>130</v>
      </c>
      <c r="E166" s="4" t="s">
        <v>131</v>
      </c>
      <c r="F166" s="5" t="s">
        <v>132</v>
      </c>
      <c r="I166" s="4" t="s">
        <v>508</v>
      </c>
      <c r="J166" s="4" t="s">
        <v>509</v>
      </c>
      <c r="K166" s="5" t="s">
        <v>510</v>
      </c>
      <c r="L166" s="5" t="s">
        <v>136</v>
      </c>
    </row>
    <row r="167" spans="1:12" x14ac:dyDescent="0.25">
      <c r="D167" s="4" t="s">
        <v>511</v>
      </c>
      <c r="E167" s="4" t="s">
        <v>512</v>
      </c>
      <c r="F167" s="5" t="s">
        <v>513</v>
      </c>
      <c r="I167" s="4" t="s">
        <v>285</v>
      </c>
      <c r="J167" s="4" t="s">
        <v>514</v>
      </c>
      <c r="K167" s="5" t="s">
        <v>515</v>
      </c>
      <c r="L167" s="5" t="s">
        <v>143</v>
      </c>
    </row>
    <row r="168" spans="1:12" x14ac:dyDescent="0.25">
      <c r="D168" s="4" t="s">
        <v>516</v>
      </c>
      <c r="E168" s="4" t="s">
        <v>517</v>
      </c>
      <c r="F168" s="5" t="s">
        <v>518</v>
      </c>
      <c r="I168" s="4" t="s">
        <v>519</v>
      </c>
      <c r="J168" s="4" t="s">
        <v>520</v>
      </c>
      <c r="K168" s="5" t="s">
        <v>521</v>
      </c>
      <c r="L168" s="5" t="s">
        <v>150</v>
      </c>
    </row>
    <row r="169" spans="1:12" x14ac:dyDescent="0.25">
      <c r="D169" s="4" t="s">
        <v>315</v>
      </c>
      <c r="E169" s="4" t="s">
        <v>522</v>
      </c>
      <c r="F169" s="5" t="s">
        <v>523</v>
      </c>
      <c r="I169" s="4" t="s">
        <v>377</v>
      </c>
      <c r="J169" s="4" t="s">
        <v>524</v>
      </c>
      <c r="K169" s="5" t="s">
        <v>525</v>
      </c>
      <c r="L169" s="5" t="s">
        <v>157</v>
      </c>
    </row>
    <row r="170" spans="1:12" x14ac:dyDescent="0.25">
      <c r="D170" s="4" t="s">
        <v>102</v>
      </c>
      <c r="E170" s="4" t="s">
        <v>103</v>
      </c>
      <c r="F170" s="5" t="s">
        <v>104</v>
      </c>
      <c r="I170" s="4" t="s">
        <v>526</v>
      </c>
      <c r="J170" s="4" t="s">
        <v>527</v>
      </c>
      <c r="K170" s="5" t="s">
        <v>528</v>
      </c>
      <c r="L170" s="5" t="s">
        <v>164</v>
      </c>
    </row>
    <row r="171" spans="1:12" x14ac:dyDescent="0.25">
      <c r="D171" s="4" t="s">
        <v>107</v>
      </c>
      <c r="E171" s="4" t="s">
        <v>108</v>
      </c>
      <c r="F171" s="5" t="s">
        <v>109</v>
      </c>
      <c r="I171" s="4" t="s">
        <v>529</v>
      </c>
      <c r="J171" s="4" t="s">
        <v>530</v>
      </c>
      <c r="K171" s="5" t="s">
        <v>531</v>
      </c>
      <c r="L171" s="5" t="s">
        <v>218</v>
      </c>
    </row>
    <row r="172" spans="1:12" x14ac:dyDescent="0.25">
      <c r="D172" s="4" t="s">
        <v>168</v>
      </c>
      <c r="E172" s="4" t="s">
        <v>169</v>
      </c>
      <c r="F172" s="5" t="s">
        <v>178</v>
      </c>
      <c r="I172" s="4" t="s">
        <v>532</v>
      </c>
      <c r="J172" s="4" t="s">
        <v>533</v>
      </c>
      <c r="K172" s="5" t="s">
        <v>534</v>
      </c>
      <c r="L172" s="5" t="s">
        <v>219</v>
      </c>
    </row>
    <row r="173" spans="1:12" x14ac:dyDescent="0.25">
      <c r="I173" s="4" t="s">
        <v>168</v>
      </c>
      <c r="J173" s="4" t="s">
        <v>169</v>
      </c>
      <c r="K173" s="5" t="s">
        <v>258</v>
      </c>
      <c r="L173" s="5" t="s">
        <v>171</v>
      </c>
    </row>
    <row r="176" spans="1:12" ht="15.75" x14ac:dyDescent="0.25">
      <c r="A176" s="1" t="s">
        <v>535</v>
      </c>
    </row>
    <row r="177" spans="1:12" x14ac:dyDescent="0.25">
      <c r="A177" s="3" t="s">
        <v>536</v>
      </c>
      <c r="B177" s="3" t="s">
        <v>537</v>
      </c>
      <c r="D177" s="3" t="s">
        <v>538</v>
      </c>
      <c r="E177" s="3" t="s">
        <v>539</v>
      </c>
      <c r="F177" s="3" t="s">
        <v>540</v>
      </c>
      <c r="I177" s="3" t="s">
        <v>541</v>
      </c>
      <c r="J177" s="3" t="s">
        <v>542</v>
      </c>
      <c r="K177" s="3" t="s">
        <v>543</v>
      </c>
      <c r="L177" s="3" t="s">
        <v>127</v>
      </c>
    </row>
    <row r="178" spans="1:12" x14ac:dyDescent="0.25">
      <c r="A178" s="4" t="s">
        <v>116</v>
      </c>
      <c r="B178" s="4" t="s">
        <v>544</v>
      </c>
      <c r="D178" s="4" t="s">
        <v>545</v>
      </c>
      <c r="E178" s="4" t="s">
        <v>546</v>
      </c>
      <c r="F178" s="5" t="s">
        <v>547</v>
      </c>
      <c r="I178" s="4" t="s">
        <v>344</v>
      </c>
      <c r="J178" s="4" t="s">
        <v>548</v>
      </c>
      <c r="K178" s="5" t="s">
        <v>549</v>
      </c>
      <c r="L178" s="5" t="s">
        <v>136</v>
      </c>
    </row>
    <row r="179" spans="1:12" x14ac:dyDescent="0.25">
      <c r="D179" s="4" t="s">
        <v>457</v>
      </c>
      <c r="E179" s="4" t="s">
        <v>458</v>
      </c>
      <c r="F179" s="5" t="s">
        <v>550</v>
      </c>
      <c r="I179" s="4" t="s">
        <v>551</v>
      </c>
      <c r="J179" s="4" t="s">
        <v>552</v>
      </c>
      <c r="K179" s="5" t="s">
        <v>553</v>
      </c>
      <c r="L179" s="5" t="s">
        <v>143</v>
      </c>
    </row>
    <row r="180" spans="1:12" x14ac:dyDescent="0.25">
      <c r="D180" s="4" t="s">
        <v>526</v>
      </c>
      <c r="E180" s="4" t="s">
        <v>527</v>
      </c>
      <c r="F180" s="5" t="s">
        <v>554</v>
      </c>
      <c r="I180" s="4" t="s">
        <v>93</v>
      </c>
      <c r="J180" s="4" t="s">
        <v>555</v>
      </c>
      <c r="K180" s="5" t="s">
        <v>556</v>
      </c>
      <c r="L180" s="5" t="s">
        <v>150</v>
      </c>
    </row>
    <row r="181" spans="1:12" x14ac:dyDescent="0.25">
      <c r="D181" s="4" t="s">
        <v>516</v>
      </c>
      <c r="E181" s="4" t="s">
        <v>557</v>
      </c>
      <c r="F181" s="5" t="s">
        <v>558</v>
      </c>
      <c r="I181" s="4" t="s">
        <v>168</v>
      </c>
      <c r="J181" s="4" t="s">
        <v>169</v>
      </c>
      <c r="K181" s="5" t="s">
        <v>258</v>
      </c>
      <c r="L181" s="5" t="s">
        <v>171</v>
      </c>
    </row>
    <row r="182" spans="1:12" x14ac:dyDescent="0.25">
      <c r="D182" s="4" t="s">
        <v>559</v>
      </c>
      <c r="E182" s="4" t="s">
        <v>560</v>
      </c>
      <c r="F182" s="5" t="s">
        <v>561</v>
      </c>
    </row>
    <row r="183" spans="1:12" x14ac:dyDescent="0.25">
      <c r="D183" s="4" t="s">
        <v>102</v>
      </c>
      <c r="E183" s="4" t="s">
        <v>103</v>
      </c>
      <c r="F183" s="5" t="s">
        <v>104</v>
      </c>
    </row>
    <row r="184" spans="1:12" x14ac:dyDescent="0.25">
      <c r="D184" s="4" t="s">
        <v>107</v>
      </c>
      <c r="E184" s="4" t="s">
        <v>108</v>
      </c>
      <c r="F184" s="5" t="s">
        <v>109</v>
      </c>
    </row>
    <row r="185" spans="1:12" x14ac:dyDescent="0.25">
      <c r="D185" s="4" t="s">
        <v>168</v>
      </c>
      <c r="E185" s="4" t="s">
        <v>169</v>
      </c>
      <c r="F185" s="5" t="s">
        <v>178</v>
      </c>
    </row>
    <row r="188" spans="1:12" ht="15.75" x14ac:dyDescent="0.25">
      <c r="A188" s="1" t="s">
        <v>562</v>
      </c>
    </row>
    <row r="189" spans="1:12" x14ac:dyDescent="0.25">
      <c r="A189" s="3" t="s">
        <v>563</v>
      </c>
      <c r="B189" s="3" t="s">
        <v>564</v>
      </c>
      <c r="D189" s="3" t="s">
        <v>565</v>
      </c>
      <c r="E189" s="3" t="s">
        <v>566</v>
      </c>
      <c r="F189" s="3" t="s">
        <v>567</v>
      </c>
      <c r="I189" s="3" t="s">
        <v>568</v>
      </c>
      <c r="J189" s="3" t="s">
        <v>569</v>
      </c>
      <c r="K189" s="3" t="s">
        <v>570</v>
      </c>
      <c r="L189" s="3" t="s">
        <v>127</v>
      </c>
    </row>
    <row r="190" spans="1:12" x14ac:dyDescent="0.25">
      <c r="A190" s="4" t="s">
        <v>451</v>
      </c>
      <c r="B190" s="4" t="s">
        <v>571</v>
      </c>
      <c r="D190" s="4" t="s">
        <v>130</v>
      </c>
      <c r="E190" s="4" t="s">
        <v>131</v>
      </c>
      <c r="F190" s="5" t="s">
        <v>132</v>
      </c>
      <c r="I190" s="4" t="s">
        <v>391</v>
      </c>
      <c r="J190" s="4" t="s">
        <v>572</v>
      </c>
      <c r="K190" s="5" t="s">
        <v>573</v>
      </c>
      <c r="L190" s="5" t="s">
        <v>136</v>
      </c>
    </row>
    <row r="191" spans="1:12" x14ac:dyDescent="0.25">
      <c r="D191" s="4" t="s">
        <v>434</v>
      </c>
      <c r="E191" s="4" t="s">
        <v>574</v>
      </c>
      <c r="F191" s="5" t="s">
        <v>575</v>
      </c>
      <c r="I191" s="4" t="s">
        <v>506</v>
      </c>
      <c r="J191" s="4" t="s">
        <v>576</v>
      </c>
      <c r="K191" s="5" t="s">
        <v>577</v>
      </c>
      <c r="L191" s="5" t="s">
        <v>143</v>
      </c>
    </row>
    <row r="192" spans="1:12" x14ac:dyDescent="0.25">
      <c r="D192" s="4" t="s">
        <v>578</v>
      </c>
      <c r="E192" s="4" t="s">
        <v>579</v>
      </c>
      <c r="F192" s="5" t="s">
        <v>580</v>
      </c>
      <c r="I192" s="4" t="s">
        <v>581</v>
      </c>
      <c r="J192" s="4" t="s">
        <v>582</v>
      </c>
      <c r="K192" s="5" t="s">
        <v>583</v>
      </c>
      <c r="L192" s="5" t="s">
        <v>150</v>
      </c>
    </row>
    <row r="193" spans="1:12" x14ac:dyDescent="0.25">
      <c r="D193" s="4" t="s">
        <v>584</v>
      </c>
      <c r="E193" s="4" t="s">
        <v>585</v>
      </c>
      <c r="F193" s="5" t="s">
        <v>586</v>
      </c>
      <c r="I193" s="4" t="s">
        <v>133</v>
      </c>
      <c r="J193" s="4" t="s">
        <v>587</v>
      </c>
      <c r="K193" s="5" t="s">
        <v>588</v>
      </c>
      <c r="L193" s="5" t="s">
        <v>157</v>
      </c>
    </row>
    <row r="194" spans="1:12" x14ac:dyDescent="0.25">
      <c r="D194" s="4" t="s">
        <v>589</v>
      </c>
      <c r="E194" s="4" t="s">
        <v>590</v>
      </c>
      <c r="F194" s="5" t="s">
        <v>591</v>
      </c>
      <c r="I194" s="4" t="s">
        <v>399</v>
      </c>
      <c r="J194" s="4" t="s">
        <v>592</v>
      </c>
      <c r="K194" s="5" t="s">
        <v>593</v>
      </c>
      <c r="L194" s="5" t="s">
        <v>164</v>
      </c>
    </row>
    <row r="195" spans="1:12" x14ac:dyDescent="0.25">
      <c r="D195" s="4" t="s">
        <v>448</v>
      </c>
      <c r="E195" s="4" t="s">
        <v>594</v>
      </c>
      <c r="F195" s="5" t="s">
        <v>595</v>
      </c>
      <c r="I195" s="4" t="s">
        <v>168</v>
      </c>
      <c r="J195" s="4" t="s">
        <v>169</v>
      </c>
      <c r="K195" s="5" t="s">
        <v>258</v>
      </c>
      <c r="L195" s="5" t="s">
        <v>171</v>
      </c>
    </row>
    <row r="196" spans="1:12" x14ac:dyDescent="0.25">
      <c r="D196" s="4" t="s">
        <v>596</v>
      </c>
      <c r="E196" s="4" t="s">
        <v>597</v>
      </c>
      <c r="F196" s="5" t="s">
        <v>598</v>
      </c>
    </row>
    <row r="197" spans="1:12" x14ac:dyDescent="0.25">
      <c r="D197" s="4" t="s">
        <v>102</v>
      </c>
      <c r="E197" s="4" t="s">
        <v>103</v>
      </c>
      <c r="F197" s="5" t="s">
        <v>104</v>
      </c>
    </row>
    <row r="198" spans="1:12" x14ac:dyDescent="0.25">
      <c r="D198" s="4" t="s">
        <v>107</v>
      </c>
      <c r="E198" s="4" t="s">
        <v>108</v>
      </c>
      <c r="F198" s="5" t="s">
        <v>109</v>
      </c>
    </row>
    <row r="199" spans="1:12" x14ac:dyDescent="0.25">
      <c r="D199" s="4" t="s">
        <v>168</v>
      </c>
      <c r="E199" s="4" t="s">
        <v>169</v>
      </c>
      <c r="F199" s="5" t="s">
        <v>178</v>
      </c>
    </row>
    <row r="202" spans="1:12" ht="15.75" x14ac:dyDescent="0.25">
      <c r="A202" s="1" t="s">
        <v>599</v>
      </c>
    </row>
    <row r="203" spans="1:12" x14ac:dyDescent="0.25">
      <c r="A203" s="3" t="s">
        <v>600</v>
      </c>
      <c r="B203" s="3" t="s">
        <v>601</v>
      </c>
      <c r="I203" s="3" t="s">
        <v>602</v>
      </c>
      <c r="J203" s="3" t="s">
        <v>603</v>
      </c>
      <c r="K203" s="3" t="s">
        <v>604</v>
      </c>
    </row>
    <row r="204" spans="1:12" x14ac:dyDescent="0.25">
      <c r="A204" s="4" t="s">
        <v>605</v>
      </c>
      <c r="B204" s="4" t="s">
        <v>606</v>
      </c>
      <c r="I204" s="4" t="s">
        <v>607</v>
      </c>
      <c r="J204" s="4" t="s">
        <v>608</v>
      </c>
      <c r="K204" s="5" t="s">
        <v>609</v>
      </c>
    </row>
    <row r="205" spans="1:12" x14ac:dyDescent="0.25">
      <c r="I205" s="4" t="s">
        <v>508</v>
      </c>
      <c r="J205" s="4" t="s">
        <v>610</v>
      </c>
      <c r="K205" s="5" t="s">
        <v>611</v>
      </c>
    </row>
    <row r="206" spans="1:12" x14ac:dyDescent="0.25">
      <c r="I206" s="4" t="s">
        <v>612</v>
      </c>
      <c r="J206" s="4" t="s">
        <v>613</v>
      </c>
      <c r="K206" s="5" t="s">
        <v>614</v>
      </c>
    </row>
    <row r="207" spans="1:12" x14ac:dyDescent="0.25">
      <c r="I207" s="4" t="s">
        <v>471</v>
      </c>
      <c r="J207" s="4" t="s">
        <v>472</v>
      </c>
      <c r="K207" s="5" t="s">
        <v>615</v>
      </c>
    </row>
    <row r="208" spans="1:12" x14ac:dyDescent="0.25">
      <c r="I208" s="4" t="s">
        <v>616</v>
      </c>
      <c r="J208" s="4" t="s">
        <v>617</v>
      </c>
      <c r="K208" s="5" t="s">
        <v>618</v>
      </c>
    </row>
    <row r="209" spans="1:12" x14ac:dyDescent="0.25">
      <c r="I209" s="4" t="s">
        <v>168</v>
      </c>
      <c r="J209" s="4" t="s">
        <v>169</v>
      </c>
      <c r="K209" s="5" t="s">
        <v>258</v>
      </c>
    </row>
    <row r="212" spans="1:12" ht="15.75" x14ac:dyDescent="0.25">
      <c r="A212" s="1" t="s">
        <v>620</v>
      </c>
    </row>
    <row r="213" spans="1:12" x14ac:dyDescent="0.25">
      <c r="A213" s="3" t="s">
        <v>621</v>
      </c>
      <c r="B213" s="3" t="s">
        <v>622</v>
      </c>
      <c r="D213" s="3" t="s">
        <v>623</v>
      </c>
      <c r="E213" s="3" t="s">
        <v>624</v>
      </c>
      <c r="F213" s="3" t="s">
        <v>625</v>
      </c>
      <c r="I213" s="3" t="s">
        <v>626</v>
      </c>
      <c r="J213" s="3" t="s">
        <v>627</v>
      </c>
      <c r="K213" s="3" t="s">
        <v>628</v>
      </c>
      <c r="L213" s="3" t="s">
        <v>127</v>
      </c>
    </row>
    <row r="214" spans="1:12" x14ac:dyDescent="0.25">
      <c r="A214" s="4" t="s">
        <v>249</v>
      </c>
      <c r="B214" s="4" t="s">
        <v>629</v>
      </c>
      <c r="D214" s="4" t="s">
        <v>394</v>
      </c>
      <c r="E214" s="4" t="s">
        <v>630</v>
      </c>
      <c r="F214" s="5" t="s">
        <v>631</v>
      </c>
      <c r="I214" s="4" t="s">
        <v>632</v>
      </c>
      <c r="J214" s="4" t="s">
        <v>633</v>
      </c>
      <c r="K214" s="5" t="s">
        <v>634</v>
      </c>
      <c r="L214" s="5" t="s">
        <v>136</v>
      </c>
    </row>
    <row r="215" spans="1:12" x14ac:dyDescent="0.25">
      <c r="D215" s="4" t="s">
        <v>471</v>
      </c>
      <c r="E215" s="4" t="s">
        <v>472</v>
      </c>
      <c r="F215" s="5" t="s">
        <v>635</v>
      </c>
      <c r="I215" s="4" t="s">
        <v>636</v>
      </c>
      <c r="J215" s="4" t="s">
        <v>637</v>
      </c>
      <c r="K215" s="5" t="s">
        <v>638</v>
      </c>
      <c r="L215" s="5" t="s">
        <v>143</v>
      </c>
    </row>
    <row r="216" spans="1:12" x14ac:dyDescent="0.25">
      <c r="D216" s="4" t="s">
        <v>639</v>
      </c>
      <c r="E216" s="4" t="s">
        <v>640</v>
      </c>
      <c r="F216" s="5" t="s">
        <v>641</v>
      </c>
      <c r="I216" s="4" t="s">
        <v>607</v>
      </c>
      <c r="J216" s="4" t="s">
        <v>642</v>
      </c>
      <c r="K216" s="5" t="s">
        <v>643</v>
      </c>
      <c r="L216" s="5" t="s">
        <v>150</v>
      </c>
    </row>
    <row r="217" spans="1:12" x14ac:dyDescent="0.25">
      <c r="D217" s="4" t="s">
        <v>102</v>
      </c>
      <c r="E217" s="4" t="s">
        <v>103</v>
      </c>
      <c r="F217" s="5" t="s">
        <v>104</v>
      </c>
      <c r="I217" s="4" t="s">
        <v>342</v>
      </c>
      <c r="J217" s="4" t="s">
        <v>212</v>
      </c>
      <c r="K217" s="5" t="s">
        <v>644</v>
      </c>
      <c r="L217" s="5" t="s">
        <v>157</v>
      </c>
    </row>
    <row r="218" spans="1:12" x14ac:dyDescent="0.25">
      <c r="D218" s="4" t="s">
        <v>107</v>
      </c>
      <c r="E218" s="4" t="s">
        <v>108</v>
      </c>
      <c r="F218" s="5" t="s">
        <v>109</v>
      </c>
      <c r="I218" s="4" t="s">
        <v>645</v>
      </c>
      <c r="J218" s="4" t="s">
        <v>646</v>
      </c>
      <c r="K218" s="5" t="s">
        <v>647</v>
      </c>
      <c r="L218" s="5" t="s">
        <v>164</v>
      </c>
    </row>
    <row r="219" spans="1:12" x14ac:dyDescent="0.25">
      <c r="D219" s="4" t="s">
        <v>168</v>
      </c>
      <c r="E219" s="4" t="s">
        <v>169</v>
      </c>
      <c r="F219" s="5" t="s">
        <v>178</v>
      </c>
      <c r="I219" s="4" t="s">
        <v>168</v>
      </c>
      <c r="J219" s="4" t="s">
        <v>169</v>
      </c>
      <c r="K219" s="5" t="s">
        <v>258</v>
      </c>
      <c r="L219" s="5" t="s">
        <v>171</v>
      </c>
    </row>
    <row r="223" spans="1:12" x14ac:dyDescent="0.25">
      <c r="A223" s="2" t="s">
        <v>648</v>
      </c>
    </row>
    <row r="225" spans="1:1" x14ac:dyDescent="0.25">
      <c r="A225" s="2" t="s">
        <v>649</v>
      </c>
    </row>
    <row r="227" spans="1:1" x14ac:dyDescent="0.25">
      <c r="A227" s="2" t="s">
        <v>650</v>
      </c>
    </row>
  </sheetData>
  <pageMargins left="0.75" right="0.75" top="1" bottom="1" header="0.5" footer="0.5"/>
  <tableParts count="43">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06"/>
  <sheetViews>
    <sheetView showGridLines="0" tabSelected="1" workbookViewId="0">
      <pane ySplit="5" topLeftCell="A6"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6" customWidth="1"/>
    <col min="13" max="13" width="11" customWidth="1"/>
    <col min="14" max="14" width="4" customWidth="1"/>
    <col min="15" max="15" width="9" customWidth="1"/>
    <col min="16" max="16" width="4" customWidth="1"/>
    <col min="17" max="17" width="8" customWidth="1"/>
    <col min="18" max="18" width="15" customWidth="1"/>
    <col min="19" max="19" width="13" customWidth="1"/>
    <col min="20" max="20" width="20" customWidth="1"/>
    <col min="21" max="21" width="12" customWidth="1"/>
    <col min="22" max="22" width="36" customWidth="1"/>
    <col min="23" max="23" width="24" customWidth="1"/>
    <col min="24" max="24" width="22" hidden="1" customWidth="1"/>
  </cols>
  <sheetData>
    <row r="1" spans="1:24" ht="19.5" x14ac:dyDescent="0.3">
      <c r="A1" s="6" t="s">
        <v>651</v>
      </c>
    </row>
    <row r="2" spans="1:24" x14ac:dyDescent="0.25">
      <c r="A2" s="7" t="s">
        <v>652</v>
      </c>
    </row>
    <row r="3" spans="1:24" x14ac:dyDescent="0.25">
      <c r="A3" s="8" t="s">
        <v>653</v>
      </c>
    </row>
    <row r="4" spans="1:24" ht="17.100000000000001" customHeight="1" x14ac:dyDescent="0.25">
      <c r="A4" s="9" t="s">
        <v>654</v>
      </c>
      <c r="B4" s="10"/>
      <c r="C4" s="10"/>
      <c r="D4" s="10"/>
      <c r="E4" s="10"/>
      <c r="F4" s="10"/>
      <c r="G4" s="10"/>
      <c r="H4" s="10"/>
      <c r="I4" s="10"/>
      <c r="J4" s="10"/>
      <c r="K4" s="10"/>
      <c r="L4" s="10"/>
      <c r="M4" s="10"/>
      <c r="N4" s="10"/>
      <c r="O4" s="10"/>
      <c r="P4" s="10"/>
      <c r="Q4" s="10"/>
      <c r="R4" s="10"/>
      <c r="S4" s="10"/>
      <c r="T4" s="10"/>
      <c r="U4" s="10"/>
      <c r="V4" s="10"/>
      <c r="W4" s="10"/>
    </row>
    <row r="5" spans="1:24" ht="30" customHeight="1" x14ac:dyDescent="0.25">
      <c r="A5" s="11" t="s">
        <v>655</v>
      </c>
      <c r="B5" s="11" t="s">
        <v>85</v>
      </c>
      <c r="C5" s="11" t="s">
        <v>656</v>
      </c>
      <c r="D5" s="12" t="s">
        <v>97</v>
      </c>
      <c r="E5" s="11" t="s">
        <v>96</v>
      </c>
      <c r="F5" s="11" t="s">
        <v>657</v>
      </c>
      <c r="G5" s="11" t="s">
        <v>658</v>
      </c>
      <c r="H5" s="11" t="s">
        <v>659</v>
      </c>
      <c r="I5" s="11" t="s">
        <v>660</v>
      </c>
      <c r="J5" s="11" t="s">
        <v>661</v>
      </c>
      <c r="K5" s="11" t="s">
        <v>662</v>
      </c>
      <c r="L5" s="11" t="s">
        <v>663</v>
      </c>
      <c r="M5" s="12" t="s">
        <v>664</v>
      </c>
      <c r="N5" s="11" t="s">
        <v>665</v>
      </c>
      <c r="O5" s="12" t="s">
        <v>117</v>
      </c>
      <c r="P5" s="11" t="s">
        <v>666</v>
      </c>
      <c r="Q5" s="12" t="s">
        <v>667</v>
      </c>
      <c r="R5" s="12" t="s">
        <v>668</v>
      </c>
      <c r="S5" s="12" t="s">
        <v>669</v>
      </c>
      <c r="T5" s="12" t="s">
        <v>670</v>
      </c>
      <c r="U5" s="11" t="s">
        <v>671</v>
      </c>
      <c r="V5" s="11" t="s">
        <v>672</v>
      </c>
      <c r="W5" s="11" t="s">
        <v>673</v>
      </c>
      <c r="X5" s="11" t="s">
        <v>674</v>
      </c>
    </row>
    <row r="6" spans="1:24" x14ac:dyDescent="0.25">
      <c r="A6" s="13" t="s">
        <v>675</v>
      </c>
      <c r="B6" s="14" t="s">
        <v>92</v>
      </c>
      <c r="C6" s="15" t="str">
        <f t="shared" ref="C6:C34" si="0">IFERROR(INDEX(Author_Code,MATCH($B6,Author_Name,0)),"")</f>
        <v>e</v>
      </c>
      <c r="D6" s="16"/>
      <c r="E6" s="15" t="str">
        <f t="shared" ref="E6:E34" si="1">IFERROR(INDEX(InPl_Code,MATCH($D6,InPl_Name,0)),"")</f>
        <v/>
      </c>
      <c r="F6" s="14" t="s">
        <v>129</v>
      </c>
      <c r="G6" s="15" t="str">
        <f t="shared" ref="G6:G34" si="2">IFERROR(INDEX(DR_Cat_Code,MATCH($F6,DR_Cat_Name,0)),"")</f>
        <v>DR</v>
      </c>
      <c r="H6" s="14" t="s">
        <v>138</v>
      </c>
      <c r="I6" s="15" t="str">
        <f t="shared" ref="I6:I34" si="3">IFERROR(INDEX(DR_G1_Code,MATCH($H6,DR_G1_Name,0)),"")</f>
        <v>HN</v>
      </c>
      <c r="J6" s="14" t="s">
        <v>134</v>
      </c>
      <c r="K6" s="15" t="str">
        <f t="shared" ref="K6:K34" si="4">IFERROR(INDEX(DR_G2_Code,MATCH($J6,DR_G2_Name,0)),"")</f>
        <v>IN</v>
      </c>
      <c r="L6" s="14">
        <v>1</v>
      </c>
      <c r="M6" s="16"/>
      <c r="N6" s="15" t="str">
        <f t="shared" ref="N6:N34" si="5">IFERROR(INDEX(CWh_Code,MATCH($M6,CWh_Name,0)),"")</f>
        <v/>
      </c>
      <c r="O6" s="16"/>
      <c r="P6" s="15" t="str">
        <f t="shared" ref="P6:P34" si="6">IFERROR(INDEX(Entr_Code,MATCH($O6,Entr_Name,0)),"")</f>
        <v/>
      </c>
      <c r="Q6" s="16"/>
      <c r="R6" s="17"/>
      <c r="S6" s="17"/>
      <c r="T6" s="17"/>
      <c r="U6" s="15" t="str">
        <f t="shared" ref="U6:U34" si="7">$G6&amp;IF($I6&lt;&gt;"","."&amp;$I6,"")&amp;IF($K6&lt;&gt;"","."&amp;$K6,"")</f>
        <v>DR.HN.IN</v>
      </c>
      <c r="V6" s="18" t="str">
        <f t="shared" ref="V6:V34" si="8">IF(AND($F6&lt;&gt;"",$H6&lt;&gt;"",$J6&lt;&gt;"",OR(OR($I6="CM",$I6="SY"),$L6&lt;&gt;"")),$C6&amp;"_"&amp;$E6&amp;$U6&amp;IF(AND(OR($I6="CM",$I6="SY")=FALSE,$L6&lt;&gt;""),"_L"&amp;TEXT($L6,"0"),"")&amp;IF($N6&lt;&gt;"","_"&amp;$N6,"")&amp;IF($P6&lt;&gt;"","_"&amp;$P6,"")&amp;IF($Q6&lt;&gt;"","_"&amp;$Q6,"")&amp;IF($R6&lt;&gt;"","_"&amp;$R6,"")&amp;IF($S6&lt;&gt;"","_"&amp;$S6,"")&amp;IF($T6&lt;&gt;"","_"&amp;$T6,""),"")</f>
        <v>e_DR.HN.IN_L1</v>
      </c>
      <c r="W6" s="19" t="str">
        <f t="shared" ref="W6:W34" si="9">IFERROR(IF(OR($G6="",$J6=""),"",$G6&amp;"-"&amp;LEFT(INDEX(DR_G2_TM,MATCH($J6,DR_G2_Name,0)),1)&amp;"xx"&amp;"_{W}x{H}"),"")</f>
        <v>DR-1xx_{W}x{H}</v>
      </c>
      <c r="X6" s="20" t="str">
        <f t="shared" ref="X6:X34" si="10">IF($K6="EX","_src!$B$1","_src!$B$2")</f>
        <v>_src!$B$2</v>
      </c>
    </row>
    <row r="7" spans="1:24" x14ac:dyDescent="0.25">
      <c r="A7" s="13" t="s">
        <v>676</v>
      </c>
      <c r="B7" s="14" t="s">
        <v>92</v>
      </c>
      <c r="C7" s="15" t="str">
        <f t="shared" si="0"/>
        <v>e</v>
      </c>
      <c r="D7" s="16"/>
      <c r="E7" s="15" t="str">
        <f t="shared" si="1"/>
        <v/>
      </c>
      <c r="F7" s="14" t="s">
        <v>129</v>
      </c>
      <c r="G7" s="15" t="str">
        <f t="shared" si="2"/>
        <v>DR</v>
      </c>
      <c r="H7" s="14" t="s">
        <v>138</v>
      </c>
      <c r="I7" s="15" t="str">
        <f t="shared" si="3"/>
        <v>HN</v>
      </c>
      <c r="J7" s="14" t="s">
        <v>134</v>
      </c>
      <c r="K7" s="15" t="str">
        <f t="shared" si="4"/>
        <v>IN</v>
      </c>
      <c r="L7" s="14">
        <v>2</v>
      </c>
      <c r="M7" s="16"/>
      <c r="N7" s="15" t="str">
        <f t="shared" si="5"/>
        <v/>
      </c>
      <c r="O7" s="16"/>
      <c r="P7" s="15" t="str">
        <f t="shared" si="6"/>
        <v/>
      </c>
      <c r="Q7" s="16"/>
      <c r="R7" s="17"/>
      <c r="S7" s="17"/>
      <c r="T7" s="17"/>
      <c r="U7" s="15" t="str">
        <f t="shared" si="7"/>
        <v>DR.HN.IN</v>
      </c>
      <c r="V7" s="18" t="str">
        <f t="shared" si="8"/>
        <v>e_DR.HN.IN_L2</v>
      </c>
      <c r="W7" s="19" t="str">
        <f t="shared" si="9"/>
        <v>DR-1xx_{W}x{H}</v>
      </c>
      <c r="X7" s="20" t="str">
        <f t="shared" si="10"/>
        <v>_src!$B$2</v>
      </c>
    </row>
    <row r="8" spans="1:24" x14ac:dyDescent="0.25">
      <c r="A8" s="13" t="s">
        <v>677</v>
      </c>
      <c r="B8" s="14" t="s">
        <v>92</v>
      </c>
      <c r="C8" s="15" t="str">
        <f t="shared" si="0"/>
        <v>e</v>
      </c>
      <c r="D8" s="16"/>
      <c r="E8" s="15" t="str">
        <f t="shared" si="1"/>
        <v/>
      </c>
      <c r="F8" s="14" t="s">
        <v>129</v>
      </c>
      <c r="G8" s="15" t="str">
        <f t="shared" si="2"/>
        <v>DR</v>
      </c>
      <c r="H8" s="14" t="s">
        <v>138</v>
      </c>
      <c r="I8" s="15" t="str">
        <f t="shared" si="3"/>
        <v>HN</v>
      </c>
      <c r="J8" s="14" t="s">
        <v>134</v>
      </c>
      <c r="K8" s="15" t="str">
        <f t="shared" si="4"/>
        <v>IN</v>
      </c>
      <c r="L8" s="14">
        <v>1</v>
      </c>
      <c r="M8" s="16"/>
      <c r="N8" s="15" t="str">
        <f t="shared" si="5"/>
        <v/>
      </c>
      <c r="O8" s="16"/>
      <c r="P8" s="15" t="str">
        <f t="shared" si="6"/>
        <v/>
      </c>
      <c r="Q8" s="16" t="s">
        <v>678</v>
      </c>
      <c r="R8" s="17"/>
      <c r="S8" s="17"/>
      <c r="T8" s="17"/>
      <c r="U8" s="15" t="str">
        <f t="shared" si="7"/>
        <v>DR.HN.IN</v>
      </c>
      <c r="V8" s="18" t="str">
        <f t="shared" si="8"/>
        <v>e_DR.HN.IN_L1_REI60</v>
      </c>
      <c r="W8" s="19" t="str">
        <f t="shared" si="9"/>
        <v>DR-1xx_{W}x{H}</v>
      </c>
      <c r="X8" s="20" t="str">
        <f t="shared" si="10"/>
        <v>_src!$B$2</v>
      </c>
    </row>
    <row r="9" spans="1:24" x14ac:dyDescent="0.25">
      <c r="A9" s="13" t="s">
        <v>679</v>
      </c>
      <c r="B9" s="14" t="s">
        <v>92</v>
      </c>
      <c r="C9" s="15" t="str">
        <f t="shared" si="0"/>
        <v>e</v>
      </c>
      <c r="D9" s="16"/>
      <c r="E9" s="15" t="str">
        <f t="shared" si="1"/>
        <v/>
      </c>
      <c r="F9" s="14" t="s">
        <v>129</v>
      </c>
      <c r="G9" s="15" t="str">
        <f t="shared" si="2"/>
        <v>DR</v>
      </c>
      <c r="H9" s="14" t="s">
        <v>138</v>
      </c>
      <c r="I9" s="15" t="str">
        <f t="shared" si="3"/>
        <v>HN</v>
      </c>
      <c r="J9" s="14" t="s">
        <v>134</v>
      </c>
      <c r="K9" s="15" t="str">
        <f t="shared" si="4"/>
        <v>IN</v>
      </c>
      <c r="L9" s="14">
        <v>1</v>
      </c>
      <c r="M9" s="16"/>
      <c r="N9" s="15" t="str">
        <f t="shared" si="5"/>
        <v/>
      </c>
      <c r="O9" s="16"/>
      <c r="P9" s="15" t="str">
        <f t="shared" si="6"/>
        <v/>
      </c>
      <c r="Q9" s="16"/>
      <c r="R9" s="17"/>
      <c r="S9" s="17"/>
      <c r="T9" s="17" t="s">
        <v>460</v>
      </c>
      <c r="U9" s="15" t="str">
        <f t="shared" si="7"/>
        <v>DR.HN.IN</v>
      </c>
      <c r="V9" s="18" t="str">
        <f t="shared" si="8"/>
        <v>e_DR.HN.IN_L1_Acoustic</v>
      </c>
      <c r="W9" s="19" t="str">
        <f t="shared" si="9"/>
        <v>DR-1xx_{W}x{H}</v>
      </c>
      <c r="X9" s="20" t="str">
        <f t="shared" si="10"/>
        <v>_src!$B$2</v>
      </c>
    </row>
    <row r="10" spans="1:24" x14ac:dyDescent="0.25">
      <c r="A10" s="13" t="s">
        <v>680</v>
      </c>
      <c r="B10" s="14" t="s">
        <v>92</v>
      </c>
      <c r="C10" s="15" t="str">
        <f t="shared" si="0"/>
        <v>e</v>
      </c>
      <c r="D10" s="16"/>
      <c r="E10" s="15" t="str">
        <f t="shared" si="1"/>
        <v/>
      </c>
      <c r="F10" s="14" t="s">
        <v>129</v>
      </c>
      <c r="G10" s="15" t="str">
        <f t="shared" si="2"/>
        <v>DR</v>
      </c>
      <c r="H10" s="14" t="s">
        <v>138</v>
      </c>
      <c r="I10" s="15" t="str">
        <f t="shared" si="3"/>
        <v>HN</v>
      </c>
      <c r="J10" s="14" t="s">
        <v>141</v>
      </c>
      <c r="K10" s="15" t="str">
        <f t="shared" si="4"/>
        <v>EX</v>
      </c>
      <c r="L10" s="14">
        <v>1</v>
      </c>
      <c r="M10" s="16"/>
      <c r="N10" s="15" t="str">
        <f t="shared" si="5"/>
        <v/>
      </c>
      <c r="O10" s="16" t="s">
        <v>117</v>
      </c>
      <c r="P10" s="15" t="str">
        <f t="shared" si="6"/>
        <v>EN</v>
      </c>
      <c r="Q10" s="16"/>
      <c r="R10" s="17" t="s">
        <v>681</v>
      </c>
      <c r="S10" s="17"/>
      <c r="T10" s="17"/>
      <c r="U10" s="15" t="str">
        <f t="shared" si="7"/>
        <v>DR.HN.EX</v>
      </c>
      <c r="V10" s="18" t="str">
        <f t="shared" si="8"/>
        <v>e_DR.HN.EX_L1_EN_Ninz</v>
      </c>
      <c r="W10" s="19" t="str">
        <f t="shared" si="9"/>
        <v>DR-2xx_{W}x{H}</v>
      </c>
      <c r="X10" s="20" t="str">
        <f t="shared" si="10"/>
        <v>_src!$B$1</v>
      </c>
    </row>
    <row r="11" spans="1:24" x14ac:dyDescent="0.25">
      <c r="A11" s="13" t="s">
        <v>682</v>
      </c>
      <c r="B11" s="14" t="s">
        <v>92</v>
      </c>
      <c r="C11" s="15" t="str">
        <f t="shared" si="0"/>
        <v>e</v>
      </c>
      <c r="D11" s="16"/>
      <c r="E11" s="15" t="str">
        <f t="shared" si="1"/>
        <v/>
      </c>
      <c r="F11" s="14" t="s">
        <v>129</v>
      </c>
      <c r="G11" s="15" t="str">
        <f t="shared" si="2"/>
        <v>DR</v>
      </c>
      <c r="H11" s="14" t="s">
        <v>138</v>
      </c>
      <c r="I11" s="15" t="str">
        <f t="shared" si="3"/>
        <v>HN</v>
      </c>
      <c r="J11" s="14" t="s">
        <v>141</v>
      </c>
      <c r="K11" s="15" t="str">
        <f t="shared" si="4"/>
        <v>EX</v>
      </c>
      <c r="L11" s="14">
        <v>1</v>
      </c>
      <c r="M11" s="16"/>
      <c r="N11" s="15" t="str">
        <f t="shared" si="5"/>
        <v/>
      </c>
      <c r="O11" s="16"/>
      <c r="P11" s="15" t="str">
        <f t="shared" si="6"/>
        <v/>
      </c>
      <c r="Q11" s="16"/>
      <c r="R11" s="17" t="s">
        <v>683</v>
      </c>
      <c r="S11" s="17"/>
      <c r="T11" s="17" t="s">
        <v>684</v>
      </c>
      <c r="U11" s="15" t="str">
        <f t="shared" si="7"/>
        <v>DR.HN.EX</v>
      </c>
      <c r="V11" s="18" t="str">
        <f t="shared" si="8"/>
        <v>e_DR.HN.EX_L1_Dierre_Armoured</v>
      </c>
      <c r="W11" s="19" t="str">
        <f t="shared" si="9"/>
        <v>DR-2xx_{W}x{H}</v>
      </c>
      <c r="X11" s="20" t="str">
        <f t="shared" si="10"/>
        <v>_src!$B$1</v>
      </c>
    </row>
    <row r="12" spans="1:24" x14ac:dyDescent="0.25">
      <c r="A12" s="13" t="s">
        <v>685</v>
      </c>
      <c r="B12" s="14" t="s">
        <v>92</v>
      </c>
      <c r="C12" s="15" t="str">
        <f t="shared" si="0"/>
        <v>e</v>
      </c>
      <c r="D12" s="16"/>
      <c r="E12" s="15" t="str">
        <f t="shared" si="1"/>
        <v/>
      </c>
      <c r="F12" s="14" t="s">
        <v>129</v>
      </c>
      <c r="G12" s="15" t="str">
        <f t="shared" si="2"/>
        <v>DR</v>
      </c>
      <c r="H12" s="14" t="s">
        <v>138</v>
      </c>
      <c r="I12" s="15" t="str">
        <f t="shared" si="3"/>
        <v>HN</v>
      </c>
      <c r="J12" s="14" t="s">
        <v>141</v>
      </c>
      <c r="K12" s="15" t="str">
        <f t="shared" si="4"/>
        <v>EX</v>
      </c>
      <c r="L12" s="14">
        <v>1</v>
      </c>
      <c r="M12" s="16" t="s">
        <v>111</v>
      </c>
      <c r="N12" s="15" t="str">
        <f t="shared" si="5"/>
        <v>CW</v>
      </c>
      <c r="O12" s="16"/>
      <c r="P12" s="15" t="str">
        <f t="shared" si="6"/>
        <v/>
      </c>
      <c r="Q12" s="16"/>
      <c r="R12" s="17" t="s">
        <v>686</v>
      </c>
      <c r="S12" s="17"/>
      <c r="T12" s="17"/>
      <c r="U12" s="15" t="str">
        <f t="shared" si="7"/>
        <v>DR.HN.EX</v>
      </c>
      <c r="V12" s="18" t="str">
        <f t="shared" si="8"/>
        <v>e_DR.HN.EX_L1_CW_Schuco</v>
      </c>
      <c r="W12" s="19" t="str">
        <f t="shared" si="9"/>
        <v>DR-2xx_{W}x{H}</v>
      </c>
      <c r="X12" s="20" t="str">
        <f t="shared" si="10"/>
        <v>_src!$B$1</v>
      </c>
    </row>
    <row r="13" spans="1:24" x14ac:dyDescent="0.25">
      <c r="A13" s="13" t="s">
        <v>687</v>
      </c>
      <c r="B13" s="14" t="s">
        <v>92</v>
      </c>
      <c r="C13" s="15" t="str">
        <f t="shared" si="0"/>
        <v>e</v>
      </c>
      <c r="D13" s="16"/>
      <c r="E13" s="15" t="str">
        <f t="shared" si="1"/>
        <v/>
      </c>
      <c r="F13" s="14" t="s">
        <v>129</v>
      </c>
      <c r="G13" s="15" t="str">
        <f t="shared" si="2"/>
        <v>DR</v>
      </c>
      <c r="H13" s="14" t="s">
        <v>159</v>
      </c>
      <c r="I13" s="15" t="str">
        <f t="shared" si="3"/>
        <v>RV</v>
      </c>
      <c r="J13" s="14" t="s">
        <v>141</v>
      </c>
      <c r="K13" s="15" t="str">
        <f t="shared" si="4"/>
        <v>EX</v>
      </c>
      <c r="L13" s="14">
        <v>4</v>
      </c>
      <c r="M13" s="16"/>
      <c r="N13" s="15" t="str">
        <f t="shared" si="5"/>
        <v/>
      </c>
      <c r="O13" s="16" t="s">
        <v>117</v>
      </c>
      <c r="P13" s="15" t="str">
        <f t="shared" si="6"/>
        <v>EN</v>
      </c>
      <c r="Q13" s="16"/>
      <c r="R13" s="17" t="s">
        <v>688</v>
      </c>
      <c r="S13" s="17"/>
      <c r="T13" s="17"/>
      <c r="U13" s="15" t="str">
        <f t="shared" si="7"/>
        <v>DR.RV.EX</v>
      </c>
      <c r="V13" s="18" t="str">
        <f t="shared" si="8"/>
        <v>e_DR.RV.EX_L4_EN_Boon</v>
      </c>
      <c r="W13" s="19" t="str">
        <f t="shared" si="9"/>
        <v>DR-2xx_{W}x{H}</v>
      </c>
      <c r="X13" s="20" t="str">
        <f t="shared" si="10"/>
        <v>_src!$B$1</v>
      </c>
    </row>
    <row r="14" spans="1:24" x14ac:dyDescent="0.25">
      <c r="A14" s="13" t="s">
        <v>689</v>
      </c>
      <c r="B14" s="14" t="s">
        <v>92</v>
      </c>
      <c r="C14" s="15" t="str">
        <f t="shared" si="0"/>
        <v>e</v>
      </c>
      <c r="D14" s="16"/>
      <c r="E14" s="15" t="str">
        <f t="shared" si="1"/>
        <v/>
      </c>
      <c r="F14" s="14" t="s">
        <v>129</v>
      </c>
      <c r="G14" s="15" t="str">
        <f t="shared" si="2"/>
        <v>DR</v>
      </c>
      <c r="H14" s="14" t="s">
        <v>145</v>
      </c>
      <c r="I14" s="15" t="str">
        <f t="shared" si="3"/>
        <v>SL</v>
      </c>
      <c r="J14" s="14" t="s">
        <v>134</v>
      </c>
      <c r="K14" s="15" t="str">
        <f t="shared" si="4"/>
        <v>IN</v>
      </c>
      <c r="L14" s="14">
        <v>1</v>
      </c>
      <c r="M14" s="16"/>
      <c r="N14" s="15" t="str">
        <f t="shared" si="5"/>
        <v/>
      </c>
      <c r="O14" s="16"/>
      <c r="P14" s="15" t="str">
        <f t="shared" si="6"/>
        <v/>
      </c>
      <c r="Q14" s="16"/>
      <c r="R14" s="17"/>
      <c r="S14" s="17"/>
      <c r="T14" s="17" t="s">
        <v>690</v>
      </c>
      <c r="U14" s="15" t="str">
        <f t="shared" si="7"/>
        <v>DR.SL.IN</v>
      </c>
      <c r="V14" s="18" t="str">
        <f t="shared" si="8"/>
        <v>e_DR.SL.IN_L1_Pocket</v>
      </c>
      <c r="W14" s="19" t="str">
        <f t="shared" si="9"/>
        <v>DR-1xx_{W}x{H}</v>
      </c>
      <c r="X14" s="20" t="str">
        <f t="shared" si="10"/>
        <v>_src!$B$2</v>
      </c>
    </row>
    <row r="15" spans="1:24" x14ac:dyDescent="0.25">
      <c r="A15" s="13" t="s">
        <v>691</v>
      </c>
      <c r="B15" s="14" t="s">
        <v>92</v>
      </c>
      <c r="C15" s="15" t="str">
        <f t="shared" si="0"/>
        <v>e</v>
      </c>
      <c r="D15" s="16"/>
      <c r="E15" s="15" t="str">
        <f t="shared" si="1"/>
        <v/>
      </c>
      <c r="F15" s="14" t="s">
        <v>129</v>
      </c>
      <c r="G15" s="15" t="str">
        <f t="shared" si="2"/>
        <v>DR</v>
      </c>
      <c r="H15" s="14" t="s">
        <v>173</v>
      </c>
      <c r="I15" s="15" t="str">
        <f t="shared" si="3"/>
        <v>OV</v>
      </c>
      <c r="J15" s="14" t="s">
        <v>155</v>
      </c>
      <c r="K15" s="15" t="str">
        <f t="shared" si="4"/>
        <v>GT</v>
      </c>
      <c r="L15" s="14">
        <v>1</v>
      </c>
      <c r="M15" s="16"/>
      <c r="N15" s="15" t="str">
        <f t="shared" si="5"/>
        <v/>
      </c>
      <c r="O15" s="16"/>
      <c r="P15" s="15" t="str">
        <f t="shared" si="6"/>
        <v/>
      </c>
      <c r="Q15" s="16"/>
      <c r="R15" s="17" t="s">
        <v>692</v>
      </c>
      <c r="S15" s="17"/>
      <c r="T15" s="17"/>
      <c r="U15" s="15" t="str">
        <f t="shared" si="7"/>
        <v>DR.OV.GT</v>
      </c>
      <c r="V15" s="18" t="str">
        <f t="shared" si="8"/>
        <v>e_DR.OV.GT_L1_Breda</v>
      </c>
      <c r="W15" s="19" t="str">
        <f t="shared" si="9"/>
        <v>DR-4xx_{W}x{H}</v>
      </c>
      <c r="X15" s="20" t="str">
        <f t="shared" si="10"/>
        <v>_src!$B$2</v>
      </c>
    </row>
    <row r="16" spans="1:24" x14ac:dyDescent="0.25">
      <c r="A16" s="13" t="s">
        <v>693</v>
      </c>
      <c r="B16" s="14" t="s">
        <v>92</v>
      </c>
      <c r="C16" s="15" t="str">
        <f t="shared" si="0"/>
        <v>e</v>
      </c>
      <c r="D16" s="16"/>
      <c r="E16" s="15" t="str">
        <f t="shared" si="1"/>
        <v/>
      </c>
      <c r="F16" s="14" t="s">
        <v>129</v>
      </c>
      <c r="G16" s="15" t="str">
        <f t="shared" si="2"/>
        <v>DR</v>
      </c>
      <c r="H16" s="14" t="s">
        <v>138</v>
      </c>
      <c r="I16" s="15" t="str">
        <f t="shared" si="3"/>
        <v>HN</v>
      </c>
      <c r="J16" s="14" t="s">
        <v>148</v>
      </c>
      <c r="K16" s="15" t="str">
        <f t="shared" si="4"/>
        <v>TC</v>
      </c>
      <c r="L16" s="14">
        <v>1</v>
      </c>
      <c r="M16" s="16"/>
      <c r="N16" s="15" t="str">
        <f t="shared" si="5"/>
        <v/>
      </c>
      <c r="O16" s="16"/>
      <c r="P16" s="15" t="str">
        <f t="shared" si="6"/>
        <v/>
      </c>
      <c r="Q16" s="16" t="s">
        <v>694</v>
      </c>
      <c r="R16" s="17"/>
      <c r="S16" s="17"/>
      <c r="T16" s="17"/>
      <c r="U16" s="15" t="str">
        <f t="shared" si="7"/>
        <v>DR.HN.TC</v>
      </c>
      <c r="V16" s="18" t="str">
        <f t="shared" si="8"/>
        <v>e_DR.HN.TC_L1_EI120</v>
      </c>
      <c r="W16" s="19" t="str">
        <f t="shared" si="9"/>
        <v>DR-3xx_{W}x{H}</v>
      </c>
      <c r="X16" s="20" t="str">
        <f t="shared" si="10"/>
        <v>_src!$B$2</v>
      </c>
    </row>
    <row r="17" spans="1:24" x14ac:dyDescent="0.25">
      <c r="A17" s="13" t="s">
        <v>695</v>
      </c>
      <c r="B17" s="14" t="s">
        <v>92</v>
      </c>
      <c r="C17" s="15" t="str">
        <f t="shared" si="0"/>
        <v>e</v>
      </c>
      <c r="D17" s="16"/>
      <c r="E17" s="15" t="str">
        <f t="shared" si="1"/>
        <v/>
      </c>
      <c r="F17" s="14" t="s">
        <v>129</v>
      </c>
      <c r="G17" s="15" t="str">
        <f t="shared" si="2"/>
        <v>DR</v>
      </c>
      <c r="H17" s="14" t="s">
        <v>131</v>
      </c>
      <c r="I17" s="15" t="str">
        <f t="shared" si="3"/>
        <v>GN</v>
      </c>
      <c r="J17" s="14" t="s">
        <v>162</v>
      </c>
      <c r="K17" s="15" t="str">
        <f t="shared" si="4"/>
        <v>OP</v>
      </c>
      <c r="L17" s="14">
        <v>0</v>
      </c>
      <c r="M17" s="16"/>
      <c r="N17" s="15" t="str">
        <f t="shared" si="5"/>
        <v/>
      </c>
      <c r="O17" s="16"/>
      <c r="P17" s="15" t="str">
        <f t="shared" si="6"/>
        <v/>
      </c>
      <c r="Q17" s="16"/>
      <c r="R17" s="17"/>
      <c r="S17" s="17"/>
      <c r="T17" s="17"/>
      <c r="U17" s="15" t="str">
        <f t="shared" si="7"/>
        <v>DR.GN.OP</v>
      </c>
      <c r="V17" s="18" t="str">
        <f t="shared" si="8"/>
        <v>e_DR.GN.OP_L0</v>
      </c>
      <c r="W17" s="19" t="str">
        <f t="shared" si="9"/>
        <v>DR-5xx_{W}x{H}</v>
      </c>
      <c r="X17" s="20" t="str">
        <f t="shared" si="10"/>
        <v>_src!$B$2</v>
      </c>
    </row>
    <row r="18" spans="1:24" x14ac:dyDescent="0.25">
      <c r="A18" s="13" t="s">
        <v>696</v>
      </c>
      <c r="B18" s="14" t="s">
        <v>92</v>
      </c>
      <c r="C18" s="15" t="str">
        <f t="shared" si="0"/>
        <v>e</v>
      </c>
      <c r="D18" s="16"/>
      <c r="E18" s="15" t="str">
        <f t="shared" si="1"/>
        <v/>
      </c>
      <c r="F18" s="14" t="s">
        <v>129</v>
      </c>
      <c r="G18" s="15" t="str">
        <f t="shared" si="2"/>
        <v>DR</v>
      </c>
      <c r="H18" s="14" t="s">
        <v>103</v>
      </c>
      <c r="I18" s="15" t="str">
        <f t="shared" si="3"/>
        <v>CM</v>
      </c>
      <c r="J18" s="14" t="s">
        <v>169</v>
      </c>
      <c r="K18" s="15" t="str">
        <f t="shared" si="4"/>
        <v>OT</v>
      </c>
      <c r="L18" s="14"/>
      <c r="M18" s="16"/>
      <c r="N18" s="15" t="str">
        <f t="shared" si="5"/>
        <v/>
      </c>
      <c r="O18" s="16"/>
      <c r="P18" s="15" t="str">
        <f t="shared" si="6"/>
        <v/>
      </c>
      <c r="Q18" s="16"/>
      <c r="R18" s="17" t="s">
        <v>697</v>
      </c>
      <c r="S18" s="17"/>
      <c r="T18" s="17" t="s">
        <v>698</v>
      </c>
      <c r="U18" s="15" t="str">
        <f t="shared" si="7"/>
        <v>DR.CM.OT</v>
      </c>
      <c r="V18" s="18" t="str">
        <f t="shared" si="8"/>
        <v>e_DR.CM.OT_Hafele_Handle</v>
      </c>
      <c r="W18" s="19" t="str">
        <f t="shared" si="9"/>
        <v>DR-9xx_{W}x{H}</v>
      </c>
      <c r="X18" s="20" t="str">
        <f t="shared" si="10"/>
        <v>_src!$B$2</v>
      </c>
    </row>
    <row r="19" spans="1:24" x14ac:dyDescent="0.25">
      <c r="A19" s="13" t="s">
        <v>699</v>
      </c>
      <c r="B19" s="14" t="s">
        <v>92</v>
      </c>
      <c r="C19" s="15" t="str">
        <f t="shared" si="0"/>
        <v>e</v>
      </c>
      <c r="D19" s="16" t="s">
        <v>97</v>
      </c>
      <c r="E19" s="15" t="str">
        <f t="shared" si="1"/>
        <v>(I)</v>
      </c>
      <c r="F19" s="14" t="s">
        <v>129</v>
      </c>
      <c r="G19" s="15" t="str">
        <f t="shared" si="2"/>
        <v>DR</v>
      </c>
      <c r="H19" s="14" t="s">
        <v>138</v>
      </c>
      <c r="I19" s="15" t="str">
        <f t="shared" si="3"/>
        <v>HN</v>
      </c>
      <c r="J19" s="14" t="s">
        <v>134</v>
      </c>
      <c r="K19" s="15" t="str">
        <f t="shared" si="4"/>
        <v>IN</v>
      </c>
      <c r="L19" s="14">
        <v>1</v>
      </c>
      <c r="M19" s="16"/>
      <c r="N19" s="15" t="str">
        <f t="shared" si="5"/>
        <v/>
      </c>
      <c r="O19" s="16"/>
      <c r="P19" s="15" t="str">
        <f t="shared" si="6"/>
        <v/>
      </c>
      <c r="Q19" s="16"/>
      <c r="R19" s="17"/>
      <c r="S19" s="17"/>
      <c r="T19" s="17"/>
      <c r="U19" s="15" t="str">
        <f t="shared" si="7"/>
        <v>DR.HN.IN</v>
      </c>
      <c r="V19" s="18" t="str">
        <f t="shared" si="8"/>
        <v>e_(I)DR.HN.IN_L1</v>
      </c>
      <c r="W19" s="19" t="str">
        <f t="shared" si="9"/>
        <v>DR-1xx_{W}x{H}</v>
      </c>
      <c r="X19" s="20" t="str">
        <f t="shared" si="10"/>
        <v>_src!$B$2</v>
      </c>
    </row>
    <row r="20" spans="1:24" x14ac:dyDescent="0.25">
      <c r="A20" s="21">
        <v>1</v>
      </c>
      <c r="B20" s="22"/>
      <c r="C20" s="23" t="str">
        <f t="shared" si="0"/>
        <v/>
      </c>
      <c r="D20" s="24"/>
      <c r="E20" s="23" t="str">
        <f t="shared" si="1"/>
        <v/>
      </c>
      <c r="F20" s="22"/>
      <c r="G20" s="23" t="str">
        <f t="shared" si="2"/>
        <v/>
      </c>
      <c r="H20" s="22"/>
      <c r="I20" s="23" t="str">
        <f t="shared" si="3"/>
        <v/>
      </c>
      <c r="J20" s="22"/>
      <c r="K20" s="23" t="str">
        <f t="shared" si="4"/>
        <v/>
      </c>
      <c r="L20" s="22"/>
      <c r="M20" s="24"/>
      <c r="N20" s="23" t="str">
        <f t="shared" si="5"/>
        <v/>
      </c>
      <c r="O20" s="24"/>
      <c r="P20" s="23" t="str">
        <f t="shared" si="6"/>
        <v/>
      </c>
      <c r="Q20" s="24"/>
      <c r="R20" s="25"/>
      <c r="S20" s="25"/>
      <c r="T20" s="25"/>
      <c r="U20" s="23" t="str">
        <f t="shared" si="7"/>
        <v/>
      </c>
      <c r="V20" s="26" t="str">
        <f t="shared" si="8"/>
        <v/>
      </c>
      <c r="W20" s="27" t="str">
        <f t="shared" si="9"/>
        <v/>
      </c>
      <c r="X20" s="20" t="str">
        <f t="shared" si="10"/>
        <v>_src!$B$2</v>
      </c>
    </row>
    <row r="21" spans="1:24" x14ac:dyDescent="0.25">
      <c r="A21" s="21">
        <v>2</v>
      </c>
      <c r="B21" s="22"/>
      <c r="C21" s="23" t="str">
        <f t="shared" si="0"/>
        <v/>
      </c>
      <c r="D21" s="24"/>
      <c r="E21" s="23" t="str">
        <f t="shared" si="1"/>
        <v/>
      </c>
      <c r="F21" s="22"/>
      <c r="G21" s="23" t="str">
        <f t="shared" si="2"/>
        <v/>
      </c>
      <c r="H21" s="22"/>
      <c r="I21" s="23" t="str">
        <f t="shared" si="3"/>
        <v/>
      </c>
      <c r="J21" s="22"/>
      <c r="K21" s="23" t="str">
        <f t="shared" si="4"/>
        <v/>
      </c>
      <c r="L21" s="22"/>
      <c r="M21" s="24"/>
      <c r="N21" s="23" t="str">
        <f t="shared" si="5"/>
        <v/>
      </c>
      <c r="O21" s="24"/>
      <c r="P21" s="23" t="str">
        <f t="shared" si="6"/>
        <v/>
      </c>
      <c r="Q21" s="24"/>
      <c r="R21" s="25"/>
      <c r="S21" s="25"/>
      <c r="T21" s="25"/>
      <c r="U21" s="23" t="str">
        <f t="shared" si="7"/>
        <v/>
      </c>
      <c r="V21" s="26" t="str">
        <f t="shared" si="8"/>
        <v/>
      </c>
      <c r="W21" s="27" t="str">
        <f t="shared" si="9"/>
        <v/>
      </c>
      <c r="X21" s="20" t="str">
        <f t="shared" si="10"/>
        <v>_src!$B$2</v>
      </c>
    </row>
    <row r="22" spans="1:24" x14ac:dyDescent="0.25">
      <c r="A22" s="21">
        <v>3</v>
      </c>
      <c r="B22" s="22"/>
      <c r="C22" s="23" t="str">
        <f t="shared" si="0"/>
        <v/>
      </c>
      <c r="D22" s="24"/>
      <c r="E22" s="23" t="str">
        <f t="shared" si="1"/>
        <v/>
      </c>
      <c r="F22" s="22"/>
      <c r="G22" s="23" t="str">
        <f t="shared" si="2"/>
        <v/>
      </c>
      <c r="H22" s="22"/>
      <c r="I22" s="23" t="str">
        <f t="shared" si="3"/>
        <v/>
      </c>
      <c r="J22" s="22"/>
      <c r="K22" s="23" t="str">
        <f t="shared" si="4"/>
        <v/>
      </c>
      <c r="L22" s="22"/>
      <c r="M22" s="24"/>
      <c r="N22" s="23" t="str">
        <f t="shared" si="5"/>
        <v/>
      </c>
      <c r="O22" s="24"/>
      <c r="P22" s="23" t="str">
        <f t="shared" si="6"/>
        <v/>
      </c>
      <c r="Q22" s="24"/>
      <c r="R22" s="25"/>
      <c r="S22" s="25"/>
      <c r="T22" s="25"/>
      <c r="U22" s="23" t="str">
        <f t="shared" si="7"/>
        <v/>
      </c>
      <c r="V22" s="26" t="str">
        <f t="shared" si="8"/>
        <v/>
      </c>
      <c r="W22" s="27" t="str">
        <f t="shared" si="9"/>
        <v/>
      </c>
      <c r="X22" s="20" t="str">
        <f t="shared" si="10"/>
        <v>_src!$B$2</v>
      </c>
    </row>
    <row r="23" spans="1:24" x14ac:dyDescent="0.25">
      <c r="A23" s="21">
        <v>4</v>
      </c>
      <c r="B23" s="22"/>
      <c r="C23" s="23" t="str">
        <f t="shared" si="0"/>
        <v/>
      </c>
      <c r="D23" s="24"/>
      <c r="E23" s="23" t="str">
        <f t="shared" si="1"/>
        <v/>
      </c>
      <c r="F23" s="22"/>
      <c r="G23" s="23" t="str">
        <f t="shared" si="2"/>
        <v/>
      </c>
      <c r="H23" s="22"/>
      <c r="I23" s="23" t="str">
        <f t="shared" si="3"/>
        <v/>
      </c>
      <c r="J23" s="22"/>
      <c r="K23" s="23" t="str">
        <f t="shared" si="4"/>
        <v/>
      </c>
      <c r="L23" s="22"/>
      <c r="M23" s="24"/>
      <c r="N23" s="23" t="str">
        <f t="shared" si="5"/>
        <v/>
      </c>
      <c r="O23" s="24"/>
      <c r="P23" s="23" t="str">
        <f t="shared" si="6"/>
        <v/>
      </c>
      <c r="Q23" s="24"/>
      <c r="R23" s="25"/>
      <c r="S23" s="25"/>
      <c r="T23" s="25"/>
      <c r="U23" s="23" t="str">
        <f t="shared" si="7"/>
        <v/>
      </c>
      <c r="V23" s="26" t="str">
        <f t="shared" si="8"/>
        <v/>
      </c>
      <c r="W23" s="27" t="str">
        <f t="shared" si="9"/>
        <v/>
      </c>
      <c r="X23" s="20" t="str">
        <f t="shared" si="10"/>
        <v>_src!$B$2</v>
      </c>
    </row>
    <row r="24" spans="1:24" x14ac:dyDescent="0.25">
      <c r="A24" s="21">
        <v>5</v>
      </c>
      <c r="B24" s="22"/>
      <c r="C24" s="23" t="str">
        <f t="shared" si="0"/>
        <v/>
      </c>
      <c r="D24" s="24"/>
      <c r="E24" s="23" t="str">
        <f t="shared" si="1"/>
        <v/>
      </c>
      <c r="F24" s="22"/>
      <c r="G24" s="23" t="str">
        <f t="shared" si="2"/>
        <v/>
      </c>
      <c r="H24" s="22"/>
      <c r="I24" s="23" t="str">
        <f t="shared" si="3"/>
        <v/>
      </c>
      <c r="J24" s="22"/>
      <c r="K24" s="23" t="str">
        <f t="shared" si="4"/>
        <v/>
      </c>
      <c r="L24" s="22"/>
      <c r="M24" s="24"/>
      <c r="N24" s="23" t="str">
        <f t="shared" si="5"/>
        <v/>
      </c>
      <c r="O24" s="24"/>
      <c r="P24" s="23" t="str">
        <f t="shared" si="6"/>
        <v/>
      </c>
      <c r="Q24" s="24"/>
      <c r="R24" s="25"/>
      <c r="S24" s="25"/>
      <c r="T24" s="25"/>
      <c r="U24" s="23" t="str">
        <f t="shared" si="7"/>
        <v/>
      </c>
      <c r="V24" s="26" t="str">
        <f t="shared" si="8"/>
        <v/>
      </c>
      <c r="W24" s="27" t="str">
        <f t="shared" si="9"/>
        <v/>
      </c>
      <c r="X24" s="20" t="str">
        <f t="shared" si="10"/>
        <v>_src!$B$2</v>
      </c>
    </row>
    <row r="25" spans="1:24" x14ac:dyDescent="0.25">
      <c r="A25" s="21">
        <v>6</v>
      </c>
      <c r="B25" s="22"/>
      <c r="C25" s="23" t="str">
        <f t="shared" si="0"/>
        <v/>
      </c>
      <c r="D25" s="24"/>
      <c r="E25" s="23" t="str">
        <f t="shared" si="1"/>
        <v/>
      </c>
      <c r="F25" s="22"/>
      <c r="G25" s="23" t="str">
        <f t="shared" si="2"/>
        <v/>
      </c>
      <c r="H25" s="22"/>
      <c r="I25" s="23" t="str">
        <f t="shared" si="3"/>
        <v/>
      </c>
      <c r="J25" s="22"/>
      <c r="K25" s="23" t="str">
        <f t="shared" si="4"/>
        <v/>
      </c>
      <c r="L25" s="22"/>
      <c r="M25" s="24"/>
      <c r="N25" s="23" t="str">
        <f t="shared" si="5"/>
        <v/>
      </c>
      <c r="O25" s="24"/>
      <c r="P25" s="23" t="str">
        <f t="shared" si="6"/>
        <v/>
      </c>
      <c r="Q25" s="24"/>
      <c r="R25" s="25"/>
      <c r="S25" s="25"/>
      <c r="T25" s="25"/>
      <c r="U25" s="23" t="str">
        <f t="shared" si="7"/>
        <v/>
      </c>
      <c r="V25" s="26" t="str">
        <f t="shared" si="8"/>
        <v/>
      </c>
      <c r="W25" s="27" t="str">
        <f t="shared" si="9"/>
        <v/>
      </c>
      <c r="X25" s="20" t="str">
        <f t="shared" si="10"/>
        <v>_src!$B$2</v>
      </c>
    </row>
    <row r="26" spans="1:24" x14ac:dyDescent="0.25">
      <c r="A26" s="21">
        <v>7</v>
      </c>
      <c r="B26" s="22"/>
      <c r="C26" s="23" t="str">
        <f t="shared" si="0"/>
        <v/>
      </c>
      <c r="D26" s="24"/>
      <c r="E26" s="23" t="str">
        <f t="shared" si="1"/>
        <v/>
      </c>
      <c r="F26" s="22"/>
      <c r="G26" s="23" t="str">
        <f t="shared" si="2"/>
        <v/>
      </c>
      <c r="H26" s="22"/>
      <c r="I26" s="23" t="str">
        <f t="shared" si="3"/>
        <v/>
      </c>
      <c r="J26" s="22"/>
      <c r="K26" s="23" t="str">
        <f t="shared" si="4"/>
        <v/>
      </c>
      <c r="L26" s="22"/>
      <c r="M26" s="24"/>
      <c r="N26" s="23" t="str">
        <f t="shared" si="5"/>
        <v/>
      </c>
      <c r="O26" s="24"/>
      <c r="P26" s="23" t="str">
        <f t="shared" si="6"/>
        <v/>
      </c>
      <c r="Q26" s="24"/>
      <c r="R26" s="25"/>
      <c r="S26" s="25"/>
      <c r="T26" s="25"/>
      <c r="U26" s="23" t="str">
        <f t="shared" si="7"/>
        <v/>
      </c>
      <c r="V26" s="26" t="str">
        <f t="shared" si="8"/>
        <v/>
      </c>
      <c r="W26" s="27" t="str">
        <f t="shared" si="9"/>
        <v/>
      </c>
      <c r="X26" s="20" t="str">
        <f t="shared" si="10"/>
        <v>_src!$B$2</v>
      </c>
    </row>
    <row r="27" spans="1:24" x14ac:dyDescent="0.25">
      <c r="A27" s="21">
        <v>8</v>
      </c>
      <c r="B27" s="22"/>
      <c r="C27" s="23" t="str">
        <f t="shared" si="0"/>
        <v/>
      </c>
      <c r="D27" s="24"/>
      <c r="E27" s="23" t="str">
        <f t="shared" si="1"/>
        <v/>
      </c>
      <c r="F27" s="22"/>
      <c r="G27" s="23" t="str">
        <f t="shared" si="2"/>
        <v/>
      </c>
      <c r="H27" s="22"/>
      <c r="I27" s="23" t="str">
        <f t="shared" si="3"/>
        <v/>
      </c>
      <c r="J27" s="22"/>
      <c r="K27" s="23" t="str">
        <f t="shared" si="4"/>
        <v/>
      </c>
      <c r="L27" s="22"/>
      <c r="M27" s="24"/>
      <c r="N27" s="23" t="str">
        <f t="shared" si="5"/>
        <v/>
      </c>
      <c r="O27" s="24"/>
      <c r="P27" s="23" t="str">
        <f t="shared" si="6"/>
        <v/>
      </c>
      <c r="Q27" s="24"/>
      <c r="R27" s="25"/>
      <c r="S27" s="25"/>
      <c r="T27" s="25"/>
      <c r="U27" s="23" t="str">
        <f t="shared" si="7"/>
        <v/>
      </c>
      <c r="V27" s="26" t="str">
        <f t="shared" si="8"/>
        <v/>
      </c>
      <c r="W27" s="27" t="str">
        <f t="shared" si="9"/>
        <v/>
      </c>
      <c r="X27" s="20" t="str">
        <f t="shared" si="10"/>
        <v>_src!$B$2</v>
      </c>
    </row>
    <row r="28" spans="1:24" x14ac:dyDescent="0.25">
      <c r="A28" s="21">
        <v>9</v>
      </c>
      <c r="B28" s="22"/>
      <c r="C28" s="23" t="str">
        <f t="shared" si="0"/>
        <v/>
      </c>
      <c r="D28" s="24"/>
      <c r="E28" s="23" t="str">
        <f t="shared" si="1"/>
        <v/>
      </c>
      <c r="F28" s="22"/>
      <c r="G28" s="23" t="str">
        <f t="shared" si="2"/>
        <v/>
      </c>
      <c r="H28" s="22"/>
      <c r="I28" s="23" t="str">
        <f t="shared" si="3"/>
        <v/>
      </c>
      <c r="J28" s="22"/>
      <c r="K28" s="23" t="str">
        <f t="shared" si="4"/>
        <v/>
      </c>
      <c r="L28" s="22"/>
      <c r="M28" s="24"/>
      <c r="N28" s="23" t="str">
        <f t="shared" si="5"/>
        <v/>
      </c>
      <c r="O28" s="24"/>
      <c r="P28" s="23" t="str">
        <f t="shared" si="6"/>
        <v/>
      </c>
      <c r="Q28" s="24"/>
      <c r="R28" s="25"/>
      <c r="S28" s="25"/>
      <c r="T28" s="25"/>
      <c r="U28" s="23" t="str">
        <f t="shared" si="7"/>
        <v/>
      </c>
      <c r="V28" s="26" t="str">
        <f t="shared" si="8"/>
        <v/>
      </c>
      <c r="W28" s="27" t="str">
        <f t="shared" si="9"/>
        <v/>
      </c>
      <c r="X28" s="20" t="str">
        <f t="shared" si="10"/>
        <v>_src!$B$2</v>
      </c>
    </row>
    <row r="29" spans="1:24" x14ac:dyDescent="0.25">
      <c r="A29" s="21">
        <v>10</v>
      </c>
      <c r="B29" s="22"/>
      <c r="C29" s="23" t="str">
        <f t="shared" si="0"/>
        <v/>
      </c>
      <c r="D29" s="24"/>
      <c r="E29" s="23" t="str">
        <f t="shared" si="1"/>
        <v/>
      </c>
      <c r="F29" s="22"/>
      <c r="G29" s="23" t="str">
        <f t="shared" si="2"/>
        <v/>
      </c>
      <c r="H29" s="22"/>
      <c r="I29" s="23" t="str">
        <f t="shared" si="3"/>
        <v/>
      </c>
      <c r="J29" s="22"/>
      <c r="K29" s="23" t="str">
        <f t="shared" si="4"/>
        <v/>
      </c>
      <c r="L29" s="22"/>
      <c r="M29" s="24"/>
      <c r="N29" s="23" t="str">
        <f t="shared" si="5"/>
        <v/>
      </c>
      <c r="O29" s="24"/>
      <c r="P29" s="23" t="str">
        <f t="shared" si="6"/>
        <v/>
      </c>
      <c r="Q29" s="24"/>
      <c r="R29" s="25"/>
      <c r="S29" s="25"/>
      <c r="T29" s="25"/>
      <c r="U29" s="23" t="str">
        <f t="shared" si="7"/>
        <v/>
      </c>
      <c r="V29" s="26" t="str">
        <f t="shared" si="8"/>
        <v/>
      </c>
      <c r="W29" s="27" t="str">
        <f t="shared" si="9"/>
        <v/>
      </c>
      <c r="X29" s="20" t="str">
        <f t="shared" si="10"/>
        <v>_src!$B$2</v>
      </c>
    </row>
    <row r="30" spans="1:24" x14ac:dyDescent="0.25">
      <c r="A30" s="21">
        <v>11</v>
      </c>
      <c r="B30" s="22"/>
      <c r="C30" s="23" t="str">
        <f t="shared" si="0"/>
        <v/>
      </c>
      <c r="D30" s="24"/>
      <c r="E30" s="23" t="str">
        <f t="shared" si="1"/>
        <v/>
      </c>
      <c r="F30" s="22"/>
      <c r="G30" s="23" t="str">
        <f t="shared" si="2"/>
        <v/>
      </c>
      <c r="H30" s="22"/>
      <c r="I30" s="23" t="str">
        <f t="shared" si="3"/>
        <v/>
      </c>
      <c r="J30" s="22"/>
      <c r="K30" s="23" t="str">
        <f t="shared" si="4"/>
        <v/>
      </c>
      <c r="L30" s="22"/>
      <c r="M30" s="24"/>
      <c r="N30" s="23" t="str">
        <f t="shared" si="5"/>
        <v/>
      </c>
      <c r="O30" s="24"/>
      <c r="P30" s="23" t="str">
        <f t="shared" si="6"/>
        <v/>
      </c>
      <c r="Q30" s="24"/>
      <c r="R30" s="25"/>
      <c r="S30" s="25"/>
      <c r="T30" s="25"/>
      <c r="U30" s="23" t="str">
        <f t="shared" si="7"/>
        <v/>
      </c>
      <c r="V30" s="26" t="str">
        <f t="shared" si="8"/>
        <v/>
      </c>
      <c r="W30" s="27" t="str">
        <f t="shared" si="9"/>
        <v/>
      </c>
      <c r="X30" s="20" t="str">
        <f t="shared" si="10"/>
        <v>_src!$B$2</v>
      </c>
    </row>
    <row r="31" spans="1:24" x14ac:dyDescent="0.25">
      <c r="A31" s="21">
        <v>12</v>
      </c>
      <c r="B31" s="22"/>
      <c r="C31" s="23" t="str">
        <f t="shared" si="0"/>
        <v/>
      </c>
      <c r="D31" s="24"/>
      <c r="E31" s="23" t="str">
        <f t="shared" si="1"/>
        <v/>
      </c>
      <c r="F31" s="22"/>
      <c r="G31" s="23" t="str">
        <f t="shared" si="2"/>
        <v/>
      </c>
      <c r="H31" s="22"/>
      <c r="I31" s="23" t="str">
        <f t="shared" si="3"/>
        <v/>
      </c>
      <c r="J31" s="22"/>
      <c r="K31" s="23" t="str">
        <f t="shared" si="4"/>
        <v/>
      </c>
      <c r="L31" s="22"/>
      <c r="M31" s="24"/>
      <c r="N31" s="23" t="str">
        <f t="shared" si="5"/>
        <v/>
      </c>
      <c r="O31" s="24"/>
      <c r="P31" s="23" t="str">
        <f t="shared" si="6"/>
        <v/>
      </c>
      <c r="Q31" s="24"/>
      <c r="R31" s="25"/>
      <c r="S31" s="25"/>
      <c r="T31" s="25"/>
      <c r="U31" s="23" t="str">
        <f t="shared" si="7"/>
        <v/>
      </c>
      <c r="V31" s="26" t="str">
        <f t="shared" si="8"/>
        <v/>
      </c>
      <c r="W31" s="27" t="str">
        <f t="shared" si="9"/>
        <v/>
      </c>
      <c r="X31" s="20" t="str">
        <f t="shared" si="10"/>
        <v>_src!$B$2</v>
      </c>
    </row>
    <row r="32" spans="1:24" x14ac:dyDescent="0.25">
      <c r="A32" s="21">
        <v>13</v>
      </c>
      <c r="B32" s="22"/>
      <c r="C32" s="23" t="str">
        <f t="shared" si="0"/>
        <v/>
      </c>
      <c r="D32" s="24"/>
      <c r="E32" s="23" t="str">
        <f t="shared" si="1"/>
        <v/>
      </c>
      <c r="F32" s="22"/>
      <c r="G32" s="23" t="str">
        <f t="shared" si="2"/>
        <v/>
      </c>
      <c r="H32" s="22"/>
      <c r="I32" s="23" t="str">
        <f t="shared" si="3"/>
        <v/>
      </c>
      <c r="J32" s="22"/>
      <c r="K32" s="23" t="str">
        <f t="shared" si="4"/>
        <v/>
      </c>
      <c r="L32" s="22"/>
      <c r="M32" s="24"/>
      <c r="N32" s="23" t="str">
        <f t="shared" si="5"/>
        <v/>
      </c>
      <c r="O32" s="24"/>
      <c r="P32" s="23" t="str">
        <f t="shared" si="6"/>
        <v/>
      </c>
      <c r="Q32" s="24"/>
      <c r="R32" s="25"/>
      <c r="S32" s="25"/>
      <c r="T32" s="25"/>
      <c r="U32" s="23" t="str">
        <f t="shared" si="7"/>
        <v/>
      </c>
      <c r="V32" s="26" t="str">
        <f t="shared" si="8"/>
        <v/>
      </c>
      <c r="W32" s="27" t="str">
        <f t="shared" si="9"/>
        <v/>
      </c>
      <c r="X32" s="20" t="str">
        <f t="shared" si="10"/>
        <v>_src!$B$2</v>
      </c>
    </row>
    <row r="33" spans="1:24" x14ac:dyDescent="0.25">
      <c r="A33" s="21">
        <v>14</v>
      </c>
      <c r="B33" s="22"/>
      <c r="C33" s="23" t="str">
        <f t="shared" si="0"/>
        <v/>
      </c>
      <c r="D33" s="24"/>
      <c r="E33" s="23" t="str">
        <f t="shared" si="1"/>
        <v/>
      </c>
      <c r="F33" s="22"/>
      <c r="G33" s="23" t="str">
        <f t="shared" si="2"/>
        <v/>
      </c>
      <c r="H33" s="22"/>
      <c r="I33" s="23" t="str">
        <f t="shared" si="3"/>
        <v/>
      </c>
      <c r="J33" s="22"/>
      <c r="K33" s="23" t="str">
        <f t="shared" si="4"/>
        <v/>
      </c>
      <c r="L33" s="22"/>
      <c r="M33" s="24"/>
      <c r="N33" s="23" t="str">
        <f t="shared" si="5"/>
        <v/>
      </c>
      <c r="O33" s="24"/>
      <c r="P33" s="23" t="str">
        <f t="shared" si="6"/>
        <v/>
      </c>
      <c r="Q33" s="24"/>
      <c r="R33" s="25"/>
      <c r="S33" s="25"/>
      <c r="T33" s="25"/>
      <c r="U33" s="23" t="str">
        <f t="shared" si="7"/>
        <v/>
      </c>
      <c r="V33" s="26" t="str">
        <f t="shared" si="8"/>
        <v/>
      </c>
      <c r="W33" s="27" t="str">
        <f t="shared" si="9"/>
        <v/>
      </c>
      <c r="X33" s="20" t="str">
        <f t="shared" si="10"/>
        <v>_src!$B$2</v>
      </c>
    </row>
    <row r="34" spans="1:24" x14ac:dyDescent="0.25">
      <c r="A34" s="21">
        <v>15</v>
      </c>
      <c r="B34" s="22"/>
      <c r="C34" s="23" t="str">
        <f t="shared" si="0"/>
        <v/>
      </c>
      <c r="D34" s="24"/>
      <c r="E34" s="23" t="str">
        <f t="shared" si="1"/>
        <v/>
      </c>
      <c r="F34" s="22"/>
      <c r="G34" s="23" t="str">
        <f t="shared" si="2"/>
        <v/>
      </c>
      <c r="H34" s="22"/>
      <c r="I34" s="23" t="str">
        <f t="shared" si="3"/>
        <v/>
      </c>
      <c r="J34" s="22"/>
      <c r="K34" s="23" t="str">
        <f t="shared" si="4"/>
        <v/>
      </c>
      <c r="L34" s="22"/>
      <c r="M34" s="24"/>
      <c r="N34" s="23" t="str">
        <f t="shared" si="5"/>
        <v/>
      </c>
      <c r="O34" s="24"/>
      <c r="P34" s="23" t="str">
        <f t="shared" si="6"/>
        <v/>
      </c>
      <c r="Q34" s="24"/>
      <c r="R34" s="25"/>
      <c r="S34" s="25"/>
      <c r="T34" s="25"/>
      <c r="U34" s="23" t="str">
        <f t="shared" si="7"/>
        <v/>
      </c>
      <c r="V34" s="26" t="str">
        <f t="shared" si="8"/>
        <v/>
      </c>
      <c r="W34" s="27" t="str">
        <f t="shared" si="9"/>
        <v/>
      </c>
      <c r="X34" s="20" t="str">
        <f t="shared" si="10"/>
        <v>_src!$B$2</v>
      </c>
    </row>
    <row r="37" spans="1:24" ht="21.95" customHeight="1" x14ac:dyDescent="0.25">
      <c r="A37" s="41" t="s">
        <v>700</v>
      </c>
      <c r="B37" s="42"/>
      <c r="C37" s="42"/>
      <c r="D37" s="42"/>
      <c r="E37" s="42"/>
      <c r="F37" s="42"/>
      <c r="G37" s="42"/>
      <c r="H37" s="42"/>
      <c r="I37" s="42"/>
      <c r="J37" s="42"/>
      <c r="K37" s="42"/>
      <c r="L37" s="42"/>
      <c r="M37" s="42"/>
      <c r="N37" s="42"/>
      <c r="O37" s="42"/>
      <c r="P37" s="42"/>
      <c r="Q37" s="42"/>
      <c r="R37" s="42"/>
      <c r="S37" s="42"/>
      <c r="T37" s="42"/>
      <c r="U37" s="42"/>
      <c r="V37" s="42"/>
      <c r="W37" s="42"/>
    </row>
    <row r="39" spans="1:24" ht="24" customHeight="1" x14ac:dyDescent="0.25">
      <c r="A39" s="44" t="s">
        <v>701</v>
      </c>
      <c r="B39" s="33"/>
      <c r="C39" s="33"/>
      <c r="D39" s="33"/>
      <c r="E39" s="33"/>
      <c r="F39" s="33"/>
      <c r="G39" s="33"/>
      <c r="H39" s="33"/>
      <c r="I39" s="33"/>
      <c r="J39" s="33"/>
      <c r="K39" s="33"/>
      <c r="L39" s="33"/>
      <c r="M39" s="33"/>
      <c r="N39" s="33"/>
      <c r="O39" s="33"/>
      <c r="P39" s="33"/>
      <c r="Q39" s="33"/>
      <c r="R39" s="33"/>
      <c r="S39" s="33"/>
      <c r="T39" s="33"/>
      <c r="U39" s="33"/>
      <c r="V39" s="33"/>
      <c r="W39" s="33"/>
    </row>
    <row r="40" spans="1:24" ht="36" customHeight="1" x14ac:dyDescent="0.25">
      <c r="A40" s="40" t="s">
        <v>702</v>
      </c>
      <c r="B40" s="33"/>
      <c r="C40" s="33"/>
      <c r="D40" s="33"/>
      <c r="E40" s="33"/>
      <c r="F40" s="33"/>
      <c r="G40" s="33"/>
      <c r="H40" s="33"/>
      <c r="I40" s="33"/>
      <c r="J40" s="33"/>
      <c r="K40" s="33"/>
      <c r="L40" s="33"/>
      <c r="M40" s="33"/>
      <c r="N40" s="33"/>
      <c r="O40" s="33"/>
      <c r="P40" s="33"/>
      <c r="Q40" s="33"/>
      <c r="R40" s="33"/>
      <c r="S40" s="33"/>
      <c r="T40" s="33"/>
      <c r="U40" s="33"/>
      <c r="V40" s="33"/>
      <c r="W40" s="33"/>
    </row>
    <row r="42" spans="1:24" ht="18" customHeight="1" x14ac:dyDescent="0.25">
      <c r="A42" s="43" t="s">
        <v>703</v>
      </c>
      <c r="B42" s="33"/>
      <c r="C42" s="33"/>
      <c r="D42" s="33"/>
      <c r="E42" s="33"/>
      <c r="F42" s="33"/>
      <c r="G42" s="33"/>
      <c r="H42" s="33"/>
      <c r="I42" s="33"/>
      <c r="J42" s="33"/>
      <c r="K42" s="33"/>
      <c r="L42" s="33"/>
      <c r="M42" s="33"/>
      <c r="N42" s="33"/>
      <c r="O42" s="33"/>
      <c r="P42" s="33"/>
      <c r="Q42" s="33"/>
      <c r="R42" s="33"/>
      <c r="S42" s="33"/>
      <c r="T42" s="33"/>
      <c r="U42" s="33"/>
      <c r="V42" s="33"/>
      <c r="W42" s="33"/>
    </row>
    <row r="43" spans="1:24" ht="21" customHeight="1" x14ac:dyDescent="0.25">
      <c r="A43" s="40" t="s">
        <v>704</v>
      </c>
      <c r="B43" s="33"/>
      <c r="C43" s="33"/>
      <c r="D43" s="33"/>
      <c r="E43" s="33"/>
      <c r="F43" s="33"/>
      <c r="G43" s="33"/>
      <c r="H43" s="33"/>
      <c r="I43" s="33"/>
      <c r="J43" s="33"/>
      <c r="K43" s="33"/>
      <c r="L43" s="33"/>
      <c r="M43" s="33"/>
      <c r="N43" s="33"/>
      <c r="O43" s="33"/>
      <c r="P43" s="33"/>
      <c r="Q43" s="33"/>
      <c r="R43" s="33"/>
      <c r="S43" s="33"/>
      <c r="T43" s="33"/>
      <c r="U43" s="33"/>
      <c r="V43" s="33"/>
      <c r="W43" s="33"/>
    </row>
    <row r="46" spans="1:24" ht="21.95" customHeight="1" x14ac:dyDescent="0.25">
      <c r="A46" s="41" t="s">
        <v>705</v>
      </c>
      <c r="B46" s="42"/>
      <c r="C46" s="42"/>
      <c r="D46" s="42"/>
      <c r="E46" s="42"/>
      <c r="F46" s="42"/>
      <c r="G46" s="42"/>
      <c r="H46" s="42"/>
      <c r="I46" s="42"/>
      <c r="J46" s="42"/>
      <c r="K46" s="42"/>
      <c r="L46" s="42"/>
      <c r="M46" s="42"/>
      <c r="N46" s="42"/>
      <c r="O46" s="42"/>
      <c r="P46" s="42"/>
      <c r="Q46" s="42"/>
      <c r="R46" s="42"/>
      <c r="S46" s="42"/>
      <c r="T46" s="42"/>
      <c r="U46" s="42"/>
      <c r="V46" s="42"/>
      <c r="W46" s="42"/>
    </row>
    <row r="47" spans="1:24" ht="15.95" customHeight="1" x14ac:dyDescent="0.25">
      <c r="A47" s="39" t="s">
        <v>706</v>
      </c>
      <c r="B47" s="33"/>
      <c r="C47" s="33"/>
      <c r="D47" s="33"/>
      <c r="E47" s="33"/>
      <c r="F47" s="33"/>
      <c r="G47" s="33"/>
      <c r="H47" s="33"/>
      <c r="I47" s="33"/>
      <c r="J47" s="33"/>
      <c r="K47" s="33"/>
      <c r="L47" s="33"/>
      <c r="M47" s="33"/>
      <c r="N47" s="33"/>
      <c r="O47" s="33"/>
      <c r="P47" s="33"/>
      <c r="Q47" s="33"/>
      <c r="R47" s="33"/>
      <c r="S47" s="33"/>
      <c r="T47" s="33"/>
      <c r="U47" s="33"/>
      <c r="V47" s="33"/>
      <c r="W47" s="33"/>
    </row>
    <row r="49" spans="1:23" ht="18" customHeight="1" x14ac:dyDescent="0.25">
      <c r="A49" s="43" t="s">
        <v>707</v>
      </c>
      <c r="B49" s="33"/>
      <c r="C49" s="33"/>
      <c r="D49" s="33"/>
      <c r="E49" s="33"/>
      <c r="F49" s="33"/>
      <c r="G49" s="33"/>
      <c r="H49" s="33"/>
      <c r="I49" s="33"/>
      <c r="J49" s="33"/>
      <c r="K49" s="33"/>
      <c r="L49" s="33"/>
      <c r="M49" s="33"/>
      <c r="N49" s="33"/>
      <c r="O49" s="33"/>
      <c r="P49" s="33"/>
      <c r="Q49" s="33"/>
      <c r="R49" s="33"/>
      <c r="S49" s="33"/>
      <c r="T49" s="33"/>
      <c r="U49" s="33"/>
      <c r="V49" s="33"/>
      <c r="W49" s="33"/>
    </row>
    <row r="50" spans="1:23" ht="21" customHeight="1" x14ac:dyDescent="0.25">
      <c r="A50" s="40" t="s">
        <v>708</v>
      </c>
      <c r="B50" s="33"/>
      <c r="C50" s="33"/>
      <c r="D50" s="33"/>
      <c r="E50" s="33"/>
      <c r="F50" s="33"/>
      <c r="G50" s="33"/>
      <c r="H50" s="33"/>
      <c r="I50" s="33"/>
      <c r="J50" s="33"/>
      <c r="K50" s="33"/>
      <c r="L50" s="33"/>
      <c r="M50" s="33"/>
      <c r="N50" s="33"/>
      <c r="O50" s="33"/>
      <c r="P50" s="33"/>
      <c r="Q50" s="33"/>
      <c r="R50" s="33"/>
      <c r="S50" s="33"/>
      <c r="T50" s="33"/>
      <c r="U50" s="33"/>
      <c r="V50" s="33"/>
      <c r="W50" s="33"/>
    </row>
    <row r="51" spans="1:23" ht="6" customHeight="1" x14ac:dyDescent="0.25"/>
    <row r="52" spans="1:23" ht="18" customHeight="1" x14ac:dyDescent="0.25">
      <c r="A52" s="43" t="s">
        <v>709</v>
      </c>
      <c r="B52" s="33"/>
      <c r="C52" s="33"/>
      <c r="D52" s="33"/>
      <c r="E52" s="33"/>
      <c r="F52" s="33"/>
      <c r="G52" s="33"/>
      <c r="H52" s="33"/>
      <c r="I52" s="33"/>
      <c r="J52" s="33"/>
      <c r="K52" s="33"/>
      <c r="L52" s="33"/>
      <c r="M52" s="33"/>
      <c r="N52" s="33"/>
      <c r="O52" s="33"/>
      <c r="P52" s="33"/>
      <c r="Q52" s="33"/>
      <c r="R52" s="33"/>
      <c r="S52" s="33"/>
      <c r="T52" s="33"/>
      <c r="U52" s="33"/>
      <c r="V52" s="33"/>
      <c r="W52" s="33"/>
    </row>
    <row r="53" spans="1:23" ht="21" customHeight="1" x14ac:dyDescent="0.25">
      <c r="A53" s="40" t="s">
        <v>710</v>
      </c>
      <c r="B53" s="33"/>
      <c r="C53" s="33"/>
      <c r="D53" s="33"/>
      <c r="E53" s="33"/>
      <c r="F53" s="33"/>
      <c r="G53" s="33"/>
      <c r="H53" s="33"/>
      <c r="I53" s="33"/>
      <c r="J53" s="33"/>
      <c r="K53" s="33"/>
      <c r="L53" s="33"/>
      <c r="M53" s="33"/>
      <c r="N53" s="33"/>
      <c r="O53" s="33"/>
      <c r="P53" s="33"/>
      <c r="Q53" s="33"/>
      <c r="R53" s="33"/>
      <c r="S53" s="33"/>
      <c r="T53" s="33"/>
      <c r="U53" s="33"/>
      <c r="V53" s="33"/>
      <c r="W53" s="33"/>
    </row>
    <row r="54" spans="1:23" ht="6" customHeight="1" x14ac:dyDescent="0.25"/>
    <row r="55" spans="1:23" ht="18" customHeight="1" x14ac:dyDescent="0.25">
      <c r="A55" s="43" t="s">
        <v>711</v>
      </c>
      <c r="B55" s="33"/>
      <c r="C55" s="33"/>
      <c r="D55" s="33"/>
      <c r="E55" s="33"/>
      <c r="F55" s="33"/>
      <c r="G55" s="33"/>
      <c r="H55" s="33"/>
      <c r="I55" s="33"/>
      <c r="J55" s="33"/>
      <c r="K55" s="33"/>
      <c r="L55" s="33"/>
      <c r="M55" s="33"/>
      <c r="N55" s="33"/>
      <c r="O55" s="33"/>
      <c r="P55" s="33"/>
      <c r="Q55" s="33"/>
      <c r="R55" s="33"/>
      <c r="S55" s="33"/>
      <c r="T55" s="33"/>
      <c r="U55" s="33"/>
      <c r="V55" s="33"/>
      <c r="W55" s="33"/>
    </row>
    <row r="56" spans="1:23" ht="36" customHeight="1" x14ac:dyDescent="0.25">
      <c r="A56" s="40" t="s">
        <v>712</v>
      </c>
      <c r="B56" s="33"/>
      <c r="C56" s="33"/>
      <c r="D56" s="33"/>
      <c r="E56" s="33"/>
      <c r="F56" s="33"/>
      <c r="G56" s="33"/>
      <c r="H56" s="33"/>
      <c r="I56" s="33"/>
      <c r="J56" s="33"/>
      <c r="K56" s="33"/>
      <c r="L56" s="33"/>
      <c r="M56" s="33"/>
      <c r="N56" s="33"/>
      <c r="O56" s="33"/>
      <c r="P56" s="33"/>
      <c r="Q56" s="33"/>
      <c r="R56" s="33"/>
      <c r="S56" s="33"/>
      <c r="T56" s="33"/>
      <c r="U56" s="33"/>
      <c r="V56" s="33"/>
      <c r="W56" s="33"/>
    </row>
    <row r="57" spans="1:23" ht="6" customHeight="1" x14ac:dyDescent="0.25"/>
    <row r="58" spans="1:23" ht="18" customHeight="1" x14ac:dyDescent="0.25">
      <c r="A58" s="43" t="s">
        <v>659</v>
      </c>
      <c r="B58" s="33"/>
      <c r="C58" s="33"/>
      <c r="D58" s="33"/>
      <c r="E58" s="33"/>
      <c r="F58" s="33"/>
      <c r="G58" s="33"/>
      <c r="H58" s="33"/>
      <c r="I58" s="33"/>
      <c r="J58" s="33"/>
      <c r="K58" s="33"/>
      <c r="L58" s="33"/>
      <c r="M58" s="33"/>
      <c r="N58" s="33"/>
      <c r="O58" s="33"/>
      <c r="P58" s="33"/>
      <c r="Q58" s="33"/>
      <c r="R58" s="33"/>
      <c r="S58" s="33"/>
      <c r="T58" s="33"/>
      <c r="U58" s="33"/>
      <c r="V58" s="33"/>
      <c r="W58" s="33"/>
    </row>
    <row r="59" spans="1:23" ht="36" customHeight="1" x14ac:dyDescent="0.25">
      <c r="A59" s="40" t="s">
        <v>713</v>
      </c>
      <c r="B59" s="33"/>
      <c r="C59" s="33"/>
      <c r="D59" s="33"/>
      <c r="E59" s="33"/>
      <c r="F59" s="33"/>
      <c r="G59" s="33"/>
      <c r="H59" s="33"/>
      <c r="I59" s="33"/>
      <c r="J59" s="33"/>
      <c r="K59" s="33"/>
      <c r="L59" s="33"/>
      <c r="M59" s="33"/>
      <c r="N59" s="33"/>
      <c r="O59" s="33"/>
      <c r="P59" s="33"/>
      <c r="Q59" s="33"/>
      <c r="R59" s="33"/>
      <c r="S59" s="33"/>
      <c r="T59" s="33"/>
      <c r="U59" s="33"/>
      <c r="V59" s="33"/>
      <c r="W59" s="33"/>
    </row>
    <row r="60" spans="1:23" ht="6" customHeight="1" x14ac:dyDescent="0.25"/>
    <row r="61" spans="1:23" ht="18" customHeight="1" x14ac:dyDescent="0.25">
      <c r="A61" s="43" t="s">
        <v>62</v>
      </c>
      <c r="B61" s="33"/>
      <c r="C61" s="33"/>
      <c r="D61" s="33"/>
      <c r="E61" s="33"/>
      <c r="F61" s="33"/>
      <c r="G61" s="33"/>
      <c r="H61" s="33"/>
      <c r="I61" s="33"/>
      <c r="J61" s="33"/>
      <c r="K61" s="33"/>
      <c r="L61" s="33"/>
      <c r="M61" s="33"/>
      <c r="N61" s="33"/>
      <c r="O61" s="33"/>
      <c r="P61" s="33"/>
      <c r="Q61" s="33"/>
      <c r="R61" s="33"/>
      <c r="S61" s="33"/>
      <c r="T61" s="33"/>
      <c r="U61" s="33"/>
      <c r="V61" s="33"/>
      <c r="W61" s="33"/>
    </row>
    <row r="62" spans="1:23" ht="36" customHeight="1" x14ac:dyDescent="0.25">
      <c r="A62" s="40" t="s">
        <v>714</v>
      </c>
      <c r="B62" s="33"/>
      <c r="C62" s="33"/>
      <c r="D62" s="33"/>
      <c r="E62" s="33"/>
      <c r="F62" s="33"/>
      <c r="G62" s="33"/>
      <c r="H62" s="33"/>
      <c r="I62" s="33"/>
      <c r="J62" s="33"/>
      <c r="K62" s="33"/>
      <c r="L62" s="33"/>
      <c r="M62" s="33"/>
      <c r="N62" s="33"/>
      <c r="O62" s="33"/>
      <c r="P62" s="33"/>
      <c r="Q62" s="33"/>
      <c r="R62" s="33"/>
      <c r="S62" s="33"/>
      <c r="T62" s="33"/>
      <c r="U62" s="33"/>
      <c r="V62" s="33"/>
      <c r="W62" s="33"/>
    </row>
    <row r="63" spans="1:23" ht="6" customHeight="1" x14ac:dyDescent="0.25"/>
    <row r="66" spans="1:23" ht="21.95" customHeight="1" x14ac:dyDescent="0.25">
      <c r="A66" s="41" t="s">
        <v>715</v>
      </c>
      <c r="B66" s="42"/>
      <c r="C66" s="42"/>
      <c r="D66" s="42"/>
      <c r="E66" s="42"/>
      <c r="F66" s="42"/>
      <c r="G66" s="42"/>
      <c r="H66" s="42"/>
      <c r="I66" s="42"/>
      <c r="J66" s="42"/>
      <c r="K66" s="42"/>
      <c r="L66" s="42"/>
      <c r="M66" s="42"/>
      <c r="N66" s="42"/>
      <c r="O66" s="42"/>
      <c r="P66" s="42"/>
      <c r="Q66" s="42"/>
      <c r="R66" s="42"/>
      <c r="S66" s="42"/>
      <c r="T66" s="42"/>
      <c r="U66" s="42"/>
      <c r="V66" s="42"/>
      <c r="W66" s="42"/>
    </row>
    <row r="68" spans="1:23" ht="18" customHeight="1" x14ac:dyDescent="0.25">
      <c r="A68" s="43" t="s">
        <v>85</v>
      </c>
      <c r="B68" s="33"/>
      <c r="C68" s="33"/>
      <c r="D68" s="33"/>
      <c r="E68" s="33"/>
      <c r="F68" s="33"/>
      <c r="G68" s="33"/>
      <c r="H68" s="33"/>
      <c r="I68" s="33"/>
      <c r="J68" s="33"/>
      <c r="K68" s="33"/>
      <c r="L68" s="33"/>
      <c r="M68" s="33"/>
      <c r="N68" s="33"/>
      <c r="O68" s="33"/>
      <c r="P68" s="33"/>
      <c r="Q68" s="33"/>
      <c r="R68" s="33"/>
      <c r="S68" s="33"/>
      <c r="T68" s="33"/>
      <c r="U68" s="33"/>
      <c r="V68" s="33"/>
      <c r="W68" s="33"/>
    </row>
    <row r="69" spans="1:23" ht="21" customHeight="1" x14ac:dyDescent="0.25">
      <c r="A69" s="40" t="s">
        <v>716</v>
      </c>
      <c r="B69" s="33"/>
      <c r="C69" s="33"/>
      <c r="D69" s="33"/>
      <c r="E69" s="33"/>
      <c r="F69" s="33"/>
      <c r="G69" s="33"/>
      <c r="H69" s="33"/>
      <c r="I69" s="33"/>
      <c r="J69" s="33"/>
      <c r="K69" s="33"/>
      <c r="L69" s="33"/>
      <c r="M69" s="33"/>
      <c r="N69" s="33"/>
      <c r="O69" s="33"/>
      <c r="P69" s="33"/>
      <c r="Q69" s="33"/>
      <c r="R69" s="33"/>
      <c r="S69" s="33"/>
      <c r="T69" s="33"/>
      <c r="U69" s="33"/>
      <c r="V69" s="33"/>
      <c r="W69" s="33"/>
    </row>
    <row r="70" spans="1:23" ht="6" customHeight="1" x14ac:dyDescent="0.25"/>
    <row r="71" spans="1:23" ht="18" customHeight="1" x14ac:dyDescent="0.25">
      <c r="A71" s="43" t="s">
        <v>97</v>
      </c>
      <c r="B71" s="33"/>
      <c r="C71" s="33"/>
      <c r="D71" s="33"/>
      <c r="E71" s="33"/>
      <c r="F71" s="33"/>
      <c r="G71" s="33"/>
      <c r="H71" s="33"/>
      <c r="I71" s="33"/>
      <c r="J71" s="33"/>
      <c r="K71" s="33"/>
      <c r="L71" s="33"/>
      <c r="M71" s="33"/>
      <c r="N71" s="33"/>
      <c r="O71" s="33"/>
      <c r="P71" s="33"/>
      <c r="Q71" s="33"/>
      <c r="R71" s="33"/>
      <c r="S71" s="33"/>
      <c r="T71" s="33"/>
      <c r="U71" s="33"/>
      <c r="V71" s="33"/>
      <c r="W71" s="33"/>
    </row>
    <row r="72" spans="1:23" ht="36" customHeight="1" x14ac:dyDescent="0.25">
      <c r="A72" s="40" t="s">
        <v>717</v>
      </c>
      <c r="B72" s="33"/>
      <c r="C72" s="33"/>
      <c r="D72" s="33"/>
      <c r="E72" s="33"/>
      <c r="F72" s="33"/>
      <c r="G72" s="33"/>
      <c r="H72" s="33"/>
      <c r="I72" s="33"/>
      <c r="J72" s="33"/>
      <c r="K72" s="33"/>
      <c r="L72" s="33"/>
      <c r="M72" s="33"/>
      <c r="N72" s="33"/>
      <c r="O72" s="33"/>
      <c r="P72" s="33"/>
      <c r="Q72" s="33"/>
      <c r="R72" s="33"/>
      <c r="S72" s="33"/>
      <c r="T72" s="33"/>
      <c r="U72" s="33"/>
      <c r="V72" s="33"/>
      <c r="W72" s="33"/>
    </row>
    <row r="73" spans="1:23" ht="6" customHeight="1" x14ac:dyDescent="0.25"/>
    <row r="74" spans="1:23" ht="18" customHeight="1" x14ac:dyDescent="0.25">
      <c r="A74" s="43" t="s">
        <v>657</v>
      </c>
      <c r="B74" s="33"/>
      <c r="C74" s="33"/>
      <c r="D74" s="33"/>
      <c r="E74" s="33"/>
      <c r="F74" s="33"/>
      <c r="G74" s="33"/>
      <c r="H74" s="33"/>
      <c r="I74" s="33"/>
      <c r="J74" s="33"/>
      <c r="K74" s="33"/>
      <c r="L74" s="33"/>
      <c r="M74" s="33"/>
      <c r="N74" s="33"/>
      <c r="O74" s="33"/>
      <c r="P74" s="33"/>
      <c r="Q74" s="33"/>
      <c r="R74" s="33"/>
      <c r="S74" s="33"/>
      <c r="T74" s="33"/>
      <c r="U74" s="33"/>
      <c r="V74" s="33"/>
      <c r="W74" s="33"/>
    </row>
    <row r="75" spans="1:23" ht="21" customHeight="1" x14ac:dyDescent="0.25">
      <c r="A75" s="40" t="s">
        <v>718</v>
      </c>
      <c r="B75" s="33"/>
      <c r="C75" s="33"/>
      <c r="D75" s="33"/>
      <c r="E75" s="33"/>
      <c r="F75" s="33"/>
      <c r="G75" s="33"/>
      <c r="H75" s="33"/>
      <c r="I75" s="33"/>
      <c r="J75" s="33"/>
      <c r="K75" s="33"/>
      <c r="L75" s="33"/>
      <c r="M75" s="33"/>
      <c r="N75" s="33"/>
      <c r="O75" s="33"/>
      <c r="P75" s="33"/>
      <c r="Q75" s="33"/>
      <c r="R75" s="33"/>
      <c r="S75" s="33"/>
      <c r="T75" s="33"/>
      <c r="U75" s="33"/>
      <c r="V75" s="33"/>
      <c r="W75" s="33"/>
    </row>
    <row r="76" spans="1:23" ht="6" customHeight="1" x14ac:dyDescent="0.25"/>
    <row r="77" spans="1:23" ht="18" customHeight="1" x14ac:dyDescent="0.25">
      <c r="A77" s="43" t="s">
        <v>659</v>
      </c>
      <c r="B77" s="33"/>
      <c r="C77" s="33"/>
      <c r="D77" s="33"/>
      <c r="E77" s="33"/>
      <c r="F77" s="33"/>
      <c r="G77" s="33"/>
      <c r="H77" s="33"/>
      <c r="I77" s="33"/>
      <c r="J77" s="33"/>
      <c r="K77" s="33"/>
      <c r="L77" s="33"/>
      <c r="M77" s="33"/>
      <c r="N77" s="33"/>
      <c r="O77" s="33"/>
      <c r="P77" s="33"/>
      <c r="Q77" s="33"/>
      <c r="R77" s="33"/>
      <c r="S77" s="33"/>
      <c r="T77" s="33"/>
      <c r="U77" s="33"/>
      <c r="V77" s="33"/>
      <c r="W77" s="33"/>
    </row>
    <row r="78" spans="1:23" ht="21" customHeight="1" x14ac:dyDescent="0.25">
      <c r="A78" s="40" t="s">
        <v>719</v>
      </c>
      <c r="B78" s="33"/>
      <c r="C78" s="33"/>
      <c r="D78" s="33"/>
      <c r="E78" s="33"/>
      <c r="F78" s="33"/>
      <c r="G78" s="33"/>
      <c r="H78" s="33"/>
      <c r="I78" s="33"/>
      <c r="J78" s="33"/>
      <c r="K78" s="33"/>
      <c r="L78" s="33"/>
      <c r="M78" s="33"/>
      <c r="N78" s="33"/>
      <c r="O78" s="33"/>
      <c r="P78" s="33"/>
      <c r="Q78" s="33"/>
      <c r="R78" s="33"/>
      <c r="S78" s="33"/>
      <c r="T78" s="33"/>
      <c r="U78" s="33"/>
      <c r="V78" s="33"/>
      <c r="W78" s="33"/>
    </row>
    <row r="79" spans="1:23" ht="6" customHeight="1" x14ac:dyDescent="0.25"/>
    <row r="80" spans="1:23" ht="18" customHeight="1" x14ac:dyDescent="0.25">
      <c r="A80" s="43" t="s">
        <v>661</v>
      </c>
      <c r="B80" s="33"/>
      <c r="C80" s="33"/>
      <c r="D80" s="33"/>
      <c r="E80" s="33"/>
      <c r="F80" s="33"/>
      <c r="G80" s="33"/>
      <c r="H80" s="33"/>
      <c r="I80" s="33"/>
      <c r="J80" s="33"/>
      <c r="K80" s="33"/>
      <c r="L80" s="33"/>
      <c r="M80" s="33"/>
      <c r="N80" s="33"/>
      <c r="O80" s="33"/>
      <c r="P80" s="33"/>
      <c r="Q80" s="33"/>
      <c r="R80" s="33"/>
      <c r="S80" s="33"/>
      <c r="T80" s="33"/>
      <c r="U80" s="33"/>
      <c r="V80" s="33"/>
      <c r="W80" s="33"/>
    </row>
    <row r="81" spans="1:23" ht="21" customHeight="1" x14ac:dyDescent="0.25">
      <c r="A81" s="40" t="s">
        <v>720</v>
      </c>
      <c r="B81" s="33"/>
      <c r="C81" s="33"/>
      <c r="D81" s="33"/>
      <c r="E81" s="33"/>
      <c r="F81" s="33"/>
      <c r="G81" s="33"/>
      <c r="H81" s="33"/>
      <c r="I81" s="33"/>
      <c r="J81" s="33"/>
      <c r="K81" s="33"/>
      <c r="L81" s="33"/>
      <c r="M81" s="33"/>
      <c r="N81" s="33"/>
      <c r="O81" s="33"/>
      <c r="P81" s="33"/>
      <c r="Q81" s="33"/>
      <c r="R81" s="33"/>
      <c r="S81" s="33"/>
      <c r="T81" s="33"/>
      <c r="U81" s="33"/>
      <c r="V81" s="33"/>
      <c r="W81" s="33"/>
    </row>
    <row r="82" spans="1:23" ht="6" customHeight="1" x14ac:dyDescent="0.25"/>
    <row r="83" spans="1:23" ht="18" customHeight="1" x14ac:dyDescent="0.25">
      <c r="A83" s="43" t="s">
        <v>663</v>
      </c>
      <c r="B83" s="33"/>
      <c r="C83" s="33"/>
      <c r="D83" s="33"/>
      <c r="E83" s="33"/>
      <c r="F83" s="33"/>
      <c r="G83" s="33"/>
      <c r="H83" s="33"/>
      <c r="I83" s="33"/>
      <c r="J83" s="33"/>
      <c r="K83" s="33"/>
      <c r="L83" s="33"/>
      <c r="M83" s="33"/>
      <c r="N83" s="33"/>
      <c r="O83" s="33"/>
      <c r="P83" s="33"/>
      <c r="Q83" s="33"/>
      <c r="R83" s="33"/>
      <c r="S83" s="33"/>
      <c r="T83" s="33"/>
      <c r="U83" s="33"/>
      <c r="V83" s="33"/>
      <c r="W83" s="33"/>
    </row>
    <row r="84" spans="1:23" ht="36" customHeight="1" x14ac:dyDescent="0.25">
      <c r="A84" s="40" t="s">
        <v>721</v>
      </c>
      <c r="B84" s="33"/>
      <c r="C84" s="33"/>
      <c r="D84" s="33"/>
      <c r="E84" s="33"/>
      <c r="F84" s="33"/>
      <c r="G84" s="33"/>
      <c r="H84" s="33"/>
      <c r="I84" s="33"/>
      <c r="J84" s="33"/>
      <c r="K84" s="33"/>
      <c r="L84" s="33"/>
      <c r="M84" s="33"/>
      <c r="N84" s="33"/>
      <c r="O84" s="33"/>
      <c r="P84" s="33"/>
      <c r="Q84" s="33"/>
      <c r="R84" s="33"/>
      <c r="S84" s="33"/>
      <c r="T84" s="33"/>
      <c r="U84" s="33"/>
      <c r="V84" s="33"/>
      <c r="W84" s="33"/>
    </row>
    <row r="85" spans="1:23" ht="6" customHeight="1" x14ac:dyDescent="0.25"/>
    <row r="86" spans="1:23" ht="18" customHeight="1" x14ac:dyDescent="0.25">
      <c r="A86" s="43" t="s">
        <v>664</v>
      </c>
      <c r="B86" s="33"/>
      <c r="C86" s="33"/>
      <c r="D86" s="33"/>
      <c r="E86" s="33"/>
      <c r="F86" s="33"/>
      <c r="G86" s="33"/>
      <c r="H86" s="33"/>
      <c r="I86" s="33"/>
      <c r="J86" s="33"/>
      <c r="K86" s="33"/>
      <c r="L86" s="33"/>
      <c r="M86" s="33"/>
      <c r="N86" s="33"/>
      <c r="O86" s="33"/>
      <c r="P86" s="33"/>
      <c r="Q86" s="33"/>
      <c r="R86" s="33"/>
      <c r="S86" s="33"/>
      <c r="T86" s="33"/>
      <c r="U86" s="33"/>
      <c r="V86" s="33"/>
      <c r="W86" s="33"/>
    </row>
    <row r="87" spans="1:23" ht="21" customHeight="1" x14ac:dyDescent="0.25">
      <c r="A87" s="40" t="s">
        <v>722</v>
      </c>
      <c r="B87" s="33"/>
      <c r="C87" s="33"/>
      <c r="D87" s="33"/>
      <c r="E87" s="33"/>
      <c r="F87" s="33"/>
      <c r="G87" s="33"/>
      <c r="H87" s="33"/>
      <c r="I87" s="33"/>
      <c r="J87" s="33"/>
      <c r="K87" s="33"/>
      <c r="L87" s="33"/>
      <c r="M87" s="33"/>
      <c r="N87" s="33"/>
      <c r="O87" s="33"/>
      <c r="P87" s="33"/>
      <c r="Q87" s="33"/>
      <c r="R87" s="33"/>
      <c r="S87" s="33"/>
      <c r="T87" s="33"/>
      <c r="U87" s="33"/>
      <c r="V87" s="33"/>
      <c r="W87" s="33"/>
    </row>
    <row r="88" spans="1:23" ht="6" customHeight="1" x14ac:dyDescent="0.25"/>
    <row r="89" spans="1:23" ht="18" customHeight="1" x14ac:dyDescent="0.25">
      <c r="A89" s="43" t="s">
        <v>117</v>
      </c>
      <c r="B89" s="33"/>
      <c r="C89" s="33"/>
      <c r="D89" s="33"/>
      <c r="E89" s="33"/>
      <c r="F89" s="33"/>
      <c r="G89" s="33"/>
      <c r="H89" s="33"/>
      <c r="I89" s="33"/>
      <c r="J89" s="33"/>
      <c r="K89" s="33"/>
      <c r="L89" s="33"/>
      <c r="M89" s="33"/>
      <c r="N89" s="33"/>
      <c r="O89" s="33"/>
      <c r="P89" s="33"/>
      <c r="Q89" s="33"/>
      <c r="R89" s="33"/>
      <c r="S89" s="33"/>
      <c r="T89" s="33"/>
      <c r="U89" s="33"/>
      <c r="V89" s="33"/>
      <c r="W89" s="33"/>
    </row>
    <row r="90" spans="1:23" ht="21" customHeight="1" x14ac:dyDescent="0.25">
      <c r="A90" s="40" t="s">
        <v>723</v>
      </c>
      <c r="B90" s="33"/>
      <c r="C90" s="33"/>
      <c r="D90" s="33"/>
      <c r="E90" s="33"/>
      <c r="F90" s="33"/>
      <c r="G90" s="33"/>
      <c r="H90" s="33"/>
      <c r="I90" s="33"/>
      <c r="J90" s="33"/>
      <c r="K90" s="33"/>
      <c r="L90" s="33"/>
      <c r="M90" s="33"/>
      <c r="N90" s="33"/>
      <c r="O90" s="33"/>
      <c r="P90" s="33"/>
      <c r="Q90" s="33"/>
      <c r="R90" s="33"/>
      <c r="S90" s="33"/>
      <c r="T90" s="33"/>
      <c r="U90" s="33"/>
      <c r="V90" s="33"/>
      <c r="W90" s="33"/>
    </row>
    <row r="91" spans="1:23" ht="6" customHeight="1" x14ac:dyDescent="0.25"/>
    <row r="92" spans="1:23" ht="18" customHeight="1" x14ac:dyDescent="0.25">
      <c r="A92" s="43" t="s">
        <v>667</v>
      </c>
      <c r="B92" s="33"/>
      <c r="C92" s="33"/>
      <c r="D92" s="33"/>
      <c r="E92" s="33"/>
      <c r="F92" s="33"/>
      <c r="G92" s="33"/>
      <c r="H92" s="33"/>
      <c r="I92" s="33"/>
      <c r="J92" s="33"/>
      <c r="K92" s="33"/>
      <c r="L92" s="33"/>
      <c r="M92" s="33"/>
      <c r="N92" s="33"/>
      <c r="O92" s="33"/>
      <c r="P92" s="33"/>
      <c r="Q92" s="33"/>
      <c r="R92" s="33"/>
      <c r="S92" s="33"/>
      <c r="T92" s="33"/>
      <c r="U92" s="33"/>
      <c r="V92" s="33"/>
      <c r="W92" s="33"/>
    </row>
    <row r="93" spans="1:23" ht="21" customHeight="1" x14ac:dyDescent="0.25">
      <c r="A93" s="40" t="s">
        <v>724</v>
      </c>
      <c r="B93" s="33"/>
      <c r="C93" s="33"/>
      <c r="D93" s="33"/>
      <c r="E93" s="33"/>
      <c r="F93" s="33"/>
      <c r="G93" s="33"/>
      <c r="H93" s="33"/>
      <c r="I93" s="33"/>
      <c r="J93" s="33"/>
      <c r="K93" s="33"/>
      <c r="L93" s="33"/>
      <c r="M93" s="33"/>
      <c r="N93" s="33"/>
      <c r="O93" s="33"/>
      <c r="P93" s="33"/>
      <c r="Q93" s="33"/>
      <c r="R93" s="33"/>
      <c r="S93" s="33"/>
      <c r="T93" s="33"/>
      <c r="U93" s="33"/>
      <c r="V93" s="33"/>
      <c r="W93" s="33"/>
    </row>
    <row r="94" spans="1:23" ht="6" customHeight="1" x14ac:dyDescent="0.25"/>
    <row r="95" spans="1:23" ht="18" customHeight="1" x14ac:dyDescent="0.25">
      <c r="A95" s="43" t="s">
        <v>668</v>
      </c>
      <c r="B95" s="33"/>
      <c r="C95" s="33"/>
      <c r="D95" s="33"/>
      <c r="E95" s="33"/>
      <c r="F95" s="33"/>
      <c r="G95" s="33"/>
      <c r="H95" s="33"/>
      <c r="I95" s="33"/>
      <c r="J95" s="33"/>
      <c r="K95" s="33"/>
      <c r="L95" s="33"/>
      <c r="M95" s="33"/>
      <c r="N95" s="33"/>
      <c r="O95" s="33"/>
      <c r="P95" s="33"/>
      <c r="Q95" s="33"/>
      <c r="R95" s="33"/>
      <c r="S95" s="33"/>
      <c r="T95" s="33"/>
      <c r="U95" s="33"/>
      <c r="V95" s="33"/>
      <c r="W95" s="33"/>
    </row>
    <row r="96" spans="1:23" ht="21" customHeight="1" x14ac:dyDescent="0.25">
      <c r="A96" s="40" t="s">
        <v>725</v>
      </c>
      <c r="B96" s="33"/>
      <c r="C96" s="33"/>
      <c r="D96" s="33"/>
      <c r="E96" s="33"/>
      <c r="F96" s="33"/>
      <c r="G96" s="33"/>
      <c r="H96" s="33"/>
      <c r="I96" s="33"/>
      <c r="J96" s="33"/>
      <c r="K96" s="33"/>
      <c r="L96" s="33"/>
      <c r="M96" s="33"/>
      <c r="N96" s="33"/>
      <c r="O96" s="33"/>
      <c r="P96" s="33"/>
      <c r="Q96" s="33"/>
      <c r="R96" s="33"/>
      <c r="S96" s="33"/>
      <c r="T96" s="33"/>
      <c r="U96" s="33"/>
      <c r="V96" s="33"/>
      <c r="W96" s="33"/>
    </row>
    <row r="97" spans="1:23" ht="6" customHeight="1" x14ac:dyDescent="0.25"/>
    <row r="98" spans="1:23" ht="18" customHeight="1" x14ac:dyDescent="0.25">
      <c r="A98" s="43" t="s">
        <v>669</v>
      </c>
      <c r="B98" s="33"/>
      <c r="C98" s="33"/>
      <c r="D98" s="33"/>
      <c r="E98" s="33"/>
      <c r="F98" s="33"/>
      <c r="G98" s="33"/>
      <c r="H98" s="33"/>
      <c r="I98" s="33"/>
      <c r="J98" s="33"/>
      <c r="K98" s="33"/>
      <c r="L98" s="33"/>
      <c r="M98" s="33"/>
      <c r="N98" s="33"/>
      <c r="O98" s="33"/>
      <c r="P98" s="33"/>
      <c r="Q98" s="33"/>
      <c r="R98" s="33"/>
      <c r="S98" s="33"/>
      <c r="T98" s="33"/>
      <c r="U98" s="33"/>
      <c r="V98" s="33"/>
      <c r="W98" s="33"/>
    </row>
    <row r="99" spans="1:23" ht="36" customHeight="1" x14ac:dyDescent="0.25">
      <c r="A99" s="40" t="s">
        <v>726</v>
      </c>
      <c r="B99" s="33"/>
      <c r="C99" s="33"/>
      <c r="D99" s="33"/>
      <c r="E99" s="33"/>
      <c r="F99" s="33"/>
      <c r="G99" s="33"/>
      <c r="H99" s="33"/>
      <c r="I99" s="33"/>
      <c r="J99" s="33"/>
      <c r="K99" s="33"/>
      <c r="L99" s="33"/>
      <c r="M99" s="33"/>
      <c r="N99" s="33"/>
      <c r="O99" s="33"/>
      <c r="P99" s="33"/>
      <c r="Q99" s="33"/>
      <c r="R99" s="33"/>
      <c r="S99" s="33"/>
      <c r="T99" s="33"/>
      <c r="U99" s="33"/>
      <c r="V99" s="33"/>
      <c r="W99" s="33"/>
    </row>
    <row r="100" spans="1:23" ht="6" customHeight="1" x14ac:dyDescent="0.25"/>
    <row r="101" spans="1:23" ht="18" customHeight="1" x14ac:dyDescent="0.25">
      <c r="A101" s="43" t="s">
        <v>670</v>
      </c>
      <c r="B101" s="33"/>
      <c r="C101" s="33"/>
      <c r="D101" s="33"/>
      <c r="E101" s="33"/>
      <c r="F101" s="33"/>
      <c r="G101" s="33"/>
      <c r="H101" s="33"/>
      <c r="I101" s="33"/>
      <c r="J101" s="33"/>
      <c r="K101" s="33"/>
      <c r="L101" s="33"/>
      <c r="M101" s="33"/>
      <c r="N101" s="33"/>
      <c r="O101" s="33"/>
      <c r="P101" s="33"/>
      <c r="Q101" s="33"/>
      <c r="R101" s="33"/>
      <c r="S101" s="33"/>
      <c r="T101" s="33"/>
      <c r="U101" s="33"/>
      <c r="V101" s="33"/>
      <c r="W101" s="33"/>
    </row>
    <row r="102" spans="1:23" ht="21" customHeight="1" x14ac:dyDescent="0.25">
      <c r="A102" s="40" t="s">
        <v>727</v>
      </c>
      <c r="B102" s="33"/>
      <c r="C102" s="33"/>
      <c r="D102" s="33"/>
      <c r="E102" s="33"/>
      <c r="F102" s="33"/>
      <c r="G102" s="33"/>
      <c r="H102" s="33"/>
      <c r="I102" s="33"/>
      <c r="J102" s="33"/>
      <c r="K102" s="33"/>
      <c r="L102" s="33"/>
      <c r="M102" s="33"/>
      <c r="N102" s="33"/>
      <c r="O102" s="33"/>
      <c r="P102" s="33"/>
      <c r="Q102" s="33"/>
      <c r="R102" s="33"/>
      <c r="S102" s="33"/>
      <c r="T102" s="33"/>
      <c r="U102" s="33"/>
      <c r="V102" s="33"/>
      <c r="W102" s="33"/>
    </row>
    <row r="103" spans="1:23" ht="6" customHeight="1" x14ac:dyDescent="0.25"/>
    <row r="106" spans="1:23" x14ac:dyDescent="0.25">
      <c r="A106" s="39" t="s">
        <v>728</v>
      </c>
      <c r="B106" s="33"/>
      <c r="C106" s="33"/>
      <c r="D106" s="33"/>
      <c r="E106" s="33"/>
      <c r="F106" s="33"/>
      <c r="G106" s="33"/>
      <c r="H106" s="33"/>
      <c r="I106" s="33"/>
      <c r="J106" s="33"/>
      <c r="K106" s="33"/>
      <c r="L106" s="33"/>
      <c r="M106" s="33"/>
      <c r="N106" s="33"/>
      <c r="O106" s="33"/>
      <c r="P106" s="33"/>
      <c r="Q106" s="33"/>
      <c r="R106" s="33"/>
      <c r="S106" s="33"/>
      <c r="T106" s="33"/>
      <c r="U106" s="33"/>
      <c r="V106" s="33"/>
      <c r="W106" s="33"/>
    </row>
  </sheetData>
  <mergeCells count="43">
    <mergeCell ref="A40:W40"/>
    <mergeCell ref="A58:W58"/>
    <mergeCell ref="A77:W77"/>
    <mergeCell ref="A83:W83"/>
    <mergeCell ref="A92:W92"/>
    <mergeCell ref="A43:W43"/>
    <mergeCell ref="A69:W69"/>
    <mergeCell ref="A78:W78"/>
    <mergeCell ref="A87:W87"/>
    <mergeCell ref="A90:W90"/>
    <mergeCell ref="A46:W46"/>
    <mergeCell ref="A84:W84"/>
    <mergeCell ref="A66:W66"/>
    <mergeCell ref="A80:W80"/>
    <mergeCell ref="A68:W68"/>
    <mergeCell ref="A37:W37"/>
    <mergeCell ref="A56:W56"/>
    <mergeCell ref="A75:W75"/>
    <mergeCell ref="A89:W89"/>
    <mergeCell ref="A74:W74"/>
    <mergeCell ref="A50:W50"/>
    <mergeCell ref="A55:W55"/>
    <mergeCell ref="A86:W86"/>
    <mergeCell ref="A71:W71"/>
    <mergeCell ref="A47:W47"/>
    <mergeCell ref="A42:W42"/>
    <mergeCell ref="A52:W52"/>
    <mergeCell ref="A39:W39"/>
    <mergeCell ref="A59:W59"/>
    <mergeCell ref="A49:W49"/>
    <mergeCell ref="A61:W61"/>
    <mergeCell ref="A106:W106"/>
    <mergeCell ref="A53:W53"/>
    <mergeCell ref="A62:W62"/>
    <mergeCell ref="A96:W96"/>
    <mergeCell ref="A72:W72"/>
    <mergeCell ref="A81:W81"/>
    <mergeCell ref="A93:W93"/>
    <mergeCell ref="A98:W98"/>
    <mergeCell ref="A95:W95"/>
    <mergeCell ref="A102:W102"/>
    <mergeCell ref="A99:W99"/>
    <mergeCell ref="A101:W101"/>
  </mergeCells>
  <conditionalFormatting sqref="L6:L34">
    <cfRule type="expression" dxfId="1" priority="1">
      <formula>OR($I6="CM",$I6="SY")</formula>
    </cfRule>
  </conditionalFormatting>
  <dataValidations count="12">
    <dataValidation type="list" allowBlank="1" errorTitle="Valore non valido" error="Selezionare dalla lista." promptTitle="Author" prompt="Autore della codifica." sqref="B6:B34" xr:uid="{00000000-0002-0000-0200-000000000000}">
      <formula1>Author_Name</formula1>
    </dataValidation>
    <dataValidation type="list" allowBlank="1" errorTitle="Valore non valido" error="Selezionare dalla lista, oppure lasciare vuoto." promptTitle="In Place" sqref="D6:D34" xr:uid="{00000000-0002-0000-0200-000001000000}">
      <formula1>InPl_Name</formula1>
    </dataValidation>
    <dataValidation type="list" allowBlank="1" errorTitle="Valore non valido" error="Selezionare dalla lista." promptTitle="Categoria" prompt="Categoria Revit della famiglia." sqref="F6:F34" xr:uid="{00000000-0002-0000-0200-000002000000}">
      <formula1>DR_Cat_Name</formula1>
    </dataValidation>
    <dataValidation type="list" allowBlank="1" errorTitle="Valore non valido" error="Selezionare dalla lista." promptTitle="Group1 — meccanismo di apertura" prompt="Meccanismo di apertura. Component e Symbol chiudono la lista: quando la famiglia è un componente nidificato o un simbolo, quel valore prende il posto della classificazione funzionale, e il Group2 diventa OT." sqref="H6:H34" xr:uid="{00000000-0002-0000-0200-000003000000}">
      <formula1>DR_G1_Name</formula1>
    </dataValidation>
    <dataValidation type="list" allowBlank="1" errorTitle="Valore non valido" error="Selezionare dalla lista." promptTitle="Group2 — posizione e tipologia" prompt="Posizione e tipologia. IN interna. EX esterna, unica che ammette Entrance. TC locali tecnici e cavedi. GT cancelli e portoni. OP vano libero. Prestazioni escluse: il REI ha il suo campo, acustica e antieffrazione vanno in Description." sqref="J6:J34" xr:uid="{00000000-0002-0000-0200-000004000000}">
      <formula1>DR_G2_Name</formula1>
    </dataValidation>
    <dataValidation type="custom" allowBlank="1" errorTitle="Non valido" error="Inserire un intero da 0 a 9. Con Group1 = Component o Symbol il campo non si applica e va lasciato vuoto." promptTitle="Leaves" sqref="L6:L34" xr:uid="{00000000-0002-0000-0200-000005000000}">
      <formula1>AND(OR($I6="CM",$I6="SY")=FALSE,ISNUMBER($L6),$L6&gt;=0,$L6&lt;=9,$L6=INT($L6))</formula1>
    </dataValidation>
    <dataValidation type="list" allowBlank="1" errorTitle="Valore non valido" error="Selezionare dalla lista." promptTitle="CW hosted" prompt="Facoltativo. Famiglia nidificata in un pannello di curtain wall anziché ospitata da una parete. Il pannello si nomina nella scheda 03_CP." sqref="M6:M34" xr:uid="{00000000-0002-0000-0200-000006000000}">
      <formula1>CWh_Name</formula1>
    </dataValidation>
    <dataValidation type="list" allowBlank="1" errorTitle="Non ammesso qui" error="Il suffisso Entrance è ammesso solo con Group2 = EX." promptTitle="Entrance" prompt="Facoltativo. Marca gli ingressi principali, per selezionarli rapidamente. Ammesso solo con Group2 = EX." sqref="O6:O34" xr:uid="{00000000-0002-0000-0200-000007000000}">
      <formula1>INDIRECT($X6)</formula1>
    </dataValidation>
    <dataValidation type="textLength" operator="lessThanOrEqual" allowBlank="1" errorTitle="Troppo lungo" error="Massimo 12 caratteri." promptTitle="REI" prompt="Facoltativo. Sigla completa come certificata: REI60, EI90. Deve coincidere con FireRating. È l’unico modo di dichiarare la resistenza al fuoco: il Group2 non ha un codice dedicato." sqref="Q6:Q34" xr:uid="{00000000-0002-0000-0200-000008000000}">
      <formula1>12</formula1>
    </dataValidation>
    <dataValidation type="custom" allowBlank="1" errorTitle="Non valido" error="Massimo 24 caratteri, senza spazi." promptTitle="Manufacturer" prompt="Facoltativo. Azienda produttrice. Campo libero: senza spazi, iniziali maiuscole. Non compatibile con Group1 = Custom." sqref="R6:R34" xr:uid="{00000000-0002-0000-0200-000009000000}">
      <formula1>AND(LEN($R6)&lt;=24,ISERROR(FIND(" ",$R6)))</formula1>
    </dataValidation>
    <dataValidation type="custom" allowBlank="1" errorTitle="Non valido" error="Massimo 24 caratteri, senza spazi." promptTitle="Brand" sqref="S6:S34" xr:uid="{00000000-0002-0000-0200-00000A000000}">
      <formula1>AND(LEN($S6)&lt;=24,ISERROR(FIND(" ",$S6)))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T6:T34" xr:uid="{00000000-0002-0000-0200-00000B000000}">
      <formula1>40</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3"/>
  <sheetViews>
    <sheetView showGridLines="0" workbookViewId="0">
      <pane ySplit="5" topLeftCell="A6" activePane="bottomLeft" state="frozen"/>
      <selection pane="bottomLeft" activeCell="O6" sqref="O6:O18"/>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6" customWidth="1"/>
    <col min="13" max="13" width="11" customWidth="1"/>
    <col min="14" max="14" width="4" customWidth="1"/>
    <col min="15" max="15" width="15" customWidth="1"/>
    <col min="16" max="16" width="13" customWidth="1"/>
    <col min="17" max="17" width="20" customWidth="1"/>
    <col min="18" max="18" width="12" customWidth="1"/>
    <col min="19" max="19" width="36" customWidth="1"/>
    <col min="20" max="20" width="24" customWidth="1"/>
  </cols>
  <sheetData>
    <row r="1" spans="1:20" ht="19.5" x14ac:dyDescent="0.3">
      <c r="A1" s="6" t="s">
        <v>729</v>
      </c>
    </row>
    <row r="2" spans="1:20" x14ac:dyDescent="0.25">
      <c r="A2" s="7" t="s">
        <v>652</v>
      </c>
    </row>
    <row r="3" spans="1:20" x14ac:dyDescent="0.25">
      <c r="A3" s="8" t="s">
        <v>730</v>
      </c>
    </row>
    <row r="4" spans="1:20" ht="17.100000000000001" customHeight="1" x14ac:dyDescent="0.25">
      <c r="A4" s="9" t="s">
        <v>654</v>
      </c>
      <c r="B4" s="10"/>
      <c r="C4" s="10"/>
      <c r="D4" s="10"/>
      <c r="E4" s="10"/>
      <c r="F4" s="10"/>
      <c r="G4" s="10"/>
      <c r="H4" s="10"/>
      <c r="I4" s="10"/>
      <c r="J4" s="10"/>
      <c r="K4" s="10"/>
      <c r="L4" s="10"/>
      <c r="M4" s="10"/>
      <c r="N4" s="10"/>
      <c r="O4" s="10"/>
      <c r="P4" s="10"/>
      <c r="Q4" s="10"/>
      <c r="R4" s="10"/>
      <c r="S4" s="10"/>
      <c r="T4" s="10"/>
    </row>
    <row r="5" spans="1:20" ht="30" customHeight="1" x14ac:dyDescent="0.25">
      <c r="A5" s="11" t="s">
        <v>655</v>
      </c>
      <c r="B5" s="11" t="s">
        <v>85</v>
      </c>
      <c r="C5" s="11" t="s">
        <v>656</v>
      </c>
      <c r="D5" s="12" t="s">
        <v>97</v>
      </c>
      <c r="E5" s="11" t="s">
        <v>96</v>
      </c>
      <c r="F5" s="11" t="s">
        <v>657</v>
      </c>
      <c r="G5" s="11" t="s">
        <v>658</v>
      </c>
      <c r="H5" s="11" t="s">
        <v>659</v>
      </c>
      <c r="I5" s="11" t="s">
        <v>660</v>
      </c>
      <c r="J5" s="11" t="s">
        <v>661</v>
      </c>
      <c r="K5" s="11" t="s">
        <v>662</v>
      </c>
      <c r="L5" s="11" t="s">
        <v>663</v>
      </c>
      <c r="M5" s="12" t="s">
        <v>664</v>
      </c>
      <c r="N5" s="11" t="s">
        <v>665</v>
      </c>
      <c r="O5" s="12" t="s">
        <v>668</v>
      </c>
      <c r="P5" s="12" t="s">
        <v>669</v>
      </c>
      <c r="Q5" s="12" t="s">
        <v>670</v>
      </c>
      <c r="R5" s="11" t="s">
        <v>671</v>
      </c>
      <c r="S5" s="11" t="s">
        <v>672</v>
      </c>
      <c r="T5" s="11" t="s">
        <v>673</v>
      </c>
    </row>
    <row r="6" spans="1:20" x14ac:dyDescent="0.25">
      <c r="A6" s="13" t="s">
        <v>675</v>
      </c>
      <c r="B6" s="14" t="s">
        <v>92</v>
      </c>
      <c r="C6" s="15" t="str">
        <f t="shared" ref="C6:C34" si="0">IFERROR(INDEX(Author_Code,MATCH($B6,Author_Name,0)),"")</f>
        <v>e</v>
      </c>
      <c r="D6" s="16"/>
      <c r="E6" s="15" t="str">
        <f t="shared" ref="E6:E34" si="1">IFERROR(INDEX(InPl_Code,MATCH($D6,InPl_Name,0)),"")</f>
        <v/>
      </c>
      <c r="F6" s="14" t="s">
        <v>189</v>
      </c>
      <c r="G6" s="15" t="str">
        <f t="shared" ref="G6:G34" si="2">IFERROR(INDEX(WN_Cat_Code,MATCH($F6,WN_Cat_Name,0)),"")</f>
        <v>WN</v>
      </c>
      <c r="H6" s="14" t="s">
        <v>138</v>
      </c>
      <c r="I6" s="15" t="str">
        <f t="shared" ref="I6:I34" si="3">IFERROR(INDEX(WN_G1_Code,MATCH($H6,WN_G1_Name,0)),"")</f>
        <v>HN</v>
      </c>
      <c r="J6" s="14" t="s">
        <v>131</v>
      </c>
      <c r="K6" s="15" t="str">
        <f t="shared" ref="K6:K34" si="4">IFERROR(INDEX(WN_G2_Code,MATCH($J6,WN_G2_Name,0)),"")</f>
        <v>GN</v>
      </c>
      <c r="L6" s="14">
        <v>1</v>
      </c>
      <c r="M6" s="16"/>
      <c r="N6" s="15" t="str">
        <f t="shared" ref="N6:N34" si="5">IFERROR(INDEX(CWh_Code,MATCH($M6,CWh_Name,0)),"")</f>
        <v/>
      </c>
      <c r="O6" s="17"/>
      <c r="P6" s="17"/>
      <c r="Q6" s="17"/>
      <c r="R6" s="15" t="str">
        <f t="shared" ref="R6:R34" si="6">$G6&amp;IF($I6&lt;&gt;"","."&amp;$I6,"")&amp;IF($K6&lt;&gt;"","."&amp;$K6,"")</f>
        <v>WN.HN.GN</v>
      </c>
      <c r="S6" s="18" t="str">
        <f t="shared" ref="S6:S34" si="7">IF(AND($F6&lt;&gt;"",$H6&lt;&gt;"",$J6&lt;&gt;"",OR(OR($I6="CM",$I6="SY"),$L6&lt;&gt;"")),$C6&amp;"_"&amp;$E6&amp;$R6&amp;IF(AND(OR($I6="CM",$I6="SY")=FALSE,$L6&lt;&gt;""),"_L"&amp;TEXT($L6,"0"),"")&amp;IF($N6&lt;&gt;"","_"&amp;$N6,"")&amp;IF($O6&lt;&gt;"","_"&amp;$O6,"")&amp;IF($P6&lt;&gt;"","_"&amp;$P6,"")&amp;IF($Q6&lt;&gt;"","_"&amp;$Q6,""),"")</f>
        <v>e_WN.HN.GN_L1</v>
      </c>
      <c r="T6" s="19" t="str">
        <f t="shared" ref="T6:T34" si="8">IFERROR(IF(OR($G6="",$J6=""),"",$G6&amp;"-"&amp;LEFT(INDEX(WN_G2_TM,MATCH($J6,WN_G2_Name,0)),1)&amp;"xx"&amp;"_{W}x{H}"),"")</f>
        <v>WN-0xx_{W}x{H}</v>
      </c>
    </row>
    <row r="7" spans="1:20" x14ac:dyDescent="0.25">
      <c r="A7" s="13" t="s">
        <v>676</v>
      </c>
      <c r="B7" s="14" t="s">
        <v>92</v>
      </c>
      <c r="C7" s="15" t="str">
        <f t="shared" si="0"/>
        <v>e</v>
      </c>
      <c r="D7" s="16"/>
      <c r="E7" s="15" t="str">
        <f t="shared" si="1"/>
        <v/>
      </c>
      <c r="F7" s="14" t="s">
        <v>189</v>
      </c>
      <c r="G7" s="15" t="str">
        <f t="shared" si="2"/>
        <v>WN</v>
      </c>
      <c r="H7" s="14" t="s">
        <v>138</v>
      </c>
      <c r="I7" s="15" t="str">
        <f t="shared" si="3"/>
        <v>HN</v>
      </c>
      <c r="J7" s="14" t="s">
        <v>131</v>
      </c>
      <c r="K7" s="15" t="str">
        <f t="shared" si="4"/>
        <v>GN</v>
      </c>
      <c r="L7" s="14">
        <v>2</v>
      </c>
      <c r="M7" s="16"/>
      <c r="N7" s="15" t="str">
        <f t="shared" si="5"/>
        <v/>
      </c>
      <c r="O7" s="17"/>
      <c r="P7" s="17"/>
      <c r="Q7" s="17"/>
      <c r="R7" s="15" t="str">
        <f t="shared" si="6"/>
        <v>WN.HN.GN</v>
      </c>
      <c r="S7" s="18" t="str">
        <f t="shared" si="7"/>
        <v>e_WN.HN.GN_L2</v>
      </c>
      <c r="T7" s="19" t="str">
        <f t="shared" si="8"/>
        <v>WN-0xx_{W}x{H}</v>
      </c>
    </row>
    <row r="8" spans="1:20" x14ac:dyDescent="0.25">
      <c r="A8" s="13" t="s">
        <v>677</v>
      </c>
      <c r="B8" s="14" t="s">
        <v>92</v>
      </c>
      <c r="C8" s="15" t="str">
        <f t="shared" si="0"/>
        <v>e</v>
      </c>
      <c r="D8" s="16"/>
      <c r="E8" s="15" t="str">
        <f t="shared" si="1"/>
        <v/>
      </c>
      <c r="F8" s="14" t="s">
        <v>189</v>
      </c>
      <c r="G8" s="15" t="str">
        <f t="shared" si="2"/>
        <v>WN</v>
      </c>
      <c r="H8" s="14" t="s">
        <v>176</v>
      </c>
      <c r="I8" s="15" t="str">
        <f t="shared" si="3"/>
        <v>FX</v>
      </c>
      <c r="J8" s="14" t="s">
        <v>131</v>
      </c>
      <c r="K8" s="15" t="str">
        <f t="shared" si="4"/>
        <v>GN</v>
      </c>
      <c r="L8" s="14">
        <v>1</v>
      </c>
      <c r="M8" s="16"/>
      <c r="N8" s="15" t="str">
        <f t="shared" si="5"/>
        <v/>
      </c>
      <c r="O8" s="17"/>
      <c r="P8" s="17"/>
      <c r="Q8" s="17"/>
      <c r="R8" s="15" t="str">
        <f t="shared" si="6"/>
        <v>WN.FX.GN</v>
      </c>
      <c r="S8" s="18" t="str">
        <f t="shared" si="7"/>
        <v>e_WN.FX.GN_L1</v>
      </c>
      <c r="T8" s="19" t="str">
        <f t="shared" si="8"/>
        <v>WN-0xx_{W}x{H}</v>
      </c>
    </row>
    <row r="9" spans="1:20" x14ac:dyDescent="0.25">
      <c r="A9" s="13" t="s">
        <v>679</v>
      </c>
      <c r="B9" s="14" t="s">
        <v>92</v>
      </c>
      <c r="C9" s="15" t="str">
        <f t="shared" si="0"/>
        <v>e</v>
      </c>
      <c r="D9" s="16"/>
      <c r="E9" s="15" t="str">
        <f t="shared" si="1"/>
        <v/>
      </c>
      <c r="F9" s="14" t="s">
        <v>189</v>
      </c>
      <c r="G9" s="15" t="str">
        <f t="shared" si="2"/>
        <v>WN</v>
      </c>
      <c r="H9" s="14" t="s">
        <v>199</v>
      </c>
      <c r="I9" s="15" t="str">
        <f t="shared" si="3"/>
        <v>HP</v>
      </c>
      <c r="J9" s="14" t="s">
        <v>131</v>
      </c>
      <c r="K9" s="15" t="str">
        <f t="shared" si="4"/>
        <v>GN</v>
      </c>
      <c r="L9" s="14">
        <v>1</v>
      </c>
      <c r="M9" s="16"/>
      <c r="N9" s="15" t="str">
        <f t="shared" si="5"/>
        <v/>
      </c>
      <c r="O9" s="17"/>
      <c r="P9" s="17"/>
      <c r="Q9" s="17"/>
      <c r="R9" s="15" t="str">
        <f t="shared" si="6"/>
        <v>WN.HP.GN</v>
      </c>
      <c r="S9" s="18" t="str">
        <f t="shared" si="7"/>
        <v>e_WN.HP.GN_L1</v>
      </c>
      <c r="T9" s="19" t="str">
        <f t="shared" si="8"/>
        <v>WN-0xx_{W}x{H}</v>
      </c>
    </row>
    <row r="10" spans="1:20" x14ac:dyDescent="0.25">
      <c r="A10" s="13" t="s">
        <v>680</v>
      </c>
      <c r="B10" s="14" t="s">
        <v>92</v>
      </c>
      <c r="C10" s="15" t="str">
        <f t="shared" si="0"/>
        <v>e</v>
      </c>
      <c r="D10" s="16"/>
      <c r="E10" s="15" t="str">
        <f t="shared" si="1"/>
        <v/>
      </c>
      <c r="F10" s="14" t="s">
        <v>189</v>
      </c>
      <c r="G10" s="15" t="str">
        <f t="shared" si="2"/>
        <v>WN</v>
      </c>
      <c r="H10" s="14" t="s">
        <v>176</v>
      </c>
      <c r="I10" s="15" t="str">
        <f t="shared" si="3"/>
        <v>FX</v>
      </c>
      <c r="J10" s="14" t="s">
        <v>131</v>
      </c>
      <c r="K10" s="15" t="str">
        <f t="shared" si="4"/>
        <v>GN</v>
      </c>
      <c r="L10" s="14">
        <v>1</v>
      </c>
      <c r="M10" s="16" t="s">
        <v>111</v>
      </c>
      <c r="N10" s="15" t="str">
        <f t="shared" si="5"/>
        <v>CW</v>
      </c>
      <c r="O10" s="17" t="s">
        <v>686</v>
      </c>
      <c r="P10" s="17"/>
      <c r="Q10" s="17"/>
      <c r="R10" s="15" t="str">
        <f t="shared" si="6"/>
        <v>WN.FX.GN</v>
      </c>
      <c r="S10" s="18" t="str">
        <f t="shared" si="7"/>
        <v>e_WN.FX.GN_L1_CW_Schuco</v>
      </c>
      <c r="T10" s="19" t="str">
        <f t="shared" si="8"/>
        <v>WN-0xx_{W}x{H}</v>
      </c>
    </row>
    <row r="11" spans="1:20" x14ac:dyDescent="0.25">
      <c r="A11" s="13" t="s">
        <v>682</v>
      </c>
      <c r="B11" s="14" t="s">
        <v>92</v>
      </c>
      <c r="C11" s="15" t="str">
        <f t="shared" si="0"/>
        <v>e</v>
      </c>
      <c r="D11" s="16"/>
      <c r="E11" s="15" t="str">
        <f t="shared" si="1"/>
        <v/>
      </c>
      <c r="F11" s="14" t="s">
        <v>189</v>
      </c>
      <c r="G11" s="15" t="str">
        <f t="shared" si="2"/>
        <v>WN</v>
      </c>
      <c r="H11" s="14" t="s">
        <v>145</v>
      </c>
      <c r="I11" s="15" t="str">
        <f t="shared" si="3"/>
        <v>SL</v>
      </c>
      <c r="J11" s="14" t="s">
        <v>193</v>
      </c>
      <c r="K11" s="15" t="str">
        <f t="shared" si="4"/>
        <v>FD</v>
      </c>
      <c r="L11" s="14">
        <v>2</v>
      </c>
      <c r="M11" s="16"/>
      <c r="N11" s="15" t="str">
        <f t="shared" si="5"/>
        <v/>
      </c>
      <c r="O11" s="17" t="s">
        <v>686</v>
      </c>
      <c r="P11" s="17"/>
      <c r="Q11" s="17"/>
      <c r="R11" s="15" t="str">
        <f t="shared" si="6"/>
        <v>WN.SL.FD</v>
      </c>
      <c r="S11" s="18" t="str">
        <f t="shared" si="7"/>
        <v>e_WN.SL.FD_L2_Schuco</v>
      </c>
      <c r="T11" s="19" t="str">
        <f t="shared" si="8"/>
        <v>WN-1xx_{W}x{H}</v>
      </c>
    </row>
    <row r="12" spans="1:20" x14ac:dyDescent="0.25">
      <c r="A12" s="13" t="s">
        <v>685</v>
      </c>
      <c r="B12" s="14" t="s">
        <v>92</v>
      </c>
      <c r="C12" s="15" t="str">
        <f t="shared" si="0"/>
        <v>e</v>
      </c>
      <c r="D12" s="16"/>
      <c r="E12" s="15" t="str">
        <f t="shared" si="1"/>
        <v/>
      </c>
      <c r="F12" s="14" t="s">
        <v>189</v>
      </c>
      <c r="G12" s="15" t="str">
        <f t="shared" si="2"/>
        <v>WN</v>
      </c>
      <c r="H12" s="14" t="s">
        <v>176</v>
      </c>
      <c r="I12" s="15" t="str">
        <f t="shared" si="3"/>
        <v>FX</v>
      </c>
      <c r="J12" s="14" t="s">
        <v>196</v>
      </c>
      <c r="K12" s="15" t="str">
        <f t="shared" si="4"/>
        <v>SK</v>
      </c>
      <c r="L12" s="14">
        <v>1</v>
      </c>
      <c r="M12" s="16"/>
      <c r="N12" s="15" t="str">
        <f t="shared" si="5"/>
        <v/>
      </c>
      <c r="O12" s="17" t="s">
        <v>731</v>
      </c>
      <c r="P12" s="17"/>
      <c r="Q12" s="17"/>
      <c r="R12" s="15" t="str">
        <f t="shared" si="6"/>
        <v>WN.FX.SK</v>
      </c>
      <c r="S12" s="18" t="str">
        <f t="shared" si="7"/>
        <v>e_WN.FX.SK_L1_Velux</v>
      </c>
      <c r="T12" s="19" t="str">
        <f t="shared" si="8"/>
        <v>WN-2xx_{W}x{H}</v>
      </c>
    </row>
    <row r="13" spans="1:20" x14ac:dyDescent="0.25">
      <c r="A13" s="13" t="s">
        <v>687</v>
      </c>
      <c r="B13" s="14" t="s">
        <v>92</v>
      </c>
      <c r="C13" s="15" t="str">
        <f t="shared" si="0"/>
        <v>e</v>
      </c>
      <c r="D13" s="16"/>
      <c r="E13" s="15" t="str">
        <f t="shared" si="1"/>
        <v/>
      </c>
      <c r="F13" s="14" t="s">
        <v>189</v>
      </c>
      <c r="G13" s="15" t="str">
        <f t="shared" si="2"/>
        <v>WN</v>
      </c>
      <c r="H13" s="14" t="s">
        <v>176</v>
      </c>
      <c r="I13" s="15" t="str">
        <f t="shared" si="3"/>
        <v>FX</v>
      </c>
      <c r="J13" s="14" t="s">
        <v>202</v>
      </c>
      <c r="K13" s="15" t="str">
        <f t="shared" si="4"/>
        <v>SF</v>
      </c>
      <c r="L13" s="14">
        <v>1</v>
      </c>
      <c r="M13" s="16"/>
      <c r="N13" s="15" t="str">
        <f t="shared" si="5"/>
        <v/>
      </c>
      <c r="O13" s="17"/>
      <c r="P13" s="17"/>
      <c r="Q13" s="17"/>
      <c r="R13" s="15" t="str">
        <f t="shared" si="6"/>
        <v>WN.FX.SF</v>
      </c>
      <c r="S13" s="18" t="str">
        <f t="shared" si="7"/>
        <v>e_WN.FX.SF_L1</v>
      </c>
      <c r="T13" s="19" t="str">
        <f t="shared" si="8"/>
        <v>WN-3xx_{W}x{H}</v>
      </c>
    </row>
    <row r="14" spans="1:20" x14ac:dyDescent="0.25">
      <c r="A14" s="13" t="s">
        <v>689</v>
      </c>
      <c r="B14" s="14" t="s">
        <v>92</v>
      </c>
      <c r="C14" s="15" t="str">
        <f t="shared" si="0"/>
        <v>e</v>
      </c>
      <c r="D14" s="16"/>
      <c r="E14" s="15" t="str">
        <f t="shared" si="1"/>
        <v/>
      </c>
      <c r="F14" s="14" t="s">
        <v>189</v>
      </c>
      <c r="G14" s="15" t="str">
        <f t="shared" si="2"/>
        <v>WN</v>
      </c>
      <c r="H14" s="14" t="s">
        <v>176</v>
      </c>
      <c r="I14" s="15" t="str">
        <f t="shared" si="3"/>
        <v>FX</v>
      </c>
      <c r="J14" s="14" t="s">
        <v>208</v>
      </c>
      <c r="K14" s="15" t="str">
        <f t="shared" si="4"/>
        <v>VN</v>
      </c>
      <c r="L14" s="14">
        <v>1</v>
      </c>
      <c r="M14" s="16"/>
      <c r="N14" s="15" t="str">
        <f t="shared" si="5"/>
        <v/>
      </c>
      <c r="O14" s="17" t="s">
        <v>732</v>
      </c>
      <c r="P14" s="17"/>
      <c r="Q14" s="17"/>
      <c r="R14" s="15" t="str">
        <f t="shared" si="6"/>
        <v>WN.FX.VN</v>
      </c>
      <c r="S14" s="18" t="str">
        <f t="shared" si="7"/>
        <v>e_WN.FX.VN_L1_Colt</v>
      </c>
      <c r="T14" s="19" t="str">
        <f t="shared" si="8"/>
        <v>WN-4xx_{W}x{H}</v>
      </c>
    </row>
    <row r="15" spans="1:20" x14ac:dyDescent="0.25">
      <c r="A15" s="13" t="s">
        <v>691</v>
      </c>
      <c r="B15" s="14" t="s">
        <v>92</v>
      </c>
      <c r="C15" s="15" t="str">
        <f t="shared" si="0"/>
        <v>e</v>
      </c>
      <c r="D15" s="16"/>
      <c r="E15" s="15" t="str">
        <f t="shared" si="1"/>
        <v/>
      </c>
      <c r="F15" s="14" t="s">
        <v>189</v>
      </c>
      <c r="G15" s="15" t="str">
        <f t="shared" si="2"/>
        <v>WN</v>
      </c>
      <c r="H15" s="14" t="s">
        <v>131</v>
      </c>
      <c r="I15" s="15" t="str">
        <f t="shared" si="3"/>
        <v>GN</v>
      </c>
      <c r="J15" s="14" t="s">
        <v>212</v>
      </c>
      <c r="K15" s="15" t="str">
        <f t="shared" si="4"/>
        <v>SU</v>
      </c>
      <c r="L15" s="14">
        <v>2</v>
      </c>
      <c r="M15" s="16"/>
      <c r="N15" s="15" t="str">
        <f t="shared" si="5"/>
        <v/>
      </c>
      <c r="O15" s="17"/>
      <c r="P15" s="17"/>
      <c r="Q15" s="17" t="s">
        <v>733</v>
      </c>
      <c r="R15" s="15" t="str">
        <f t="shared" si="6"/>
        <v>WN.GN.SU</v>
      </c>
      <c r="S15" s="18" t="str">
        <f t="shared" si="7"/>
        <v>e_WN.GN.SU_L2_Louvred</v>
      </c>
      <c r="T15" s="19" t="str">
        <f t="shared" si="8"/>
        <v>WN-5xx_{W}x{H}</v>
      </c>
    </row>
    <row r="16" spans="1:20" x14ac:dyDescent="0.25">
      <c r="A16" s="13" t="s">
        <v>693</v>
      </c>
      <c r="B16" s="14" t="s">
        <v>92</v>
      </c>
      <c r="C16" s="15" t="str">
        <f t="shared" si="0"/>
        <v>e</v>
      </c>
      <c r="D16" s="16"/>
      <c r="E16" s="15" t="str">
        <f t="shared" si="1"/>
        <v/>
      </c>
      <c r="F16" s="14" t="s">
        <v>189</v>
      </c>
      <c r="G16" s="15" t="str">
        <f t="shared" si="2"/>
        <v>WN</v>
      </c>
      <c r="H16" s="14" t="s">
        <v>131</v>
      </c>
      <c r="I16" s="15" t="str">
        <f t="shared" si="3"/>
        <v>GN</v>
      </c>
      <c r="J16" s="14" t="s">
        <v>216</v>
      </c>
      <c r="K16" s="15" t="str">
        <f t="shared" si="4"/>
        <v>AH</v>
      </c>
      <c r="L16" s="14">
        <v>1</v>
      </c>
      <c r="M16" s="16"/>
      <c r="N16" s="15" t="str">
        <f t="shared" si="5"/>
        <v/>
      </c>
      <c r="O16" s="17"/>
      <c r="P16" s="17"/>
      <c r="Q16" s="17"/>
      <c r="R16" s="15" t="str">
        <f t="shared" si="6"/>
        <v>WN.GN.AH</v>
      </c>
      <c r="S16" s="18" t="str">
        <f t="shared" si="7"/>
        <v>e_WN.GN.AH_L1</v>
      </c>
      <c r="T16" s="19" t="str">
        <f t="shared" si="8"/>
        <v>WN-6xx_{W}x{H}</v>
      </c>
    </row>
    <row r="17" spans="1:20" x14ac:dyDescent="0.25">
      <c r="A17" s="13" t="s">
        <v>695</v>
      </c>
      <c r="B17" s="14" t="s">
        <v>92</v>
      </c>
      <c r="C17" s="15" t="str">
        <f t="shared" si="0"/>
        <v>e</v>
      </c>
      <c r="D17" s="16"/>
      <c r="E17" s="15" t="str">
        <f t="shared" si="1"/>
        <v/>
      </c>
      <c r="F17" s="14" t="s">
        <v>189</v>
      </c>
      <c r="G17" s="15" t="str">
        <f t="shared" si="2"/>
        <v>WN</v>
      </c>
      <c r="H17" s="14" t="s">
        <v>131</v>
      </c>
      <c r="I17" s="15" t="str">
        <f t="shared" si="3"/>
        <v>GN</v>
      </c>
      <c r="J17" s="14" t="s">
        <v>162</v>
      </c>
      <c r="K17" s="15" t="str">
        <f t="shared" si="4"/>
        <v>OP</v>
      </c>
      <c r="L17" s="14">
        <v>0</v>
      </c>
      <c r="M17" s="16"/>
      <c r="N17" s="15" t="str">
        <f t="shared" si="5"/>
        <v/>
      </c>
      <c r="O17" s="17"/>
      <c r="P17" s="17"/>
      <c r="Q17" s="17"/>
      <c r="R17" s="15" t="str">
        <f t="shared" si="6"/>
        <v>WN.GN.OP</v>
      </c>
      <c r="S17" s="18" t="str">
        <f t="shared" si="7"/>
        <v>e_WN.GN.OP_L0</v>
      </c>
      <c r="T17" s="19" t="str">
        <f t="shared" si="8"/>
        <v>WN-7xx_{W}x{H}</v>
      </c>
    </row>
    <row r="18" spans="1:20" x14ac:dyDescent="0.25">
      <c r="A18" s="13" t="s">
        <v>696</v>
      </c>
      <c r="B18" s="14" t="s">
        <v>92</v>
      </c>
      <c r="C18" s="15" t="str">
        <f t="shared" si="0"/>
        <v>e</v>
      </c>
      <c r="D18" s="16"/>
      <c r="E18" s="15" t="str">
        <f t="shared" si="1"/>
        <v/>
      </c>
      <c r="F18" s="14" t="s">
        <v>189</v>
      </c>
      <c r="G18" s="15" t="str">
        <f t="shared" si="2"/>
        <v>WN</v>
      </c>
      <c r="H18" s="14" t="s">
        <v>103</v>
      </c>
      <c r="I18" s="15" t="str">
        <f t="shared" si="3"/>
        <v>CM</v>
      </c>
      <c r="J18" s="14" t="s">
        <v>169</v>
      </c>
      <c r="K18" s="15" t="str">
        <f t="shared" si="4"/>
        <v>OT</v>
      </c>
      <c r="L18" s="14"/>
      <c r="M18" s="16"/>
      <c r="N18" s="15" t="str">
        <f t="shared" si="5"/>
        <v/>
      </c>
      <c r="O18" s="17"/>
      <c r="P18" s="17"/>
      <c r="Q18" s="17" t="s">
        <v>698</v>
      </c>
      <c r="R18" s="15" t="str">
        <f t="shared" si="6"/>
        <v>WN.CM.OT</v>
      </c>
      <c r="S18" s="18" t="str">
        <f t="shared" si="7"/>
        <v>e_WN.CM.OT_Handle</v>
      </c>
      <c r="T18" s="19" t="str">
        <f t="shared" si="8"/>
        <v>WN-9xx_{W}x{H}</v>
      </c>
    </row>
    <row r="19" spans="1:20" x14ac:dyDescent="0.25">
      <c r="A19" s="13" t="s">
        <v>699</v>
      </c>
      <c r="B19" s="14" t="s">
        <v>92</v>
      </c>
      <c r="C19" s="15" t="str">
        <f t="shared" si="0"/>
        <v>e</v>
      </c>
      <c r="D19" s="16" t="s">
        <v>97</v>
      </c>
      <c r="E19" s="15" t="str">
        <f t="shared" si="1"/>
        <v>(I)</v>
      </c>
      <c r="F19" s="14" t="s">
        <v>189</v>
      </c>
      <c r="G19" s="15" t="str">
        <f t="shared" si="2"/>
        <v>WN</v>
      </c>
      <c r="H19" s="14" t="s">
        <v>138</v>
      </c>
      <c r="I19" s="15" t="str">
        <f t="shared" si="3"/>
        <v>HN</v>
      </c>
      <c r="J19" s="14" t="s">
        <v>131</v>
      </c>
      <c r="K19" s="15" t="str">
        <f t="shared" si="4"/>
        <v>GN</v>
      </c>
      <c r="L19" s="14">
        <v>1</v>
      </c>
      <c r="M19" s="16"/>
      <c r="N19" s="15" t="str">
        <f t="shared" si="5"/>
        <v/>
      </c>
      <c r="O19" s="17"/>
      <c r="P19" s="17"/>
      <c r="Q19" s="17"/>
      <c r="R19" s="15" t="str">
        <f t="shared" si="6"/>
        <v>WN.HN.GN</v>
      </c>
      <c r="S19" s="18" t="str">
        <f t="shared" si="7"/>
        <v>e_(I)WN.HN.GN_L1</v>
      </c>
      <c r="T19" s="19" t="str">
        <f t="shared" si="8"/>
        <v>WN-0xx_{W}x{H}</v>
      </c>
    </row>
    <row r="20" spans="1:20" x14ac:dyDescent="0.25">
      <c r="A20" s="21">
        <v>1</v>
      </c>
      <c r="B20" s="22"/>
      <c r="C20" s="23" t="str">
        <f t="shared" si="0"/>
        <v/>
      </c>
      <c r="D20" s="24"/>
      <c r="E20" s="23" t="str">
        <f t="shared" si="1"/>
        <v/>
      </c>
      <c r="F20" s="22"/>
      <c r="G20" s="23" t="str">
        <f t="shared" si="2"/>
        <v/>
      </c>
      <c r="H20" s="22"/>
      <c r="I20" s="23" t="str">
        <f t="shared" si="3"/>
        <v/>
      </c>
      <c r="J20" s="22"/>
      <c r="K20" s="23" t="str">
        <f t="shared" si="4"/>
        <v/>
      </c>
      <c r="L20" s="22"/>
      <c r="M20" s="24"/>
      <c r="N20" s="23" t="str">
        <f t="shared" si="5"/>
        <v/>
      </c>
      <c r="O20" s="25"/>
      <c r="P20" s="25"/>
      <c r="Q20" s="25"/>
      <c r="R20" s="23" t="str">
        <f t="shared" si="6"/>
        <v/>
      </c>
      <c r="S20" s="26" t="str">
        <f t="shared" si="7"/>
        <v/>
      </c>
      <c r="T20" s="27" t="str">
        <f t="shared" si="8"/>
        <v/>
      </c>
    </row>
    <row r="21" spans="1:20" x14ac:dyDescent="0.25">
      <c r="A21" s="21">
        <v>2</v>
      </c>
      <c r="B21" s="22"/>
      <c r="C21" s="23" t="str">
        <f t="shared" si="0"/>
        <v/>
      </c>
      <c r="D21" s="24"/>
      <c r="E21" s="23" t="str">
        <f t="shared" si="1"/>
        <v/>
      </c>
      <c r="F21" s="22"/>
      <c r="G21" s="23" t="str">
        <f t="shared" si="2"/>
        <v/>
      </c>
      <c r="H21" s="22"/>
      <c r="I21" s="23" t="str">
        <f t="shared" si="3"/>
        <v/>
      </c>
      <c r="J21" s="22"/>
      <c r="K21" s="23" t="str">
        <f t="shared" si="4"/>
        <v/>
      </c>
      <c r="L21" s="22"/>
      <c r="M21" s="24"/>
      <c r="N21" s="23" t="str">
        <f t="shared" si="5"/>
        <v/>
      </c>
      <c r="O21" s="25"/>
      <c r="P21" s="25"/>
      <c r="Q21" s="25"/>
      <c r="R21" s="23" t="str">
        <f t="shared" si="6"/>
        <v/>
      </c>
      <c r="S21" s="26" t="str">
        <f t="shared" si="7"/>
        <v/>
      </c>
      <c r="T21" s="27" t="str">
        <f t="shared" si="8"/>
        <v/>
      </c>
    </row>
    <row r="22" spans="1:20" x14ac:dyDescent="0.25">
      <c r="A22" s="21">
        <v>3</v>
      </c>
      <c r="B22" s="22"/>
      <c r="C22" s="23" t="str">
        <f t="shared" si="0"/>
        <v/>
      </c>
      <c r="D22" s="24"/>
      <c r="E22" s="23" t="str">
        <f t="shared" si="1"/>
        <v/>
      </c>
      <c r="F22" s="22"/>
      <c r="G22" s="23" t="str">
        <f t="shared" si="2"/>
        <v/>
      </c>
      <c r="H22" s="22"/>
      <c r="I22" s="23" t="str">
        <f t="shared" si="3"/>
        <v/>
      </c>
      <c r="J22" s="22"/>
      <c r="K22" s="23" t="str">
        <f t="shared" si="4"/>
        <v/>
      </c>
      <c r="L22" s="22"/>
      <c r="M22" s="24"/>
      <c r="N22" s="23" t="str">
        <f t="shared" si="5"/>
        <v/>
      </c>
      <c r="O22" s="25"/>
      <c r="P22" s="25"/>
      <c r="Q22" s="25"/>
      <c r="R22" s="23" t="str">
        <f t="shared" si="6"/>
        <v/>
      </c>
      <c r="S22" s="26" t="str">
        <f t="shared" si="7"/>
        <v/>
      </c>
      <c r="T22" s="27" t="str">
        <f t="shared" si="8"/>
        <v/>
      </c>
    </row>
    <row r="23" spans="1:20" x14ac:dyDescent="0.25">
      <c r="A23" s="21">
        <v>4</v>
      </c>
      <c r="B23" s="22"/>
      <c r="C23" s="23" t="str">
        <f t="shared" si="0"/>
        <v/>
      </c>
      <c r="D23" s="24"/>
      <c r="E23" s="23" t="str">
        <f t="shared" si="1"/>
        <v/>
      </c>
      <c r="F23" s="22"/>
      <c r="G23" s="23" t="str">
        <f t="shared" si="2"/>
        <v/>
      </c>
      <c r="H23" s="22"/>
      <c r="I23" s="23" t="str">
        <f t="shared" si="3"/>
        <v/>
      </c>
      <c r="J23" s="22"/>
      <c r="K23" s="23" t="str">
        <f t="shared" si="4"/>
        <v/>
      </c>
      <c r="L23" s="22"/>
      <c r="M23" s="24"/>
      <c r="N23" s="23" t="str">
        <f t="shared" si="5"/>
        <v/>
      </c>
      <c r="O23" s="25"/>
      <c r="P23" s="25"/>
      <c r="Q23" s="25"/>
      <c r="R23" s="23" t="str">
        <f t="shared" si="6"/>
        <v/>
      </c>
      <c r="S23" s="26" t="str">
        <f t="shared" si="7"/>
        <v/>
      </c>
      <c r="T23" s="27" t="str">
        <f t="shared" si="8"/>
        <v/>
      </c>
    </row>
    <row r="24" spans="1:20" x14ac:dyDescent="0.25">
      <c r="A24" s="21">
        <v>5</v>
      </c>
      <c r="B24" s="22"/>
      <c r="C24" s="23" t="str">
        <f t="shared" si="0"/>
        <v/>
      </c>
      <c r="D24" s="24"/>
      <c r="E24" s="23" t="str">
        <f t="shared" si="1"/>
        <v/>
      </c>
      <c r="F24" s="22"/>
      <c r="G24" s="23" t="str">
        <f t="shared" si="2"/>
        <v/>
      </c>
      <c r="H24" s="22"/>
      <c r="I24" s="23" t="str">
        <f t="shared" si="3"/>
        <v/>
      </c>
      <c r="J24" s="22"/>
      <c r="K24" s="23" t="str">
        <f t="shared" si="4"/>
        <v/>
      </c>
      <c r="L24" s="22"/>
      <c r="M24" s="24"/>
      <c r="N24" s="23" t="str">
        <f t="shared" si="5"/>
        <v/>
      </c>
      <c r="O24" s="25"/>
      <c r="P24" s="25"/>
      <c r="Q24" s="25"/>
      <c r="R24" s="23" t="str">
        <f t="shared" si="6"/>
        <v/>
      </c>
      <c r="S24" s="26" t="str">
        <f t="shared" si="7"/>
        <v/>
      </c>
      <c r="T24" s="27" t="str">
        <f t="shared" si="8"/>
        <v/>
      </c>
    </row>
    <row r="25" spans="1:20" x14ac:dyDescent="0.25">
      <c r="A25" s="21">
        <v>6</v>
      </c>
      <c r="B25" s="22"/>
      <c r="C25" s="23" t="str">
        <f t="shared" si="0"/>
        <v/>
      </c>
      <c r="D25" s="24"/>
      <c r="E25" s="23" t="str">
        <f t="shared" si="1"/>
        <v/>
      </c>
      <c r="F25" s="22"/>
      <c r="G25" s="23" t="str">
        <f t="shared" si="2"/>
        <v/>
      </c>
      <c r="H25" s="22"/>
      <c r="I25" s="23" t="str">
        <f t="shared" si="3"/>
        <v/>
      </c>
      <c r="J25" s="22"/>
      <c r="K25" s="23" t="str">
        <f t="shared" si="4"/>
        <v/>
      </c>
      <c r="L25" s="22"/>
      <c r="M25" s="24"/>
      <c r="N25" s="23" t="str">
        <f t="shared" si="5"/>
        <v/>
      </c>
      <c r="O25" s="25"/>
      <c r="P25" s="25"/>
      <c r="Q25" s="25"/>
      <c r="R25" s="23" t="str">
        <f t="shared" si="6"/>
        <v/>
      </c>
      <c r="S25" s="26" t="str">
        <f t="shared" si="7"/>
        <v/>
      </c>
      <c r="T25" s="27" t="str">
        <f t="shared" si="8"/>
        <v/>
      </c>
    </row>
    <row r="26" spans="1:20" x14ac:dyDescent="0.25">
      <c r="A26" s="21">
        <v>7</v>
      </c>
      <c r="B26" s="22"/>
      <c r="C26" s="23" t="str">
        <f t="shared" si="0"/>
        <v/>
      </c>
      <c r="D26" s="24"/>
      <c r="E26" s="23" t="str">
        <f t="shared" si="1"/>
        <v/>
      </c>
      <c r="F26" s="22"/>
      <c r="G26" s="23" t="str">
        <f t="shared" si="2"/>
        <v/>
      </c>
      <c r="H26" s="22"/>
      <c r="I26" s="23" t="str">
        <f t="shared" si="3"/>
        <v/>
      </c>
      <c r="J26" s="22"/>
      <c r="K26" s="23" t="str">
        <f t="shared" si="4"/>
        <v/>
      </c>
      <c r="L26" s="22"/>
      <c r="M26" s="24"/>
      <c r="N26" s="23" t="str">
        <f t="shared" si="5"/>
        <v/>
      </c>
      <c r="O26" s="25"/>
      <c r="P26" s="25"/>
      <c r="Q26" s="25"/>
      <c r="R26" s="23" t="str">
        <f t="shared" si="6"/>
        <v/>
      </c>
      <c r="S26" s="26" t="str">
        <f t="shared" si="7"/>
        <v/>
      </c>
      <c r="T26" s="27" t="str">
        <f t="shared" si="8"/>
        <v/>
      </c>
    </row>
    <row r="27" spans="1:20" x14ac:dyDescent="0.25">
      <c r="A27" s="21">
        <v>8</v>
      </c>
      <c r="B27" s="22"/>
      <c r="C27" s="23" t="str">
        <f t="shared" si="0"/>
        <v/>
      </c>
      <c r="D27" s="24"/>
      <c r="E27" s="23" t="str">
        <f t="shared" si="1"/>
        <v/>
      </c>
      <c r="F27" s="22"/>
      <c r="G27" s="23" t="str">
        <f t="shared" si="2"/>
        <v/>
      </c>
      <c r="H27" s="22"/>
      <c r="I27" s="23" t="str">
        <f t="shared" si="3"/>
        <v/>
      </c>
      <c r="J27" s="22"/>
      <c r="K27" s="23" t="str">
        <f t="shared" si="4"/>
        <v/>
      </c>
      <c r="L27" s="22"/>
      <c r="M27" s="24"/>
      <c r="N27" s="23" t="str">
        <f t="shared" si="5"/>
        <v/>
      </c>
      <c r="O27" s="25"/>
      <c r="P27" s="25"/>
      <c r="Q27" s="25"/>
      <c r="R27" s="23" t="str">
        <f t="shared" si="6"/>
        <v/>
      </c>
      <c r="S27" s="26" t="str">
        <f t="shared" si="7"/>
        <v/>
      </c>
      <c r="T27" s="27" t="str">
        <f t="shared" si="8"/>
        <v/>
      </c>
    </row>
    <row r="28" spans="1:20" x14ac:dyDescent="0.25">
      <c r="A28" s="21">
        <v>9</v>
      </c>
      <c r="B28" s="22"/>
      <c r="C28" s="23" t="str">
        <f t="shared" si="0"/>
        <v/>
      </c>
      <c r="D28" s="24"/>
      <c r="E28" s="23" t="str">
        <f t="shared" si="1"/>
        <v/>
      </c>
      <c r="F28" s="22"/>
      <c r="G28" s="23" t="str">
        <f t="shared" si="2"/>
        <v/>
      </c>
      <c r="H28" s="22"/>
      <c r="I28" s="23" t="str">
        <f t="shared" si="3"/>
        <v/>
      </c>
      <c r="J28" s="22"/>
      <c r="K28" s="23" t="str">
        <f t="shared" si="4"/>
        <v/>
      </c>
      <c r="L28" s="22"/>
      <c r="M28" s="24"/>
      <c r="N28" s="23" t="str">
        <f t="shared" si="5"/>
        <v/>
      </c>
      <c r="O28" s="25"/>
      <c r="P28" s="25"/>
      <c r="Q28" s="25"/>
      <c r="R28" s="23" t="str">
        <f t="shared" si="6"/>
        <v/>
      </c>
      <c r="S28" s="26" t="str">
        <f t="shared" si="7"/>
        <v/>
      </c>
      <c r="T28" s="27" t="str">
        <f t="shared" si="8"/>
        <v/>
      </c>
    </row>
    <row r="29" spans="1:20" x14ac:dyDescent="0.25">
      <c r="A29" s="21">
        <v>10</v>
      </c>
      <c r="B29" s="22"/>
      <c r="C29" s="23" t="str">
        <f t="shared" si="0"/>
        <v/>
      </c>
      <c r="D29" s="24"/>
      <c r="E29" s="23" t="str">
        <f t="shared" si="1"/>
        <v/>
      </c>
      <c r="F29" s="22"/>
      <c r="G29" s="23" t="str">
        <f t="shared" si="2"/>
        <v/>
      </c>
      <c r="H29" s="22"/>
      <c r="I29" s="23" t="str">
        <f t="shared" si="3"/>
        <v/>
      </c>
      <c r="J29" s="22"/>
      <c r="K29" s="23" t="str">
        <f t="shared" si="4"/>
        <v/>
      </c>
      <c r="L29" s="22"/>
      <c r="M29" s="24"/>
      <c r="N29" s="23" t="str">
        <f t="shared" si="5"/>
        <v/>
      </c>
      <c r="O29" s="25"/>
      <c r="P29" s="25"/>
      <c r="Q29" s="25"/>
      <c r="R29" s="23" t="str">
        <f t="shared" si="6"/>
        <v/>
      </c>
      <c r="S29" s="26" t="str">
        <f t="shared" si="7"/>
        <v/>
      </c>
      <c r="T29" s="27" t="str">
        <f t="shared" si="8"/>
        <v/>
      </c>
    </row>
    <row r="30" spans="1:20" x14ac:dyDescent="0.25">
      <c r="A30" s="21">
        <v>11</v>
      </c>
      <c r="B30" s="22"/>
      <c r="C30" s="23" t="str">
        <f t="shared" si="0"/>
        <v/>
      </c>
      <c r="D30" s="24"/>
      <c r="E30" s="23" t="str">
        <f t="shared" si="1"/>
        <v/>
      </c>
      <c r="F30" s="22"/>
      <c r="G30" s="23" t="str">
        <f t="shared" si="2"/>
        <v/>
      </c>
      <c r="H30" s="22"/>
      <c r="I30" s="23" t="str">
        <f t="shared" si="3"/>
        <v/>
      </c>
      <c r="J30" s="22"/>
      <c r="K30" s="23" t="str">
        <f t="shared" si="4"/>
        <v/>
      </c>
      <c r="L30" s="22"/>
      <c r="M30" s="24"/>
      <c r="N30" s="23" t="str">
        <f t="shared" si="5"/>
        <v/>
      </c>
      <c r="O30" s="25"/>
      <c r="P30" s="25"/>
      <c r="Q30" s="25"/>
      <c r="R30" s="23" t="str">
        <f t="shared" si="6"/>
        <v/>
      </c>
      <c r="S30" s="26" t="str">
        <f t="shared" si="7"/>
        <v/>
      </c>
      <c r="T30" s="27" t="str">
        <f t="shared" si="8"/>
        <v/>
      </c>
    </row>
    <row r="31" spans="1:20" x14ac:dyDescent="0.25">
      <c r="A31" s="21">
        <v>12</v>
      </c>
      <c r="B31" s="22"/>
      <c r="C31" s="23" t="str">
        <f t="shared" si="0"/>
        <v/>
      </c>
      <c r="D31" s="24"/>
      <c r="E31" s="23" t="str">
        <f t="shared" si="1"/>
        <v/>
      </c>
      <c r="F31" s="22"/>
      <c r="G31" s="23" t="str">
        <f t="shared" si="2"/>
        <v/>
      </c>
      <c r="H31" s="22"/>
      <c r="I31" s="23" t="str">
        <f t="shared" si="3"/>
        <v/>
      </c>
      <c r="J31" s="22"/>
      <c r="K31" s="23" t="str">
        <f t="shared" si="4"/>
        <v/>
      </c>
      <c r="L31" s="22"/>
      <c r="M31" s="24"/>
      <c r="N31" s="23" t="str">
        <f t="shared" si="5"/>
        <v/>
      </c>
      <c r="O31" s="25"/>
      <c r="P31" s="25"/>
      <c r="Q31" s="25"/>
      <c r="R31" s="23" t="str">
        <f t="shared" si="6"/>
        <v/>
      </c>
      <c r="S31" s="26" t="str">
        <f t="shared" si="7"/>
        <v/>
      </c>
      <c r="T31" s="27" t="str">
        <f t="shared" si="8"/>
        <v/>
      </c>
    </row>
    <row r="32" spans="1:20" x14ac:dyDescent="0.25">
      <c r="A32" s="21">
        <v>13</v>
      </c>
      <c r="B32" s="22"/>
      <c r="C32" s="23" t="str">
        <f t="shared" si="0"/>
        <v/>
      </c>
      <c r="D32" s="24"/>
      <c r="E32" s="23" t="str">
        <f t="shared" si="1"/>
        <v/>
      </c>
      <c r="F32" s="22"/>
      <c r="G32" s="23" t="str">
        <f t="shared" si="2"/>
        <v/>
      </c>
      <c r="H32" s="22"/>
      <c r="I32" s="23" t="str">
        <f t="shared" si="3"/>
        <v/>
      </c>
      <c r="J32" s="22"/>
      <c r="K32" s="23" t="str">
        <f t="shared" si="4"/>
        <v/>
      </c>
      <c r="L32" s="22"/>
      <c r="M32" s="24"/>
      <c r="N32" s="23" t="str">
        <f t="shared" si="5"/>
        <v/>
      </c>
      <c r="O32" s="25"/>
      <c r="P32" s="25"/>
      <c r="Q32" s="25"/>
      <c r="R32" s="23" t="str">
        <f t="shared" si="6"/>
        <v/>
      </c>
      <c r="S32" s="26" t="str">
        <f t="shared" si="7"/>
        <v/>
      </c>
      <c r="T32" s="27" t="str">
        <f t="shared" si="8"/>
        <v/>
      </c>
    </row>
    <row r="33" spans="1:20" x14ac:dyDescent="0.25">
      <c r="A33" s="21">
        <v>14</v>
      </c>
      <c r="B33" s="22"/>
      <c r="C33" s="23" t="str">
        <f t="shared" si="0"/>
        <v/>
      </c>
      <c r="D33" s="24"/>
      <c r="E33" s="23" t="str">
        <f t="shared" si="1"/>
        <v/>
      </c>
      <c r="F33" s="22"/>
      <c r="G33" s="23" t="str">
        <f t="shared" si="2"/>
        <v/>
      </c>
      <c r="H33" s="22"/>
      <c r="I33" s="23" t="str">
        <f t="shared" si="3"/>
        <v/>
      </c>
      <c r="J33" s="22"/>
      <c r="K33" s="23" t="str">
        <f t="shared" si="4"/>
        <v/>
      </c>
      <c r="L33" s="22"/>
      <c r="M33" s="24"/>
      <c r="N33" s="23" t="str">
        <f t="shared" si="5"/>
        <v/>
      </c>
      <c r="O33" s="25"/>
      <c r="P33" s="25"/>
      <c r="Q33" s="25"/>
      <c r="R33" s="23" t="str">
        <f t="shared" si="6"/>
        <v/>
      </c>
      <c r="S33" s="26" t="str">
        <f t="shared" si="7"/>
        <v/>
      </c>
      <c r="T33" s="27" t="str">
        <f t="shared" si="8"/>
        <v/>
      </c>
    </row>
    <row r="34" spans="1:20" x14ac:dyDescent="0.25">
      <c r="A34" s="21">
        <v>15</v>
      </c>
      <c r="B34" s="22"/>
      <c r="C34" s="23" t="str">
        <f t="shared" si="0"/>
        <v/>
      </c>
      <c r="D34" s="24"/>
      <c r="E34" s="23" t="str">
        <f t="shared" si="1"/>
        <v/>
      </c>
      <c r="F34" s="22"/>
      <c r="G34" s="23" t="str">
        <f t="shared" si="2"/>
        <v/>
      </c>
      <c r="H34" s="22"/>
      <c r="I34" s="23" t="str">
        <f t="shared" si="3"/>
        <v/>
      </c>
      <c r="J34" s="22"/>
      <c r="K34" s="23" t="str">
        <f t="shared" si="4"/>
        <v/>
      </c>
      <c r="L34" s="22"/>
      <c r="M34" s="24"/>
      <c r="N34" s="23" t="str">
        <f t="shared" si="5"/>
        <v/>
      </c>
      <c r="O34" s="25"/>
      <c r="P34" s="25"/>
      <c r="Q34" s="25"/>
      <c r="R34" s="23" t="str">
        <f t="shared" si="6"/>
        <v/>
      </c>
      <c r="S34" s="26" t="str">
        <f t="shared" si="7"/>
        <v/>
      </c>
      <c r="T34" s="27" t="str">
        <f t="shared" si="8"/>
        <v/>
      </c>
    </row>
    <row r="37" spans="1:20" ht="21.95" customHeight="1" x14ac:dyDescent="0.25">
      <c r="A37" s="41" t="s">
        <v>700</v>
      </c>
      <c r="B37" s="42"/>
      <c r="C37" s="42"/>
      <c r="D37" s="42"/>
      <c r="E37" s="42"/>
      <c r="F37" s="42"/>
      <c r="G37" s="42"/>
      <c r="H37" s="42"/>
      <c r="I37" s="42"/>
      <c r="J37" s="42"/>
      <c r="K37" s="42"/>
      <c r="L37" s="42"/>
      <c r="M37" s="42"/>
      <c r="N37" s="42"/>
      <c r="O37" s="42"/>
      <c r="P37" s="42"/>
      <c r="Q37" s="42"/>
      <c r="R37" s="42"/>
      <c r="S37" s="42"/>
      <c r="T37" s="42"/>
    </row>
    <row r="39" spans="1:20" ht="24" customHeight="1" x14ac:dyDescent="0.25">
      <c r="A39" s="44" t="s">
        <v>734</v>
      </c>
      <c r="B39" s="33"/>
      <c r="C39" s="33"/>
      <c r="D39" s="33"/>
      <c r="E39" s="33"/>
      <c r="F39" s="33"/>
      <c r="G39" s="33"/>
      <c r="H39" s="33"/>
      <c r="I39" s="33"/>
      <c r="J39" s="33"/>
      <c r="K39" s="33"/>
      <c r="L39" s="33"/>
      <c r="M39" s="33"/>
      <c r="N39" s="33"/>
      <c r="O39" s="33"/>
      <c r="P39" s="33"/>
      <c r="Q39" s="33"/>
      <c r="R39" s="33"/>
      <c r="S39" s="33"/>
      <c r="T39" s="33"/>
    </row>
    <row r="40" spans="1:20" ht="36" customHeight="1" x14ac:dyDescent="0.25">
      <c r="A40" s="40" t="s">
        <v>702</v>
      </c>
      <c r="B40" s="33"/>
      <c r="C40" s="33"/>
      <c r="D40" s="33"/>
      <c r="E40" s="33"/>
      <c r="F40" s="33"/>
      <c r="G40" s="33"/>
      <c r="H40" s="33"/>
      <c r="I40" s="33"/>
      <c r="J40" s="33"/>
      <c r="K40" s="33"/>
      <c r="L40" s="33"/>
      <c r="M40" s="33"/>
      <c r="N40" s="33"/>
      <c r="O40" s="33"/>
      <c r="P40" s="33"/>
      <c r="Q40" s="33"/>
      <c r="R40" s="33"/>
      <c r="S40" s="33"/>
      <c r="T40" s="33"/>
    </row>
    <row r="42" spans="1:20" ht="18" customHeight="1" x14ac:dyDescent="0.25">
      <c r="A42" s="43" t="s">
        <v>703</v>
      </c>
      <c r="B42" s="33"/>
      <c r="C42" s="33"/>
      <c r="D42" s="33"/>
      <c r="E42" s="33"/>
      <c r="F42" s="33"/>
      <c r="G42" s="33"/>
      <c r="H42" s="33"/>
      <c r="I42" s="33"/>
      <c r="J42" s="33"/>
      <c r="K42" s="33"/>
      <c r="L42" s="33"/>
      <c r="M42" s="33"/>
      <c r="N42" s="33"/>
      <c r="O42" s="33"/>
      <c r="P42" s="33"/>
      <c r="Q42" s="33"/>
      <c r="R42" s="33"/>
      <c r="S42" s="33"/>
      <c r="T42" s="33"/>
    </row>
    <row r="43" spans="1:20" ht="21" customHeight="1" x14ac:dyDescent="0.25">
      <c r="A43" s="40" t="s">
        <v>735</v>
      </c>
      <c r="B43" s="33"/>
      <c r="C43" s="33"/>
      <c r="D43" s="33"/>
      <c r="E43" s="33"/>
      <c r="F43" s="33"/>
      <c r="G43" s="33"/>
      <c r="H43" s="33"/>
      <c r="I43" s="33"/>
      <c r="J43" s="33"/>
      <c r="K43" s="33"/>
      <c r="L43" s="33"/>
      <c r="M43" s="33"/>
      <c r="N43" s="33"/>
      <c r="O43" s="33"/>
      <c r="P43" s="33"/>
      <c r="Q43" s="33"/>
      <c r="R43" s="33"/>
      <c r="S43" s="33"/>
      <c r="T43" s="33"/>
    </row>
    <row r="46" spans="1:20" ht="21.95" customHeight="1" x14ac:dyDescent="0.25">
      <c r="A46" s="41" t="s">
        <v>736</v>
      </c>
      <c r="B46" s="42"/>
      <c r="C46" s="42"/>
      <c r="D46" s="42"/>
      <c r="E46" s="42"/>
      <c r="F46" s="42"/>
      <c r="G46" s="42"/>
      <c r="H46" s="42"/>
      <c r="I46" s="42"/>
      <c r="J46" s="42"/>
      <c r="K46" s="42"/>
      <c r="L46" s="42"/>
      <c r="M46" s="42"/>
      <c r="N46" s="42"/>
      <c r="O46" s="42"/>
      <c r="P46" s="42"/>
      <c r="Q46" s="42"/>
      <c r="R46" s="42"/>
      <c r="S46" s="42"/>
      <c r="T46" s="42"/>
    </row>
    <row r="47" spans="1:20" ht="15.95" customHeight="1" x14ac:dyDescent="0.25">
      <c r="A47" s="39" t="s">
        <v>706</v>
      </c>
      <c r="B47" s="33"/>
      <c r="C47" s="33"/>
      <c r="D47" s="33"/>
      <c r="E47" s="33"/>
      <c r="F47" s="33"/>
      <c r="G47" s="33"/>
      <c r="H47" s="33"/>
      <c r="I47" s="33"/>
      <c r="J47" s="33"/>
      <c r="K47" s="33"/>
      <c r="L47" s="33"/>
      <c r="M47" s="33"/>
      <c r="N47" s="33"/>
      <c r="O47" s="33"/>
      <c r="P47" s="33"/>
      <c r="Q47" s="33"/>
      <c r="R47" s="33"/>
      <c r="S47" s="33"/>
      <c r="T47" s="33"/>
    </row>
    <row r="49" spans="1:20" ht="18" customHeight="1" x14ac:dyDescent="0.25">
      <c r="A49" s="43" t="s">
        <v>707</v>
      </c>
      <c r="B49" s="33"/>
      <c r="C49" s="33"/>
      <c r="D49" s="33"/>
      <c r="E49" s="33"/>
      <c r="F49" s="33"/>
      <c r="G49" s="33"/>
      <c r="H49" s="33"/>
      <c r="I49" s="33"/>
      <c r="J49" s="33"/>
      <c r="K49" s="33"/>
      <c r="L49" s="33"/>
      <c r="M49" s="33"/>
      <c r="N49" s="33"/>
      <c r="O49" s="33"/>
      <c r="P49" s="33"/>
      <c r="Q49" s="33"/>
      <c r="R49" s="33"/>
      <c r="S49" s="33"/>
      <c r="T49" s="33"/>
    </row>
    <row r="50" spans="1:20" ht="21" customHeight="1" x14ac:dyDescent="0.25">
      <c r="A50" s="40" t="s">
        <v>737</v>
      </c>
      <c r="B50" s="33"/>
      <c r="C50" s="33"/>
      <c r="D50" s="33"/>
      <c r="E50" s="33"/>
      <c r="F50" s="33"/>
      <c r="G50" s="33"/>
      <c r="H50" s="33"/>
      <c r="I50" s="33"/>
      <c r="J50" s="33"/>
      <c r="K50" s="33"/>
      <c r="L50" s="33"/>
      <c r="M50" s="33"/>
      <c r="N50" s="33"/>
      <c r="O50" s="33"/>
      <c r="P50" s="33"/>
      <c r="Q50" s="33"/>
      <c r="R50" s="33"/>
      <c r="S50" s="33"/>
      <c r="T50" s="33"/>
    </row>
    <row r="51" spans="1:20" ht="6" customHeight="1" x14ac:dyDescent="0.25"/>
    <row r="52" spans="1:20" ht="18" customHeight="1" x14ac:dyDescent="0.25">
      <c r="A52" s="43" t="s">
        <v>738</v>
      </c>
      <c r="B52" s="33"/>
      <c r="C52" s="33"/>
      <c r="D52" s="33"/>
      <c r="E52" s="33"/>
      <c r="F52" s="33"/>
      <c r="G52" s="33"/>
      <c r="H52" s="33"/>
      <c r="I52" s="33"/>
      <c r="J52" s="33"/>
      <c r="K52" s="33"/>
      <c r="L52" s="33"/>
      <c r="M52" s="33"/>
      <c r="N52" s="33"/>
      <c r="O52" s="33"/>
      <c r="P52" s="33"/>
      <c r="Q52" s="33"/>
      <c r="R52" s="33"/>
      <c r="S52" s="33"/>
      <c r="T52" s="33"/>
    </row>
    <row r="53" spans="1:20" ht="21" customHeight="1" x14ac:dyDescent="0.25">
      <c r="A53" s="40" t="s">
        <v>739</v>
      </c>
      <c r="B53" s="33"/>
      <c r="C53" s="33"/>
      <c r="D53" s="33"/>
      <c r="E53" s="33"/>
      <c r="F53" s="33"/>
      <c r="G53" s="33"/>
      <c r="H53" s="33"/>
      <c r="I53" s="33"/>
      <c r="J53" s="33"/>
      <c r="K53" s="33"/>
      <c r="L53" s="33"/>
      <c r="M53" s="33"/>
      <c r="N53" s="33"/>
      <c r="O53" s="33"/>
      <c r="P53" s="33"/>
      <c r="Q53" s="33"/>
      <c r="R53" s="33"/>
      <c r="S53" s="33"/>
      <c r="T53" s="33"/>
    </row>
    <row r="54" spans="1:20" ht="6" customHeight="1" x14ac:dyDescent="0.25"/>
    <row r="55" spans="1:20" ht="18" customHeight="1" x14ac:dyDescent="0.25">
      <c r="A55" s="43" t="s">
        <v>740</v>
      </c>
      <c r="B55" s="33"/>
      <c r="C55" s="33"/>
      <c r="D55" s="33"/>
      <c r="E55" s="33"/>
      <c r="F55" s="33"/>
      <c r="G55" s="33"/>
      <c r="H55" s="33"/>
      <c r="I55" s="33"/>
      <c r="J55" s="33"/>
      <c r="K55" s="33"/>
      <c r="L55" s="33"/>
      <c r="M55" s="33"/>
      <c r="N55" s="33"/>
      <c r="O55" s="33"/>
      <c r="P55" s="33"/>
      <c r="Q55" s="33"/>
      <c r="R55" s="33"/>
      <c r="S55" s="33"/>
      <c r="T55" s="33"/>
    </row>
    <row r="56" spans="1:20" ht="21" customHeight="1" x14ac:dyDescent="0.25">
      <c r="A56" s="40" t="s">
        <v>741</v>
      </c>
      <c r="B56" s="33"/>
      <c r="C56" s="33"/>
      <c r="D56" s="33"/>
      <c r="E56" s="33"/>
      <c r="F56" s="33"/>
      <c r="G56" s="33"/>
      <c r="H56" s="33"/>
      <c r="I56" s="33"/>
      <c r="J56" s="33"/>
      <c r="K56" s="33"/>
      <c r="L56" s="33"/>
      <c r="M56" s="33"/>
      <c r="N56" s="33"/>
      <c r="O56" s="33"/>
      <c r="P56" s="33"/>
      <c r="Q56" s="33"/>
      <c r="R56" s="33"/>
      <c r="S56" s="33"/>
      <c r="T56" s="33"/>
    </row>
    <row r="57" spans="1:20" ht="6" customHeight="1" x14ac:dyDescent="0.25"/>
    <row r="58" spans="1:20" ht="18" customHeight="1" x14ac:dyDescent="0.25">
      <c r="A58" s="43" t="s">
        <v>711</v>
      </c>
      <c r="B58" s="33"/>
      <c r="C58" s="33"/>
      <c r="D58" s="33"/>
      <c r="E58" s="33"/>
      <c r="F58" s="33"/>
      <c r="G58" s="33"/>
      <c r="H58" s="33"/>
      <c r="I58" s="33"/>
      <c r="J58" s="33"/>
      <c r="K58" s="33"/>
      <c r="L58" s="33"/>
      <c r="M58" s="33"/>
      <c r="N58" s="33"/>
      <c r="O58" s="33"/>
      <c r="P58" s="33"/>
      <c r="Q58" s="33"/>
      <c r="R58" s="33"/>
      <c r="S58" s="33"/>
      <c r="T58" s="33"/>
    </row>
    <row r="59" spans="1:20" ht="51" customHeight="1" x14ac:dyDescent="0.25">
      <c r="A59" s="40" t="s">
        <v>712</v>
      </c>
      <c r="B59" s="33"/>
      <c r="C59" s="33"/>
      <c r="D59" s="33"/>
      <c r="E59" s="33"/>
      <c r="F59" s="33"/>
      <c r="G59" s="33"/>
      <c r="H59" s="33"/>
      <c r="I59" s="33"/>
      <c r="J59" s="33"/>
      <c r="K59" s="33"/>
      <c r="L59" s="33"/>
      <c r="M59" s="33"/>
      <c r="N59" s="33"/>
      <c r="O59" s="33"/>
      <c r="P59" s="33"/>
      <c r="Q59" s="33"/>
      <c r="R59" s="33"/>
      <c r="S59" s="33"/>
      <c r="T59" s="33"/>
    </row>
    <row r="60" spans="1:20" ht="6" customHeight="1" x14ac:dyDescent="0.25"/>
    <row r="61" spans="1:20" ht="18" customHeight="1" x14ac:dyDescent="0.25">
      <c r="A61" s="43" t="s">
        <v>659</v>
      </c>
      <c r="B61" s="33"/>
      <c r="C61" s="33"/>
      <c r="D61" s="33"/>
      <c r="E61" s="33"/>
      <c r="F61" s="33"/>
      <c r="G61" s="33"/>
      <c r="H61" s="33"/>
      <c r="I61" s="33"/>
      <c r="J61" s="33"/>
      <c r="K61" s="33"/>
      <c r="L61" s="33"/>
      <c r="M61" s="33"/>
      <c r="N61" s="33"/>
      <c r="O61" s="33"/>
      <c r="P61" s="33"/>
      <c r="Q61" s="33"/>
      <c r="R61" s="33"/>
      <c r="S61" s="33"/>
      <c r="T61" s="33"/>
    </row>
    <row r="62" spans="1:20" ht="36" customHeight="1" x14ac:dyDescent="0.25">
      <c r="A62" s="40" t="s">
        <v>713</v>
      </c>
      <c r="B62" s="33"/>
      <c r="C62" s="33"/>
      <c r="D62" s="33"/>
      <c r="E62" s="33"/>
      <c r="F62" s="33"/>
      <c r="G62" s="33"/>
      <c r="H62" s="33"/>
      <c r="I62" s="33"/>
      <c r="J62" s="33"/>
      <c r="K62" s="33"/>
      <c r="L62" s="33"/>
      <c r="M62" s="33"/>
      <c r="N62" s="33"/>
      <c r="O62" s="33"/>
      <c r="P62" s="33"/>
      <c r="Q62" s="33"/>
      <c r="R62" s="33"/>
      <c r="S62" s="33"/>
      <c r="T62" s="33"/>
    </row>
    <row r="63" spans="1:20" ht="6" customHeight="1" x14ac:dyDescent="0.25"/>
    <row r="64" spans="1:20" ht="18" customHeight="1" x14ac:dyDescent="0.25">
      <c r="A64" s="43" t="s">
        <v>62</v>
      </c>
      <c r="B64" s="33"/>
      <c r="C64" s="33"/>
      <c r="D64" s="33"/>
      <c r="E64" s="33"/>
      <c r="F64" s="33"/>
      <c r="G64" s="33"/>
      <c r="H64" s="33"/>
      <c r="I64" s="33"/>
      <c r="J64" s="33"/>
      <c r="K64" s="33"/>
      <c r="L64" s="33"/>
      <c r="M64" s="33"/>
      <c r="N64" s="33"/>
      <c r="O64" s="33"/>
      <c r="P64" s="33"/>
      <c r="Q64" s="33"/>
      <c r="R64" s="33"/>
      <c r="S64" s="33"/>
      <c r="T64" s="33"/>
    </row>
    <row r="65" spans="1:20" ht="36" customHeight="1" x14ac:dyDescent="0.25">
      <c r="A65" s="40" t="s">
        <v>714</v>
      </c>
      <c r="B65" s="33"/>
      <c r="C65" s="33"/>
      <c r="D65" s="33"/>
      <c r="E65" s="33"/>
      <c r="F65" s="33"/>
      <c r="G65" s="33"/>
      <c r="H65" s="33"/>
      <c r="I65" s="33"/>
      <c r="J65" s="33"/>
      <c r="K65" s="33"/>
      <c r="L65" s="33"/>
      <c r="M65" s="33"/>
      <c r="N65" s="33"/>
      <c r="O65" s="33"/>
      <c r="P65" s="33"/>
      <c r="Q65" s="33"/>
      <c r="R65" s="33"/>
      <c r="S65" s="33"/>
      <c r="T65" s="33"/>
    </row>
    <row r="66" spans="1:20" ht="6" customHeight="1" x14ac:dyDescent="0.25"/>
    <row r="69" spans="1:20" ht="21.95" customHeight="1" x14ac:dyDescent="0.25">
      <c r="A69" s="41" t="s">
        <v>715</v>
      </c>
      <c r="B69" s="42"/>
      <c r="C69" s="42"/>
      <c r="D69" s="42"/>
      <c r="E69" s="42"/>
      <c r="F69" s="42"/>
      <c r="G69" s="42"/>
      <c r="H69" s="42"/>
      <c r="I69" s="42"/>
      <c r="J69" s="42"/>
      <c r="K69" s="42"/>
      <c r="L69" s="42"/>
      <c r="M69" s="42"/>
      <c r="N69" s="42"/>
      <c r="O69" s="42"/>
      <c r="P69" s="42"/>
      <c r="Q69" s="42"/>
      <c r="R69" s="42"/>
      <c r="S69" s="42"/>
      <c r="T69" s="42"/>
    </row>
    <row r="71" spans="1:20" ht="18" customHeight="1" x14ac:dyDescent="0.25">
      <c r="A71" s="43" t="s">
        <v>85</v>
      </c>
      <c r="B71" s="33"/>
      <c r="C71" s="33"/>
      <c r="D71" s="33"/>
      <c r="E71" s="33"/>
      <c r="F71" s="33"/>
      <c r="G71" s="33"/>
      <c r="H71" s="33"/>
      <c r="I71" s="33"/>
      <c r="J71" s="33"/>
      <c r="K71" s="33"/>
      <c r="L71" s="33"/>
      <c r="M71" s="33"/>
      <c r="N71" s="33"/>
      <c r="O71" s="33"/>
      <c r="P71" s="33"/>
      <c r="Q71" s="33"/>
      <c r="R71" s="33"/>
      <c r="S71" s="33"/>
      <c r="T71" s="33"/>
    </row>
    <row r="72" spans="1:20" ht="21" customHeight="1" x14ac:dyDescent="0.25">
      <c r="A72" s="40" t="s">
        <v>716</v>
      </c>
      <c r="B72" s="33"/>
      <c r="C72" s="33"/>
      <c r="D72" s="33"/>
      <c r="E72" s="33"/>
      <c r="F72" s="33"/>
      <c r="G72" s="33"/>
      <c r="H72" s="33"/>
      <c r="I72" s="33"/>
      <c r="J72" s="33"/>
      <c r="K72" s="33"/>
      <c r="L72" s="33"/>
      <c r="M72" s="33"/>
      <c r="N72" s="33"/>
      <c r="O72" s="33"/>
      <c r="P72" s="33"/>
      <c r="Q72" s="33"/>
      <c r="R72" s="33"/>
      <c r="S72" s="33"/>
      <c r="T72" s="33"/>
    </row>
    <row r="73" spans="1:20" ht="6" customHeight="1" x14ac:dyDescent="0.25"/>
    <row r="74" spans="1:20" ht="18" customHeight="1" x14ac:dyDescent="0.25">
      <c r="A74" s="43" t="s">
        <v>97</v>
      </c>
      <c r="B74" s="33"/>
      <c r="C74" s="33"/>
      <c r="D74" s="33"/>
      <c r="E74" s="33"/>
      <c r="F74" s="33"/>
      <c r="G74" s="33"/>
      <c r="H74" s="33"/>
      <c r="I74" s="33"/>
      <c r="J74" s="33"/>
      <c r="K74" s="33"/>
      <c r="L74" s="33"/>
      <c r="M74" s="33"/>
      <c r="N74" s="33"/>
      <c r="O74" s="33"/>
      <c r="P74" s="33"/>
      <c r="Q74" s="33"/>
      <c r="R74" s="33"/>
      <c r="S74" s="33"/>
      <c r="T74" s="33"/>
    </row>
    <row r="75" spans="1:20" ht="36" customHeight="1" x14ac:dyDescent="0.25">
      <c r="A75" s="40" t="s">
        <v>717</v>
      </c>
      <c r="B75" s="33"/>
      <c r="C75" s="33"/>
      <c r="D75" s="33"/>
      <c r="E75" s="33"/>
      <c r="F75" s="33"/>
      <c r="G75" s="33"/>
      <c r="H75" s="33"/>
      <c r="I75" s="33"/>
      <c r="J75" s="33"/>
      <c r="K75" s="33"/>
      <c r="L75" s="33"/>
      <c r="M75" s="33"/>
      <c r="N75" s="33"/>
      <c r="O75" s="33"/>
      <c r="P75" s="33"/>
      <c r="Q75" s="33"/>
      <c r="R75" s="33"/>
      <c r="S75" s="33"/>
      <c r="T75" s="33"/>
    </row>
    <row r="76" spans="1:20" ht="6" customHeight="1" x14ac:dyDescent="0.25"/>
    <row r="77" spans="1:20" ht="18" customHeight="1" x14ac:dyDescent="0.25">
      <c r="A77" s="43" t="s">
        <v>657</v>
      </c>
      <c r="B77" s="33"/>
      <c r="C77" s="33"/>
      <c r="D77" s="33"/>
      <c r="E77" s="33"/>
      <c r="F77" s="33"/>
      <c r="G77" s="33"/>
      <c r="H77" s="33"/>
      <c r="I77" s="33"/>
      <c r="J77" s="33"/>
      <c r="K77" s="33"/>
      <c r="L77" s="33"/>
      <c r="M77" s="33"/>
      <c r="N77" s="33"/>
      <c r="O77" s="33"/>
      <c r="P77" s="33"/>
      <c r="Q77" s="33"/>
      <c r="R77" s="33"/>
      <c r="S77" s="33"/>
      <c r="T77" s="33"/>
    </row>
    <row r="78" spans="1:20" ht="21" customHeight="1" x14ac:dyDescent="0.25">
      <c r="A78" s="40" t="s">
        <v>718</v>
      </c>
      <c r="B78" s="33"/>
      <c r="C78" s="33"/>
      <c r="D78" s="33"/>
      <c r="E78" s="33"/>
      <c r="F78" s="33"/>
      <c r="G78" s="33"/>
      <c r="H78" s="33"/>
      <c r="I78" s="33"/>
      <c r="J78" s="33"/>
      <c r="K78" s="33"/>
      <c r="L78" s="33"/>
      <c r="M78" s="33"/>
      <c r="N78" s="33"/>
      <c r="O78" s="33"/>
      <c r="P78" s="33"/>
      <c r="Q78" s="33"/>
      <c r="R78" s="33"/>
      <c r="S78" s="33"/>
      <c r="T78" s="33"/>
    </row>
    <row r="79" spans="1:20" ht="6" customHeight="1" x14ac:dyDescent="0.25"/>
    <row r="80" spans="1:20" ht="18" customHeight="1" x14ac:dyDescent="0.25">
      <c r="A80" s="43" t="s">
        <v>659</v>
      </c>
      <c r="B80" s="33"/>
      <c r="C80" s="33"/>
      <c r="D80" s="33"/>
      <c r="E80" s="33"/>
      <c r="F80" s="33"/>
      <c r="G80" s="33"/>
      <c r="H80" s="33"/>
      <c r="I80" s="33"/>
      <c r="J80" s="33"/>
      <c r="K80" s="33"/>
      <c r="L80" s="33"/>
      <c r="M80" s="33"/>
      <c r="N80" s="33"/>
      <c r="O80" s="33"/>
      <c r="P80" s="33"/>
      <c r="Q80" s="33"/>
      <c r="R80" s="33"/>
      <c r="S80" s="33"/>
      <c r="T80" s="33"/>
    </row>
    <row r="81" spans="1:20" ht="36" customHeight="1" x14ac:dyDescent="0.25">
      <c r="A81" s="40" t="s">
        <v>742</v>
      </c>
      <c r="B81" s="33"/>
      <c r="C81" s="33"/>
      <c r="D81" s="33"/>
      <c r="E81" s="33"/>
      <c r="F81" s="33"/>
      <c r="G81" s="33"/>
      <c r="H81" s="33"/>
      <c r="I81" s="33"/>
      <c r="J81" s="33"/>
      <c r="K81" s="33"/>
      <c r="L81" s="33"/>
      <c r="M81" s="33"/>
      <c r="N81" s="33"/>
      <c r="O81" s="33"/>
      <c r="P81" s="33"/>
      <c r="Q81" s="33"/>
      <c r="R81" s="33"/>
      <c r="S81" s="33"/>
      <c r="T81" s="33"/>
    </row>
    <row r="82" spans="1:20" ht="6" customHeight="1" x14ac:dyDescent="0.25"/>
    <row r="83" spans="1:20" ht="18" customHeight="1" x14ac:dyDescent="0.25">
      <c r="A83" s="43" t="s">
        <v>661</v>
      </c>
      <c r="B83" s="33"/>
      <c r="C83" s="33"/>
      <c r="D83" s="33"/>
      <c r="E83" s="33"/>
      <c r="F83" s="33"/>
      <c r="G83" s="33"/>
      <c r="H83" s="33"/>
      <c r="I83" s="33"/>
      <c r="J83" s="33"/>
      <c r="K83" s="33"/>
      <c r="L83" s="33"/>
      <c r="M83" s="33"/>
      <c r="N83" s="33"/>
      <c r="O83" s="33"/>
      <c r="P83" s="33"/>
      <c r="Q83" s="33"/>
      <c r="R83" s="33"/>
      <c r="S83" s="33"/>
      <c r="T83" s="33"/>
    </row>
    <row r="84" spans="1:20" ht="36" customHeight="1" x14ac:dyDescent="0.25">
      <c r="A84" s="40" t="s">
        <v>743</v>
      </c>
      <c r="B84" s="33"/>
      <c r="C84" s="33"/>
      <c r="D84" s="33"/>
      <c r="E84" s="33"/>
      <c r="F84" s="33"/>
      <c r="G84" s="33"/>
      <c r="H84" s="33"/>
      <c r="I84" s="33"/>
      <c r="J84" s="33"/>
      <c r="K84" s="33"/>
      <c r="L84" s="33"/>
      <c r="M84" s="33"/>
      <c r="N84" s="33"/>
      <c r="O84" s="33"/>
      <c r="P84" s="33"/>
      <c r="Q84" s="33"/>
      <c r="R84" s="33"/>
      <c r="S84" s="33"/>
      <c r="T84" s="33"/>
    </row>
    <row r="85" spans="1:20" ht="6" customHeight="1" x14ac:dyDescent="0.25"/>
    <row r="86" spans="1:20" ht="18" customHeight="1" x14ac:dyDescent="0.25">
      <c r="A86" s="43" t="s">
        <v>663</v>
      </c>
      <c r="B86" s="33"/>
      <c r="C86" s="33"/>
      <c r="D86" s="33"/>
      <c r="E86" s="33"/>
      <c r="F86" s="33"/>
      <c r="G86" s="33"/>
      <c r="H86" s="33"/>
      <c r="I86" s="33"/>
      <c r="J86" s="33"/>
      <c r="K86" s="33"/>
      <c r="L86" s="33"/>
      <c r="M86" s="33"/>
      <c r="N86" s="33"/>
      <c r="O86" s="33"/>
      <c r="P86" s="33"/>
      <c r="Q86" s="33"/>
      <c r="R86" s="33"/>
      <c r="S86" s="33"/>
      <c r="T86" s="33"/>
    </row>
    <row r="87" spans="1:20" ht="36" customHeight="1" x14ac:dyDescent="0.25">
      <c r="A87" s="40" t="s">
        <v>721</v>
      </c>
      <c r="B87" s="33"/>
      <c r="C87" s="33"/>
      <c r="D87" s="33"/>
      <c r="E87" s="33"/>
      <c r="F87" s="33"/>
      <c r="G87" s="33"/>
      <c r="H87" s="33"/>
      <c r="I87" s="33"/>
      <c r="J87" s="33"/>
      <c r="K87" s="33"/>
      <c r="L87" s="33"/>
      <c r="M87" s="33"/>
      <c r="N87" s="33"/>
      <c r="O87" s="33"/>
      <c r="P87" s="33"/>
      <c r="Q87" s="33"/>
      <c r="R87" s="33"/>
      <c r="S87" s="33"/>
      <c r="T87" s="33"/>
    </row>
    <row r="88" spans="1:20" ht="6" customHeight="1" x14ac:dyDescent="0.25"/>
    <row r="89" spans="1:20" ht="18" customHeight="1" x14ac:dyDescent="0.25">
      <c r="A89" s="43" t="s">
        <v>664</v>
      </c>
      <c r="B89" s="33"/>
      <c r="C89" s="33"/>
      <c r="D89" s="33"/>
      <c r="E89" s="33"/>
      <c r="F89" s="33"/>
      <c r="G89" s="33"/>
      <c r="H89" s="33"/>
      <c r="I89" s="33"/>
      <c r="J89" s="33"/>
      <c r="K89" s="33"/>
      <c r="L89" s="33"/>
      <c r="M89" s="33"/>
      <c r="N89" s="33"/>
      <c r="O89" s="33"/>
      <c r="P89" s="33"/>
      <c r="Q89" s="33"/>
      <c r="R89" s="33"/>
      <c r="S89" s="33"/>
      <c r="T89" s="33"/>
    </row>
    <row r="90" spans="1:20" ht="21" customHeight="1" x14ac:dyDescent="0.25">
      <c r="A90" s="40" t="s">
        <v>722</v>
      </c>
      <c r="B90" s="33"/>
      <c r="C90" s="33"/>
      <c r="D90" s="33"/>
      <c r="E90" s="33"/>
      <c r="F90" s="33"/>
      <c r="G90" s="33"/>
      <c r="H90" s="33"/>
      <c r="I90" s="33"/>
      <c r="J90" s="33"/>
      <c r="K90" s="33"/>
      <c r="L90" s="33"/>
      <c r="M90" s="33"/>
      <c r="N90" s="33"/>
      <c r="O90" s="33"/>
      <c r="P90" s="33"/>
      <c r="Q90" s="33"/>
      <c r="R90" s="33"/>
      <c r="S90" s="33"/>
      <c r="T90" s="33"/>
    </row>
    <row r="91" spans="1:20" ht="6" customHeight="1" x14ac:dyDescent="0.25"/>
    <row r="92" spans="1:20" ht="18" customHeight="1" x14ac:dyDescent="0.25">
      <c r="A92" s="43" t="s">
        <v>668</v>
      </c>
      <c r="B92" s="33"/>
      <c r="C92" s="33"/>
      <c r="D92" s="33"/>
      <c r="E92" s="33"/>
      <c r="F92" s="33"/>
      <c r="G92" s="33"/>
      <c r="H92" s="33"/>
      <c r="I92" s="33"/>
      <c r="J92" s="33"/>
      <c r="K92" s="33"/>
      <c r="L92" s="33"/>
      <c r="M92" s="33"/>
      <c r="N92" s="33"/>
      <c r="O92" s="33"/>
      <c r="P92" s="33"/>
      <c r="Q92" s="33"/>
      <c r="R92" s="33"/>
      <c r="S92" s="33"/>
      <c r="T92" s="33"/>
    </row>
    <row r="93" spans="1:20" ht="21" customHeight="1" x14ac:dyDescent="0.25">
      <c r="A93" s="40" t="s">
        <v>725</v>
      </c>
      <c r="B93" s="33"/>
      <c r="C93" s="33"/>
      <c r="D93" s="33"/>
      <c r="E93" s="33"/>
      <c r="F93" s="33"/>
      <c r="G93" s="33"/>
      <c r="H93" s="33"/>
      <c r="I93" s="33"/>
      <c r="J93" s="33"/>
      <c r="K93" s="33"/>
      <c r="L93" s="33"/>
      <c r="M93" s="33"/>
      <c r="N93" s="33"/>
      <c r="O93" s="33"/>
      <c r="P93" s="33"/>
      <c r="Q93" s="33"/>
      <c r="R93" s="33"/>
      <c r="S93" s="33"/>
      <c r="T93" s="33"/>
    </row>
    <row r="94" spans="1:20" ht="6" customHeight="1" x14ac:dyDescent="0.25"/>
    <row r="95" spans="1:20" ht="18" customHeight="1" x14ac:dyDescent="0.25">
      <c r="A95" s="43" t="s">
        <v>669</v>
      </c>
      <c r="B95" s="33"/>
      <c r="C95" s="33"/>
      <c r="D95" s="33"/>
      <c r="E95" s="33"/>
      <c r="F95" s="33"/>
      <c r="G95" s="33"/>
      <c r="H95" s="33"/>
      <c r="I95" s="33"/>
      <c r="J95" s="33"/>
      <c r="K95" s="33"/>
      <c r="L95" s="33"/>
      <c r="M95" s="33"/>
      <c r="N95" s="33"/>
      <c r="O95" s="33"/>
      <c r="P95" s="33"/>
      <c r="Q95" s="33"/>
      <c r="R95" s="33"/>
      <c r="S95" s="33"/>
      <c r="T95" s="33"/>
    </row>
    <row r="96" spans="1:20" ht="36" customHeight="1" x14ac:dyDescent="0.25">
      <c r="A96" s="40" t="s">
        <v>726</v>
      </c>
      <c r="B96" s="33"/>
      <c r="C96" s="33"/>
      <c r="D96" s="33"/>
      <c r="E96" s="33"/>
      <c r="F96" s="33"/>
      <c r="G96" s="33"/>
      <c r="H96" s="33"/>
      <c r="I96" s="33"/>
      <c r="J96" s="33"/>
      <c r="K96" s="33"/>
      <c r="L96" s="33"/>
      <c r="M96" s="33"/>
      <c r="N96" s="33"/>
      <c r="O96" s="33"/>
      <c r="P96" s="33"/>
      <c r="Q96" s="33"/>
      <c r="R96" s="33"/>
      <c r="S96" s="33"/>
      <c r="T96" s="33"/>
    </row>
    <row r="97" spans="1:20" ht="6" customHeight="1" x14ac:dyDescent="0.25"/>
    <row r="98" spans="1:20" ht="18" customHeight="1" x14ac:dyDescent="0.25">
      <c r="A98" s="43" t="s">
        <v>670</v>
      </c>
      <c r="B98" s="33"/>
      <c r="C98" s="33"/>
      <c r="D98" s="33"/>
      <c r="E98" s="33"/>
      <c r="F98" s="33"/>
      <c r="G98" s="33"/>
      <c r="H98" s="33"/>
      <c r="I98" s="33"/>
      <c r="J98" s="33"/>
      <c r="K98" s="33"/>
      <c r="L98" s="33"/>
      <c r="M98" s="33"/>
      <c r="N98" s="33"/>
      <c r="O98" s="33"/>
      <c r="P98" s="33"/>
      <c r="Q98" s="33"/>
      <c r="R98" s="33"/>
      <c r="S98" s="33"/>
      <c r="T98" s="33"/>
    </row>
    <row r="99" spans="1:20" ht="21" customHeight="1" x14ac:dyDescent="0.25">
      <c r="A99" s="40" t="s">
        <v>727</v>
      </c>
      <c r="B99" s="33"/>
      <c r="C99" s="33"/>
      <c r="D99" s="33"/>
      <c r="E99" s="33"/>
      <c r="F99" s="33"/>
      <c r="G99" s="33"/>
      <c r="H99" s="33"/>
      <c r="I99" s="33"/>
      <c r="J99" s="33"/>
      <c r="K99" s="33"/>
      <c r="L99" s="33"/>
      <c r="M99" s="33"/>
      <c r="N99" s="33"/>
      <c r="O99" s="33"/>
      <c r="P99" s="33"/>
      <c r="Q99" s="33"/>
      <c r="R99" s="33"/>
      <c r="S99" s="33"/>
      <c r="T99" s="33"/>
    </row>
    <row r="100" spans="1:20" ht="6" customHeight="1" x14ac:dyDescent="0.25"/>
    <row r="103" spans="1:20" x14ac:dyDescent="0.25">
      <c r="A103" s="39" t="s">
        <v>728</v>
      </c>
      <c r="B103" s="33"/>
      <c r="C103" s="33"/>
      <c r="D103" s="33"/>
      <c r="E103" s="33"/>
      <c r="F103" s="33"/>
      <c r="G103" s="33"/>
      <c r="H103" s="33"/>
      <c r="I103" s="33"/>
      <c r="J103" s="33"/>
      <c r="K103" s="33"/>
      <c r="L103" s="33"/>
      <c r="M103" s="33"/>
      <c r="N103" s="33"/>
      <c r="O103" s="33"/>
      <c r="P103" s="33"/>
      <c r="Q103" s="33"/>
      <c r="R103" s="33"/>
      <c r="S103" s="33"/>
      <c r="T103" s="33"/>
    </row>
  </sheetData>
  <mergeCells count="41">
    <mergeCell ref="A58:T58"/>
    <mergeCell ref="A40:T40"/>
    <mergeCell ref="A92:T92"/>
    <mergeCell ref="A39:T39"/>
    <mergeCell ref="A77:T77"/>
    <mergeCell ref="A64:T64"/>
    <mergeCell ref="A59:T59"/>
    <mergeCell ref="A83:T83"/>
    <mergeCell ref="A49:T49"/>
    <mergeCell ref="A52:T52"/>
    <mergeCell ref="A98:T98"/>
    <mergeCell ref="A103:T103"/>
    <mergeCell ref="A61:T61"/>
    <mergeCell ref="A78:T78"/>
    <mergeCell ref="A69:T69"/>
    <mergeCell ref="A87:T87"/>
    <mergeCell ref="A65:T65"/>
    <mergeCell ref="A99:T99"/>
    <mergeCell ref="A84:T84"/>
    <mergeCell ref="A90:T90"/>
    <mergeCell ref="A80:T80"/>
    <mergeCell ref="A95:T95"/>
    <mergeCell ref="A96:T96"/>
    <mergeCell ref="A72:T72"/>
    <mergeCell ref="A93:T93"/>
    <mergeCell ref="A37:T37"/>
    <mergeCell ref="A46:T46"/>
    <mergeCell ref="A75:T75"/>
    <mergeCell ref="A89:T89"/>
    <mergeCell ref="A74:T74"/>
    <mergeCell ref="A50:T50"/>
    <mergeCell ref="A56:T56"/>
    <mergeCell ref="A55:T55"/>
    <mergeCell ref="A86:T86"/>
    <mergeCell ref="A71:T71"/>
    <mergeCell ref="A47:T47"/>
    <mergeCell ref="A42:T42"/>
    <mergeCell ref="A62:T62"/>
    <mergeCell ref="A53:T53"/>
    <mergeCell ref="A43:T43"/>
    <mergeCell ref="A81:T81"/>
  </mergeCells>
  <conditionalFormatting sqref="L6:L34">
    <cfRule type="expression" dxfId="0" priority="1">
      <formula>OR($I6="CM",$I6="SY")</formula>
    </cfRule>
  </conditionalFormatting>
  <dataValidations count="10">
    <dataValidation type="list" allowBlank="1" errorTitle="Valore non valido" error="Selezionare dalla lista." promptTitle="Author" prompt="Autore della codifica." sqref="B6:B34" xr:uid="{00000000-0002-0000-0300-000000000000}">
      <formula1>Author_Name</formula1>
    </dataValidation>
    <dataValidation type="list" allowBlank="1" errorTitle="Valore non valido" error="Selezionare dalla lista, oppure lasciare vuoto." promptTitle="In Place" sqref="D6:D34" xr:uid="{00000000-0002-0000-0300-000001000000}">
      <formula1>InPl_Name</formula1>
    </dataValidation>
    <dataValidation type="list" allowBlank="1" errorTitle="Valore non valido" error="Selezionare dalla lista." promptTitle="Categoria" prompt="Categoria Revit della famiglia." sqref="F6:F34" xr:uid="{00000000-0002-0000-0300-000002000000}">
      <formula1>WN_Cat_Name</formula1>
    </dataValidation>
    <dataValidation type="list" allowBlank="1" errorTitle="Valore non valido" error="Selezionare dalla lista." promptTitle="Group1 — meccanismo di apertura" sqref="H6:H34" xr:uid="{00000000-0002-0000-0300-000003000000}">
      <formula1>WN_G1_Name</formula1>
    </dataValidation>
    <dataValidation type="list" allowBlank="1" errorTitle="Valore non valido" error="Selezionare dalla lista." promptTitle="Group2 — tipologia" prompt="Tipologia. GN = finestra ordinaria, il caso corrente. La posizione non ha un codice: una finestra è praticamente sempre esterna. FD, SK, SF, VN, SU, AH e OP prevalgono su GN. Prestazioni escluse: inferriate e acustica vanno in Description." sqref="J6:J34" xr:uid="{00000000-0002-0000-0300-000004000000}">
      <formula1>WN_G2_Name</formula1>
    </dataValidation>
    <dataValidation type="custom" allowBlank="1" errorTitle="Non valido" error="Inserire un intero da 0 a 9. Con Group1 = Component o Symbol il campo non si applica e va lasciato vuoto." promptTitle="Leaves" sqref="L6:L34" xr:uid="{00000000-0002-0000-0300-000005000000}">
      <formula1>AND(OR($I6="CM",$I6="SY")=FALSE,ISNUMBER($L6),$L6&gt;=0,$L6&lt;=9,$L6=INT($L6))</formula1>
    </dataValidation>
    <dataValidation type="list" allowBlank="1" errorTitle="Valore non valido" error="Selezionare dalla lista." promptTitle="CW hosted" prompt="Facoltativo. Famiglia nidificata in un pannello di curtain wall anziché ospitata da una parete. Il pannello si nomina nella scheda 03_CP." sqref="M6:M34" xr:uid="{00000000-0002-0000-0300-000006000000}">
      <formula1>CWh_Name</formula1>
    </dataValidation>
    <dataValidation type="custom" allowBlank="1" errorTitle="Non valido" error="Massimo 24 caratteri, senza spazi." promptTitle="Manufacturer" prompt="Facoltativo. Azienda produttrice. Campo libero: senza spazi, iniziali maiuscole. Non compatibile con Group1 = Custom." sqref="O6:O34" xr:uid="{00000000-0002-0000-0300-000007000000}">
      <formula1>AND(LEN($O6)&lt;=24,ISERROR(FIND(" ",$O6)))</formula1>
    </dataValidation>
    <dataValidation type="custom" allowBlank="1" errorTitle="Non valido" error="Massimo 24 caratteri, senza spazi." promptTitle="Brand" sqref="P6:P34" xr:uid="{00000000-0002-0000-0300-000008000000}">
      <formula1>AND(LEN($P6)&lt;=24,ISERROR(FIND(" ",$P6)))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Q6:Q34" xr:uid="{00000000-0002-0000-0300-000009000000}">
      <formula1>40</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90"/>
  <sheetViews>
    <sheetView showGridLines="0" workbookViewId="0">
      <pane ySplit="5" topLeftCell="A6"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15" customWidth="1"/>
    <col min="13" max="13" width="13" customWidth="1"/>
    <col min="14" max="14" width="20" customWidth="1"/>
    <col min="15" max="15" width="12" customWidth="1"/>
    <col min="16" max="16" width="36" customWidth="1"/>
    <col min="17" max="17" width="24" customWidth="1"/>
  </cols>
  <sheetData>
    <row r="1" spans="1:17" ht="19.5" x14ac:dyDescent="0.3">
      <c r="A1" s="6" t="s">
        <v>744</v>
      </c>
    </row>
    <row r="2" spans="1:17" x14ac:dyDescent="0.25">
      <c r="A2" s="7" t="s">
        <v>652</v>
      </c>
    </row>
    <row r="3" spans="1:17" x14ac:dyDescent="0.25">
      <c r="A3" s="8" t="s">
        <v>745</v>
      </c>
    </row>
    <row r="4" spans="1:17" ht="17.100000000000001" customHeight="1" x14ac:dyDescent="0.25">
      <c r="A4" s="9" t="s">
        <v>746</v>
      </c>
      <c r="B4" s="10"/>
      <c r="C4" s="10"/>
      <c r="D4" s="10"/>
      <c r="E4" s="10"/>
      <c r="F4" s="10"/>
      <c r="G4" s="10"/>
      <c r="H4" s="10"/>
      <c r="I4" s="10"/>
      <c r="J4" s="10"/>
      <c r="K4" s="10"/>
      <c r="L4" s="10"/>
      <c r="M4" s="10"/>
      <c r="N4" s="10"/>
      <c r="O4" s="10"/>
      <c r="P4" s="10"/>
      <c r="Q4" s="10"/>
    </row>
    <row r="5" spans="1:17" ht="30" customHeight="1" x14ac:dyDescent="0.25">
      <c r="A5" s="11" t="s">
        <v>655</v>
      </c>
      <c r="B5" s="11" t="s">
        <v>85</v>
      </c>
      <c r="C5" s="11" t="s">
        <v>656</v>
      </c>
      <c r="D5" s="12" t="s">
        <v>97</v>
      </c>
      <c r="E5" s="11" t="s">
        <v>96</v>
      </c>
      <c r="F5" s="11" t="s">
        <v>657</v>
      </c>
      <c r="G5" s="11" t="s">
        <v>658</v>
      </c>
      <c r="H5" s="11" t="s">
        <v>659</v>
      </c>
      <c r="I5" s="11" t="s">
        <v>660</v>
      </c>
      <c r="J5" s="11" t="s">
        <v>661</v>
      </c>
      <c r="K5" s="11" t="s">
        <v>662</v>
      </c>
      <c r="L5" s="12" t="s">
        <v>668</v>
      </c>
      <c r="M5" s="12" t="s">
        <v>669</v>
      </c>
      <c r="N5" s="12" t="s">
        <v>670</v>
      </c>
      <c r="O5" s="11" t="s">
        <v>671</v>
      </c>
      <c r="P5" s="11" t="s">
        <v>672</v>
      </c>
      <c r="Q5" s="11" t="s">
        <v>673</v>
      </c>
    </row>
    <row r="6" spans="1:17" x14ac:dyDescent="0.25">
      <c r="A6" s="13" t="s">
        <v>675</v>
      </c>
      <c r="B6" s="14" t="s">
        <v>92</v>
      </c>
      <c r="C6" s="15" t="str">
        <f t="shared" ref="C6:C30" si="0">IFERROR(INDEX(Author_Code,MATCH($B6,Author_Name,0)),"")</f>
        <v>e</v>
      </c>
      <c r="D6" s="16"/>
      <c r="E6" s="15" t="str">
        <f t="shared" ref="E6:E30" si="1">IFERROR(INDEX(InPl_Code,MATCH($D6,InPl_Name,0)),"")</f>
        <v/>
      </c>
      <c r="F6" s="14" t="s">
        <v>230</v>
      </c>
      <c r="G6" s="15" t="str">
        <f t="shared" ref="G6:G30" si="2">IFERROR(INDEX(CP_Cat_Code,MATCH($F6,CP_Cat_Name,0)),"")</f>
        <v>CP</v>
      </c>
      <c r="H6" s="14" t="s">
        <v>235</v>
      </c>
      <c r="I6" s="15" t="str">
        <f t="shared" ref="I6:I30" si="3">IFERROR(INDEX(CP_G1_Code,MATCH($H6,CP_G1_Name,0)),"")</f>
        <v>GL</v>
      </c>
      <c r="J6" s="14" t="s">
        <v>232</v>
      </c>
      <c r="K6" s="15" t="str">
        <f t="shared" ref="K6:K30" si="4">IFERROR(INDEX(CP_G2_Code,MATCH($J6,CP_G2_Name,0)),"")</f>
        <v>VS</v>
      </c>
      <c r="L6" s="17"/>
      <c r="M6" s="17"/>
      <c r="N6" s="17"/>
      <c r="O6" s="15" t="str">
        <f t="shared" ref="O6:O30" si="5">$G6&amp;IF($I6&lt;&gt;"","."&amp;$I6,"")&amp;IF($K6&lt;&gt;"","."&amp;$K6,"")</f>
        <v>CP.GL.VS</v>
      </c>
      <c r="P6" s="18" t="str">
        <f t="shared" ref="P6:P30" si="6">IF(AND($F6&lt;&gt;"",$H6&lt;&gt;"",$J6&lt;&gt;""),$C6&amp;"_"&amp;$E6&amp;$O6&amp;IF($L6&lt;&gt;"","_"&amp;$L6,"")&amp;IF($M6&lt;&gt;"","_"&amp;$M6,"")&amp;IF($N6&lt;&gt;"","_"&amp;$N6,""),"")</f>
        <v>e_CP.GL.VS</v>
      </c>
      <c r="Q6" s="19" t="str">
        <f t="shared" ref="Q6:Q30" si="7">IFERROR(IF(OR($G6="",$J6=""),"",$G6&amp;"-"&amp;LEFT(INDEX(CP_G2_TM,MATCH($J6,CP_G2_Name,0)),1)&amp;"xx"&amp;"_T{t}"),"")</f>
        <v>CP-1xx_T{t}</v>
      </c>
    </row>
    <row r="7" spans="1:17" x14ac:dyDescent="0.25">
      <c r="A7" s="13" t="s">
        <v>676</v>
      </c>
      <c r="B7" s="14" t="s">
        <v>92</v>
      </c>
      <c r="C7" s="15" t="str">
        <f t="shared" si="0"/>
        <v>e</v>
      </c>
      <c r="D7" s="16"/>
      <c r="E7" s="15" t="str">
        <f t="shared" si="1"/>
        <v/>
      </c>
      <c r="F7" s="14" t="s">
        <v>230</v>
      </c>
      <c r="G7" s="15" t="str">
        <f t="shared" si="2"/>
        <v>CP</v>
      </c>
      <c r="H7" s="14" t="s">
        <v>235</v>
      </c>
      <c r="I7" s="15" t="str">
        <f t="shared" si="3"/>
        <v>GL</v>
      </c>
      <c r="J7" s="14" t="s">
        <v>242</v>
      </c>
      <c r="K7" s="15" t="str">
        <f t="shared" si="4"/>
        <v>VN</v>
      </c>
      <c r="L7" s="17"/>
      <c r="M7" s="17"/>
      <c r="N7" s="17"/>
      <c r="O7" s="15" t="str">
        <f t="shared" si="5"/>
        <v>CP.GL.VN</v>
      </c>
      <c r="P7" s="18" t="str">
        <f t="shared" si="6"/>
        <v>e_CP.GL.VN</v>
      </c>
      <c r="Q7" s="19" t="str">
        <f t="shared" si="7"/>
        <v>CP-3xx_T{t}</v>
      </c>
    </row>
    <row r="8" spans="1:17" x14ac:dyDescent="0.25">
      <c r="A8" s="13" t="s">
        <v>677</v>
      </c>
      <c r="B8" s="14" t="s">
        <v>92</v>
      </c>
      <c r="C8" s="15" t="str">
        <f t="shared" si="0"/>
        <v>e</v>
      </c>
      <c r="D8" s="16"/>
      <c r="E8" s="15" t="str">
        <f t="shared" si="1"/>
        <v/>
      </c>
      <c r="F8" s="14" t="s">
        <v>230</v>
      </c>
      <c r="G8" s="15" t="str">
        <f t="shared" si="2"/>
        <v>CP</v>
      </c>
      <c r="H8" s="14" t="s">
        <v>240</v>
      </c>
      <c r="I8" s="15" t="str">
        <f t="shared" si="3"/>
        <v>SL</v>
      </c>
      <c r="J8" s="14" t="s">
        <v>238</v>
      </c>
      <c r="K8" s="15" t="str">
        <f t="shared" si="4"/>
        <v>SR</v>
      </c>
      <c r="L8" s="17"/>
      <c r="M8" s="17"/>
      <c r="N8" s="17"/>
      <c r="O8" s="15" t="str">
        <f t="shared" si="5"/>
        <v>CP.SL.SR</v>
      </c>
      <c r="P8" s="18" t="str">
        <f t="shared" si="6"/>
        <v>e_CP.SL.SR</v>
      </c>
      <c r="Q8" s="19" t="str">
        <f t="shared" si="7"/>
        <v>CP-2xx_T{t}</v>
      </c>
    </row>
    <row r="9" spans="1:17" x14ac:dyDescent="0.25">
      <c r="A9" s="13" t="s">
        <v>679</v>
      </c>
      <c r="B9" s="14" t="s">
        <v>92</v>
      </c>
      <c r="C9" s="15" t="str">
        <f t="shared" si="0"/>
        <v>e</v>
      </c>
      <c r="D9" s="16"/>
      <c r="E9" s="15" t="str">
        <f t="shared" si="1"/>
        <v/>
      </c>
      <c r="F9" s="14" t="s">
        <v>230</v>
      </c>
      <c r="G9" s="15" t="str">
        <f t="shared" si="2"/>
        <v>CP</v>
      </c>
      <c r="H9" s="14" t="s">
        <v>240</v>
      </c>
      <c r="I9" s="15" t="str">
        <f t="shared" si="3"/>
        <v>SL</v>
      </c>
      <c r="J9" s="14" t="s">
        <v>247</v>
      </c>
      <c r="K9" s="15" t="str">
        <f t="shared" si="4"/>
        <v>DC</v>
      </c>
      <c r="L9" s="17"/>
      <c r="M9" s="17"/>
      <c r="N9" s="17" t="s">
        <v>747</v>
      </c>
      <c r="O9" s="15" t="str">
        <f t="shared" si="5"/>
        <v>CP.SL.DC</v>
      </c>
      <c r="P9" s="18" t="str">
        <f t="shared" si="6"/>
        <v>e_CP.SL.DC_Perforated</v>
      </c>
      <c r="Q9" s="19" t="str">
        <f t="shared" si="7"/>
        <v>CP-4xx_T{t}</v>
      </c>
    </row>
    <row r="10" spans="1:17" x14ac:dyDescent="0.25">
      <c r="A10" s="13" t="s">
        <v>680</v>
      </c>
      <c r="B10" s="14" t="s">
        <v>92</v>
      </c>
      <c r="C10" s="15" t="str">
        <f t="shared" si="0"/>
        <v>e</v>
      </c>
      <c r="D10" s="16"/>
      <c r="E10" s="15" t="str">
        <f t="shared" si="1"/>
        <v/>
      </c>
      <c r="F10" s="14" t="s">
        <v>230</v>
      </c>
      <c r="G10" s="15" t="str">
        <f t="shared" si="2"/>
        <v>CP</v>
      </c>
      <c r="H10" s="14" t="s">
        <v>244</v>
      </c>
      <c r="I10" s="15" t="str">
        <f t="shared" si="3"/>
        <v>CO</v>
      </c>
      <c r="J10" s="14" t="s">
        <v>238</v>
      </c>
      <c r="K10" s="15" t="str">
        <f t="shared" si="4"/>
        <v>SR</v>
      </c>
      <c r="L10" s="17" t="s">
        <v>748</v>
      </c>
      <c r="M10" s="17"/>
      <c r="N10" s="17"/>
      <c r="O10" s="15" t="str">
        <f t="shared" si="5"/>
        <v>CP.CO.SR</v>
      </c>
      <c r="P10" s="18" t="str">
        <f t="shared" si="6"/>
        <v>e_CP.CO.SR_Alucobond</v>
      </c>
      <c r="Q10" s="19" t="str">
        <f t="shared" si="7"/>
        <v>CP-2xx_T{t}</v>
      </c>
    </row>
    <row r="11" spans="1:17" x14ac:dyDescent="0.25">
      <c r="A11" s="13" t="s">
        <v>682</v>
      </c>
      <c r="B11" s="14" t="s">
        <v>92</v>
      </c>
      <c r="C11" s="15" t="str">
        <f t="shared" si="0"/>
        <v>e</v>
      </c>
      <c r="D11" s="16"/>
      <c r="E11" s="15" t="str">
        <f t="shared" si="1"/>
        <v/>
      </c>
      <c r="F11" s="14" t="s">
        <v>230</v>
      </c>
      <c r="G11" s="15" t="str">
        <f t="shared" si="2"/>
        <v>CP</v>
      </c>
      <c r="H11" s="14" t="s">
        <v>256</v>
      </c>
      <c r="I11" s="15" t="str">
        <f t="shared" si="3"/>
        <v>LV</v>
      </c>
      <c r="J11" s="14" t="s">
        <v>242</v>
      </c>
      <c r="K11" s="15" t="str">
        <f t="shared" si="4"/>
        <v>VN</v>
      </c>
      <c r="L11" s="17" t="s">
        <v>732</v>
      </c>
      <c r="M11" s="17"/>
      <c r="N11" s="17"/>
      <c r="O11" s="15" t="str">
        <f t="shared" si="5"/>
        <v>CP.LV.VN</v>
      </c>
      <c r="P11" s="18" t="str">
        <f t="shared" si="6"/>
        <v>e_CP.LV.VN_Colt</v>
      </c>
      <c r="Q11" s="19" t="str">
        <f t="shared" si="7"/>
        <v>CP-3xx_T{t}</v>
      </c>
    </row>
    <row r="12" spans="1:17" x14ac:dyDescent="0.25">
      <c r="A12" s="13" t="s">
        <v>685</v>
      </c>
      <c r="B12" s="14" t="s">
        <v>92</v>
      </c>
      <c r="C12" s="15" t="str">
        <f t="shared" si="0"/>
        <v>e</v>
      </c>
      <c r="D12" s="16"/>
      <c r="E12" s="15" t="str">
        <f t="shared" si="1"/>
        <v/>
      </c>
      <c r="F12" s="14" t="s">
        <v>230</v>
      </c>
      <c r="G12" s="15" t="str">
        <f t="shared" si="2"/>
        <v>CP</v>
      </c>
      <c r="H12" s="14" t="s">
        <v>250</v>
      </c>
      <c r="I12" s="15" t="str">
        <f t="shared" si="3"/>
        <v>MS</v>
      </c>
      <c r="J12" s="14" t="s">
        <v>247</v>
      </c>
      <c r="K12" s="15" t="str">
        <f t="shared" si="4"/>
        <v>DC</v>
      </c>
      <c r="L12" s="17"/>
      <c r="M12" s="17"/>
      <c r="N12" s="17"/>
      <c r="O12" s="15" t="str">
        <f t="shared" si="5"/>
        <v>CP.MS.DC</v>
      </c>
      <c r="P12" s="18" t="str">
        <f t="shared" si="6"/>
        <v>e_CP.MS.DC</v>
      </c>
      <c r="Q12" s="19" t="str">
        <f t="shared" si="7"/>
        <v>CP-4xx_T{t}</v>
      </c>
    </row>
    <row r="13" spans="1:17" x14ac:dyDescent="0.25">
      <c r="A13" s="13" t="s">
        <v>687</v>
      </c>
      <c r="B13" s="14" t="s">
        <v>92</v>
      </c>
      <c r="C13" s="15" t="str">
        <f t="shared" si="0"/>
        <v>e</v>
      </c>
      <c r="D13" s="16"/>
      <c r="E13" s="15" t="str">
        <f t="shared" si="1"/>
        <v/>
      </c>
      <c r="F13" s="14" t="s">
        <v>230</v>
      </c>
      <c r="G13" s="15" t="str">
        <f t="shared" si="2"/>
        <v>CP</v>
      </c>
      <c r="H13" s="14" t="s">
        <v>103</v>
      </c>
      <c r="I13" s="15" t="str">
        <f t="shared" si="3"/>
        <v>CM</v>
      </c>
      <c r="J13" s="14" t="s">
        <v>169</v>
      </c>
      <c r="K13" s="15" t="str">
        <f t="shared" si="4"/>
        <v>OT</v>
      </c>
      <c r="L13" s="17"/>
      <c r="M13" s="17"/>
      <c r="N13" s="17" t="s">
        <v>749</v>
      </c>
      <c r="O13" s="15" t="str">
        <f t="shared" si="5"/>
        <v>CP.CM.OT</v>
      </c>
      <c r="P13" s="18" t="str">
        <f t="shared" si="6"/>
        <v>e_CP.CM.OT_Bracket</v>
      </c>
      <c r="Q13" s="19" t="str">
        <f t="shared" si="7"/>
        <v>CP-9xx_T{t}</v>
      </c>
    </row>
    <row r="14" spans="1:17" x14ac:dyDescent="0.25">
      <c r="A14" s="13" t="s">
        <v>689</v>
      </c>
      <c r="B14" s="14" t="s">
        <v>92</v>
      </c>
      <c r="C14" s="15" t="str">
        <f t="shared" si="0"/>
        <v>e</v>
      </c>
      <c r="D14" s="16"/>
      <c r="E14" s="15" t="str">
        <f t="shared" si="1"/>
        <v/>
      </c>
      <c r="F14" s="14" t="s">
        <v>230</v>
      </c>
      <c r="G14" s="15" t="str">
        <f t="shared" si="2"/>
        <v>CP</v>
      </c>
      <c r="H14" s="14" t="s">
        <v>131</v>
      </c>
      <c r="I14" s="15" t="str">
        <f t="shared" si="3"/>
        <v>GN</v>
      </c>
      <c r="J14" s="14" t="s">
        <v>232</v>
      </c>
      <c r="K14" s="15" t="str">
        <f t="shared" si="4"/>
        <v>VS</v>
      </c>
      <c r="L14" s="17"/>
      <c r="M14" s="17"/>
      <c r="N14" s="17"/>
      <c r="O14" s="15" t="str">
        <f t="shared" si="5"/>
        <v>CP.GN.VS</v>
      </c>
      <c r="P14" s="18" t="str">
        <f t="shared" si="6"/>
        <v>e_CP.GN.VS</v>
      </c>
      <c r="Q14" s="19" t="str">
        <f t="shared" si="7"/>
        <v>CP-1xx_T{t}</v>
      </c>
    </row>
    <row r="15" spans="1:17" x14ac:dyDescent="0.25">
      <c r="A15" s="13" t="s">
        <v>691</v>
      </c>
      <c r="B15" s="14" t="s">
        <v>92</v>
      </c>
      <c r="C15" s="15" t="str">
        <f t="shared" si="0"/>
        <v>e</v>
      </c>
      <c r="D15" s="16" t="s">
        <v>97</v>
      </c>
      <c r="E15" s="15" t="str">
        <f t="shared" si="1"/>
        <v>(I)</v>
      </c>
      <c r="F15" s="14" t="s">
        <v>230</v>
      </c>
      <c r="G15" s="15" t="str">
        <f t="shared" si="2"/>
        <v>CP</v>
      </c>
      <c r="H15" s="14" t="s">
        <v>235</v>
      </c>
      <c r="I15" s="15" t="str">
        <f t="shared" si="3"/>
        <v>GL</v>
      </c>
      <c r="J15" s="14" t="s">
        <v>232</v>
      </c>
      <c r="K15" s="15" t="str">
        <f t="shared" si="4"/>
        <v>VS</v>
      </c>
      <c r="L15" s="17"/>
      <c r="M15" s="17"/>
      <c r="N15" s="17"/>
      <c r="O15" s="15" t="str">
        <f t="shared" si="5"/>
        <v>CP.GL.VS</v>
      </c>
      <c r="P15" s="18" t="str">
        <f t="shared" si="6"/>
        <v>e_(I)CP.GL.VS</v>
      </c>
      <c r="Q15" s="19" t="str">
        <f t="shared" si="7"/>
        <v>CP-1xx_T{t}</v>
      </c>
    </row>
    <row r="16" spans="1:17" x14ac:dyDescent="0.25">
      <c r="A16" s="21">
        <v>1</v>
      </c>
      <c r="B16" s="22"/>
      <c r="C16" s="23" t="str">
        <f t="shared" si="0"/>
        <v/>
      </c>
      <c r="D16" s="24"/>
      <c r="E16" s="23" t="str">
        <f t="shared" si="1"/>
        <v/>
      </c>
      <c r="F16" s="22"/>
      <c r="G16" s="23" t="str">
        <f t="shared" si="2"/>
        <v/>
      </c>
      <c r="H16" s="22"/>
      <c r="I16" s="23" t="str">
        <f t="shared" si="3"/>
        <v/>
      </c>
      <c r="J16" s="22"/>
      <c r="K16" s="23" t="str">
        <f t="shared" si="4"/>
        <v/>
      </c>
      <c r="L16" s="25"/>
      <c r="M16" s="25"/>
      <c r="N16" s="25"/>
      <c r="O16" s="23" t="str">
        <f t="shared" si="5"/>
        <v/>
      </c>
      <c r="P16" s="26" t="str">
        <f t="shared" si="6"/>
        <v/>
      </c>
      <c r="Q16" s="27" t="str">
        <f t="shared" si="7"/>
        <v/>
      </c>
    </row>
    <row r="17" spans="1:17" x14ac:dyDescent="0.25">
      <c r="A17" s="21">
        <v>2</v>
      </c>
      <c r="B17" s="22"/>
      <c r="C17" s="23" t="str">
        <f t="shared" si="0"/>
        <v/>
      </c>
      <c r="D17" s="24"/>
      <c r="E17" s="23" t="str">
        <f t="shared" si="1"/>
        <v/>
      </c>
      <c r="F17" s="22"/>
      <c r="G17" s="23" t="str">
        <f t="shared" si="2"/>
        <v/>
      </c>
      <c r="H17" s="22"/>
      <c r="I17" s="23" t="str">
        <f t="shared" si="3"/>
        <v/>
      </c>
      <c r="J17" s="22"/>
      <c r="K17" s="23" t="str">
        <f t="shared" si="4"/>
        <v/>
      </c>
      <c r="L17" s="25"/>
      <c r="M17" s="25"/>
      <c r="N17" s="25"/>
      <c r="O17" s="23" t="str">
        <f t="shared" si="5"/>
        <v/>
      </c>
      <c r="P17" s="26" t="str">
        <f t="shared" si="6"/>
        <v/>
      </c>
      <c r="Q17" s="27" t="str">
        <f t="shared" si="7"/>
        <v/>
      </c>
    </row>
    <row r="18" spans="1:17" x14ac:dyDescent="0.25">
      <c r="A18" s="21">
        <v>3</v>
      </c>
      <c r="B18" s="22"/>
      <c r="C18" s="23" t="str">
        <f t="shared" si="0"/>
        <v/>
      </c>
      <c r="D18" s="24"/>
      <c r="E18" s="23" t="str">
        <f t="shared" si="1"/>
        <v/>
      </c>
      <c r="F18" s="22"/>
      <c r="G18" s="23" t="str">
        <f t="shared" si="2"/>
        <v/>
      </c>
      <c r="H18" s="22"/>
      <c r="I18" s="23" t="str">
        <f t="shared" si="3"/>
        <v/>
      </c>
      <c r="J18" s="22"/>
      <c r="K18" s="23" t="str">
        <f t="shared" si="4"/>
        <v/>
      </c>
      <c r="L18" s="25"/>
      <c r="M18" s="25"/>
      <c r="N18" s="25"/>
      <c r="O18" s="23" t="str">
        <f t="shared" si="5"/>
        <v/>
      </c>
      <c r="P18" s="26" t="str">
        <f t="shared" si="6"/>
        <v/>
      </c>
      <c r="Q18" s="27" t="str">
        <f t="shared" si="7"/>
        <v/>
      </c>
    </row>
    <row r="19" spans="1:17" x14ac:dyDescent="0.25">
      <c r="A19" s="21">
        <v>4</v>
      </c>
      <c r="B19" s="22"/>
      <c r="C19" s="23" t="str">
        <f t="shared" si="0"/>
        <v/>
      </c>
      <c r="D19" s="24"/>
      <c r="E19" s="23" t="str">
        <f t="shared" si="1"/>
        <v/>
      </c>
      <c r="F19" s="22"/>
      <c r="G19" s="23" t="str">
        <f t="shared" si="2"/>
        <v/>
      </c>
      <c r="H19" s="22"/>
      <c r="I19" s="23" t="str">
        <f t="shared" si="3"/>
        <v/>
      </c>
      <c r="J19" s="22"/>
      <c r="K19" s="23" t="str">
        <f t="shared" si="4"/>
        <v/>
      </c>
      <c r="L19" s="25"/>
      <c r="M19" s="25"/>
      <c r="N19" s="25"/>
      <c r="O19" s="23" t="str">
        <f t="shared" si="5"/>
        <v/>
      </c>
      <c r="P19" s="26" t="str">
        <f t="shared" si="6"/>
        <v/>
      </c>
      <c r="Q19" s="27" t="str">
        <f t="shared" si="7"/>
        <v/>
      </c>
    </row>
    <row r="20" spans="1:17" x14ac:dyDescent="0.25">
      <c r="A20" s="21">
        <v>5</v>
      </c>
      <c r="B20" s="22"/>
      <c r="C20" s="23" t="str">
        <f t="shared" si="0"/>
        <v/>
      </c>
      <c r="D20" s="24"/>
      <c r="E20" s="23" t="str">
        <f t="shared" si="1"/>
        <v/>
      </c>
      <c r="F20" s="22"/>
      <c r="G20" s="23" t="str">
        <f t="shared" si="2"/>
        <v/>
      </c>
      <c r="H20" s="22"/>
      <c r="I20" s="23" t="str">
        <f t="shared" si="3"/>
        <v/>
      </c>
      <c r="J20" s="22"/>
      <c r="K20" s="23" t="str">
        <f t="shared" si="4"/>
        <v/>
      </c>
      <c r="L20" s="25"/>
      <c r="M20" s="25"/>
      <c r="N20" s="25"/>
      <c r="O20" s="23" t="str">
        <f t="shared" si="5"/>
        <v/>
      </c>
      <c r="P20" s="26" t="str">
        <f t="shared" si="6"/>
        <v/>
      </c>
      <c r="Q20" s="27" t="str">
        <f t="shared" si="7"/>
        <v/>
      </c>
    </row>
    <row r="21" spans="1:17" x14ac:dyDescent="0.25">
      <c r="A21" s="21">
        <v>6</v>
      </c>
      <c r="B21" s="22"/>
      <c r="C21" s="23" t="str">
        <f t="shared" si="0"/>
        <v/>
      </c>
      <c r="D21" s="24"/>
      <c r="E21" s="23" t="str">
        <f t="shared" si="1"/>
        <v/>
      </c>
      <c r="F21" s="22"/>
      <c r="G21" s="23" t="str">
        <f t="shared" si="2"/>
        <v/>
      </c>
      <c r="H21" s="22"/>
      <c r="I21" s="23" t="str">
        <f t="shared" si="3"/>
        <v/>
      </c>
      <c r="J21" s="22"/>
      <c r="K21" s="23" t="str">
        <f t="shared" si="4"/>
        <v/>
      </c>
      <c r="L21" s="25"/>
      <c r="M21" s="25"/>
      <c r="N21" s="25"/>
      <c r="O21" s="23" t="str">
        <f t="shared" si="5"/>
        <v/>
      </c>
      <c r="P21" s="26" t="str">
        <f t="shared" si="6"/>
        <v/>
      </c>
      <c r="Q21" s="27" t="str">
        <f t="shared" si="7"/>
        <v/>
      </c>
    </row>
    <row r="22" spans="1:17" x14ac:dyDescent="0.25">
      <c r="A22" s="21">
        <v>7</v>
      </c>
      <c r="B22" s="22"/>
      <c r="C22" s="23" t="str">
        <f t="shared" si="0"/>
        <v/>
      </c>
      <c r="D22" s="24"/>
      <c r="E22" s="23" t="str">
        <f t="shared" si="1"/>
        <v/>
      </c>
      <c r="F22" s="22"/>
      <c r="G22" s="23" t="str">
        <f t="shared" si="2"/>
        <v/>
      </c>
      <c r="H22" s="22"/>
      <c r="I22" s="23" t="str">
        <f t="shared" si="3"/>
        <v/>
      </c>
      <c r="J22" s="22"/>
      <c r="K22" s="23" t="str">
        <f t="shared" si="4"/>
        <v/>
      </c>
      <c r="L22" s="25"/>
      <c r="M22" s="25"/>
      <c r="N22" s="25"/>
      <c r="O22" s="23" t="str">
        <f t="shared" si="5"/>
        <v/>
      </c>
      <c r="P22" s="26" t="str">
        <f t="shared" si="6"/>
        <v/>
      </c>
      <c r="Q22" s="27" t="str">
        <f t="shared" si="7"/>
        <v/>
      </c>
    </row>
    <row r="23" spans="1:17" x14ac:dyDescent="0.25">
      <c r="A23" s="21">
        <v>8</v>
      </c>
      <c r="B23" s="22"/>
      <c r="C23" s="23" t="str">
        <f t="shared" si="0"/>
        <v/>
      </c>
      <c r="D23" s="24"/>
      <c r="E23" s="23" t="str">
        <f t="shared" si="1"/>
        <v/>
      </c>
      <c r="F23" s="22"/>
      <c r="G23" s="23" t="str">
        <f t="shared" si="2"/>
        <v/>
      </c>
      <c r="H23" s="22"/>
      <c r="I23" s="23" t="str">
        <f t="shared" si="3"/>
        <v/>
      </c>
      <c r="J23" s="22"/>
      <c r="K23" s="23" t="str">
        <f t="shared" si="4"/>
        <v/>
      </c>
      <c r="L23" s="25"/>
      <c r="M23" s="25"/>
      <c r="N23" s="25"/>
      <c r="O23" s="23" t="str">
        <f t="shared" si="5"/>
        <v/>
      </c>
      <c r="P23" s="26" t="str">
        <f t="shared" si="6"/>
        <v/>
      </c>
      <c r="Q23" s="27" t="str">
        <f t="shared" si="7"/>
        <v/>
      </c>
    </row>
    <row r="24" spans="1:17" x14ac:dyDescent="0.25">
      <c r="A24" s="21">
        <v>9</v>
      </c>
      <c r="B24" s="22"/>
      <c r="C24" s="23" t="str">
        <f t="shared" si="0"/>
        <v/>
      </c>
      <c r="D24" s="24"/>
      <c r="E24" s="23" t="str">
        <f t="shared" si="1"/>
        <v/>
      </c>
      <c r="F24" s="22"/>
      <c r="G24" s="23" t="str">
        <f t="shared" si="2"/>
        <v/>
      </c>
      <c r="H24" s="22"/>
      <c r="I24" s="23" t="str">
        <f t="shared" si="3"/>
        <v/>
      </c>
      <c r="J24" s="22"/>
      <c r="K24" s="23" t="str">
        <f t="shared" si="4"/>
        <v/>
      </c>
      <c r="L24" s="25"/>
      <c r="M24" s="25"/>
      <c r="N24" s="25"/>
      <c r="O24" s="23" t="str">
        <f t="shared" si="5"/>
        <v/>
      </c>
      <c r="P24" s="26" t="str">
        <f t="shared" si="6"/>
        <v/>
      </c>
      <c r="Q24" s="27" t="str">
        <f t="shared" si="7"/>
        <v/>
      </c>
    </row>
    <row r="25" spans="1:17" x14ac:dyDescent="0.25">
      <c r="A25" s="21">
        <v>10</v>
      </c>
      <c r="B25" s="22"/>
      <c r="C25" s="23" t="str">
        <f t="shared" si="0"/>
        <v/>
      </c>
      <c r="D25" s="24"/>
      <c r="E25" s="23" t="str">
        <f t="shared" si="1"/>
        <v/>
      </c>
      <c r="F25" s="22"/>
      <c r="G25" s="23" t="str">
        <f t="shared" si="2"/>
        <v/>
      </c>
      <c r="H25" s="22"/>
      <c r="I25" s="23" t="str">
        <f t="shared" si="3"/>
        <v/>
      </c>
      <c r="J25" s="22"/>
      <c r="K25" s="23" t="str">
        <f t="shared" si="4"/>
        <v/>
      </c>
      <c r="L25" s="25"/>
      <c r="M25" s="25"/>
      <c r="N25" s="25"/>
      <c r="O25" s="23" t="str">
        <f t="shared" si="5"/>
        <v/>
      </c>
      <c r="P25" s="26" t="str">
        <f t="shared" si="6"/>
        <v/>
      </c>
      <c r="Q25" s="27" t="str">
        <f t="shared" si="7"/>
        <v/>
      </c>
    </row>
    <row r="26" spans="1:17" x14ac:dyDescent="0.25">
      <c r="A26" s="21">
        <v>11</v>
      </c>
      <c r="B26" s="22"/>
      <c r="C26" s="23" t="str">
        <f t="shared" si="0"/>
        <v/>
      </c>
      <c r="D26" s="24"/>
      <c r="E26" s="23" t="str">
        <f t="shared" si="1"/>
        <v/>
      </c>
      <c r="F26" s="22"/>
      <c r="G26" s="23" t="str">
        <f t="shared" si="2"/>
        <v/>
      </c>
      <c r="H26" s="22"/>
      <c r="I26" s="23" t="str">
        <f t="shared" si="3"/>
        <v/>
      </c>
      <c r="J26" s="22"/>
      <c r="K26" s="23" t="str">
        <f t="shared" si="4"/>
        <v/>
      </c>
      <c r="L26" s="25"/>
      <c r="M26" s="25"/>
      <c r="N26" s="25"/>
      <c r="O26" s="23" t="str">
        <f t="shared" si="5"/>
        <v/>
      </c>
      <c r="P26" s="26" t="str">
        <f t="shared" si="6"/>
        <v/>
      </c>
      <c r="Q26" s="27" t="str">
        <f t="shared" si="7"/>
        <v/>
      </c>
    </row>
    <row r="27" spans="1:17" x14ac:dyDescent="0.25">
      <c r="A27" s="21">
        <v>12</v>
      </c>
      <c r="B27" s="22"/>
      <c r="C27" s="23" t="str">
        <f t="shared" si="0"/>
        <v/>
      </c>
      <c r="D27" s="24"/>
      <c r="E27" s="23" t="str">
        <f t="shared" si="1"/>
        <v/>
      </c>
      <c r="F27" s="22"/>
      <c r="G27" s="23" t="str">
        <f t="shared" si="2"/>
        <v/>
      </c>
      <c r="H27" s="22"/>
      <c r="I27" s="23" t="str">
        <f t="shared" si="3"/>
        <v/>
      </c>
      <c r="J27" s="22"/>
      <c r="K27" s="23" t="str">
        <f t="shared" si="4"/>
        <v/>
      </c>
      <c r="L27" s="25"/>
      <c r="M27" s="25"/>
      <c r="N27" s="25"/>
      <c r="O27" s="23" t="str">
        <f t="shared" si="5"/>
        <v/>
      </c>
      <c r="P27" s="26" t="str">
        <f t="shared" si="6"/>
        <v/>
      </c>
      <c r="Q27" s="27" t="str">
        <f t="shared" si="7"/>
        <v/>
      </c>
    </row>
    <row r="28" spans="1:17" x14ac:dyDescent="0.25">
      <c r="A28" s="21">
        <v>13</v>
      </c>
      <c r="B28" s="22"/>
      <c r="C28" s="23" t="str">
        <f t="shared" si="0"/>
        <v/>
      </c>
      <c r="D28" s="24"/>
      <c r="E28" s="23" t="str">
        <f t="shared" si="1"/>
        <v/>
      </c>
      <c r="F28" s="22"/>
      <c r="G28" s="23" t="str">
        <f t="shared" si="2"/>
        <v/>
      </c>
      <c r="H28" s="22"/>
      <c r="I28" s="23" t="str">
        <f t="shared" si="3"/>
        <v/>
      </c>
      <c r="J28" s="22"/>
      <c r="K28" s="23" t="str">
        <f t="shared" si="4"/>
        <v/>
      </c>
      <c r="L28" s="25"/>
      <c r="M28" s="25"/>
      <c r="N28" s="25"/>
      <c r="O28" s="23" t="str">
        <f t="shared" si="5"/>
        <v/>
      </c>
      <c r="P28" s="26" t="str">
        <f t="shared" si="6"/>
        <v/>
      </c>
      <c r="Q28" s="27" t="str">
        <f t="shared" si="7"/>
        <v/>
      </c>
    </row>
    <row r="29" spans="1:17" x14ac:dyDescent="0.25">
      <c r="A29" s="21">
        <v>14</v>
      </c>
      <c r="B29" s="22"/>
      <c r="C29" s="23" t="str">
        <f t="shared" si="0"/>
        <v/>
      </c>
      <c r="D29" s="24"/>
      <c r="E29" s="23" t="str">
        <f t="shared" si="1"/>
        <v/>
      </c>
      <c r="F29" s="22"/>
      <c r="G29" s="23" t="str">
        <f t="shared" si="2"/>
        <v/>
      </c>
      <c r="H29" s="22"/>
      <c r="I29" s="23" t="str">
        <f t="shared" si="3"/>
        <v/>
      </c>
      <c r="J29" s="22"/>
      <c r="K29" s="23" t="str">
        <f t="shared" si="4"/>
        <v/>
      </c>
      <c r="L29" s="25"/>
      <c r="M29" s="25"/>
      <c r="N29" s="25"/>
      <c r="O29" s="23" t="str">
        <f t="shared" si="5"/>
        <v/>
      </c>
      <c r="P29" s="26" t="str">
        <f t="shared" si="6"/>
        <v/>
      </c>
      <c r="Q29" s="27" t="str">
        <f t="shared" si="7"/>
        <v/>
      </c>
    </row>
    <row r="30" spans="1:17" x14ac:dyDescent="0.25">
      <c r="A30" s="21">
        <v>15</v>
      </c>
      <c r="B30" s="22"/>
      <c r="C30" s="23" t="str">
        <f t="shared" si="0"/>
        <v/>
      </c>
      <c r="D30" s="24"/>
      <c r="E30" s="23" t="str">
        <f t="shared" si="1"/>
        <v/>
      </c>
      <c r="F30" s="22"/>
      <c r="G30" s="23" t="str">
        <f t="shared" si="2"/>
        <v/>
      </c>
      <c r="H30" s="22"/>
      <c r="I30" s="23" t="str">
        <f t="shared" si="3"/>
        <v/>
      </c>
      <c r="J30" s="22"/>
      <c r="K30" s="23" t="str">
        <f t="shared" si="4"/>
        <v/>
      </c>
      <c r="L30" s="25"/>
      <c r="M30" s="25"/>
      <c r="N30" s="25"/>
      <c r="O30" s="23" t="str">
        <f t="shared" si="5"/>
        <v/>
      </c>
      <c r="P30" s="26" t="str">
        <f t="shared" si="6"/>
        <v/>
      </c>
      <c r="Q30" s="27" t="str">
        <f t="shared" si="7"/>
        <v/>
      </c>
    </row>
    <row r="33" spans="1:17" ht="21.95" customHeight="1" x14ac:dyDescent="0.25">
      <c r="A33" s="41" t="s">
        <v>700</v>
      </c>
      <c r="B33" s="42"/>
      <c r="C33" s="42"/>
      <c r="D33" s="42"/>
      <c r="E33" s="42"/>
      <c r="F33" s="42"/>
      <c r="G33" s="42"/>
      <c r="H33" s="42"/>
      <c r="I33" s="42"/>
      <c r="J33" s="42"/>
      <c r="K33" s="42"/>
      <c r="L33" s="42"/>
      <c r="M33" s="42"/>
      <c r="N33" s="42"/>
      <c r="O33" s="42"/>
      <c r="P33" s="42"/>
      <c r="Q33" s="42"/>
    </row>
    <row r="35" spans="1:17" ht="24" customHeight="1" x14ac:dyDescent="0.25">
      <c r="A35" s="44" t="s">
        <v>750</v>
      </c>
      <c r="B35" s="33"/>
      <c r="C35" s="33"/>
      <c r="D35" s="33"/>
      <c r="E35" s="33"/>
      <c r="F35" s="33"/>
      <c r="G35" s="33"/>
      <c r="H35" s="33"/>
      <c r="I35" s="33"/>
      <c r="J35" s="33"/>
      <c r="K35" s="33"/>
      <c r="L35" s="33"/>
      <c r="M35" s="33"/>
      <c r="N35" s="33"/>
      <c r="O35" s="33"/>
      <c r="P35" s="33"/>
      <c r="Q35" s="33"/>
    </row>
    <row r="36" spans="1:17" ht="51" customHeight="1" x14ac:dyDescent="0.25">
      <c r="A36" s="40" t="s">
        <v>702</v>
      </c>
      <c r="B36" s="33"/>
      <c r="C36" s="33"/>
      <c r="D36" s="33"/>
      <c r="E36" s="33"/>
      <c r="F36" s="33"/>
      <c r="G36" s="33"/>
      <c r="H36" s="33"/>
      <c r="I36" s="33"/>
      <c r="J36" s="33"/>
      <c r="K36" s="33"/>
      <c r="L36" s="33"/>
      <c r="M36" s="33"/>
      <c r="N36" s="33"/>
      <c r="O36" s="33"/>
      <c r="P36" s="33"/>
      <c r="Q36" s="33"/>
    </row>
    <row r="38" spans="1:17" ht="18" customHeight="1" x14ac:dyDescent="0.25">
      <c r="A38" s="43" t="s">
        <v>703</v>
      </c>
      <c r="B38" s="33"/>
      <c r="C38" s="33"/>
      <c r="D38" s="33"/>
      <c r="E38" s="33"/>
      <c r="F38" s="33"/>
      <c r="G38" s="33"/>
      <c r="H38" s="33"/>
      <c r="I38" s="33"/>
      <c r="J38" s="33"/>
      <c r="K38" s="33"/>
      <c r="L38" s="33"/>
      <c r="M38" s="33"/>
      <c r="N38" s="33"/>
      <c r="O38" s="33"/>
      <c r="P38" s="33"/>
      <c r="Q38" s="33"/>
    </row>
    <row r="39" spans="1:17" ht="21" customHeight="1" x14ac:dyDescent="0.25">
      <c r="A39" s="40" t="s">
        <v>751</v>
      </c>
      <c r="B39" s="33"/>
      <c r="C39" s="33"/>
      <c r="D39" s="33"/>
      <c r="E39" s="33"/>
      <c r="F39" s="33"/>
      <c r="G39" s="33"/>
      <c r="H39" s="33"/>
      <c r="I39" s="33"/>
      <c r="J39" s="33"/>
      <c r="K39" s="33"/>
      <c r="L39" s="33"/>
      <c r="M39" s="33"/>
      <c r="N39" s="33"/>
      <c r="O39" s="33"/>
      <c r="P39" s="33"/>
      <c r="Q39" s="33"/>
    </row>
    <row r="42" spans="1:17" ht="21.95" customHeight="1" x14ac:dyDescent="0.25">
      <c r="A42" s="41" t="s">
        <v>752</v>
      </c>
      <c r="B42" s="42"/>
      <c r="C42" s="42"/>
      <c r="D42" s="42"/>
      <c r="E42" s="42"/>
      <c r="F42" s="42"/>
      <c r="G42" s="42"/>
      <c r="H42" s="42"/>
      <c r="I42" s="42"/>
      <c r="J42" s="42"/>
      <c r="K42" s="42"/>
      <c r="L42" s="42"/>
      <c r="M42" s="42"/>
      <c r="N42" s="42"/>
      <c r="O42" s="42"/>
      <c r="P42" s="42"/>
      <c r="Q42" s="42"/>
    </row>
    <row r="43" spans="1:17" ht="15.95" customHeight="1" x14ac:dyDescent="0.25">
      <c r="A43" s="39" t="s">
        <v>706</v>
      </c>
      <c r="B43" s="33"/>
      <c r="C43" s="33"/>
      <c r="D43" s="33"/>
      <c r="E43" s="33"/>
      <c r="F43" s="33"/>
      <c r="G43" s="33"/>
      <c r="H43" s="33"/>
      <c r="I43" s="33"/>
      <c r="J43" s="33"/>
      <c r="K43" s="33"/>
      <c r="L43" s="33"/>
      <c r="M43" s="33"/>
      <c r="N43" s="33"/>
      <c r="O43" s="33"/>
      <c r="P43" s="33"/>
      <c r="Q43" s="33"/>
    </row>
    <row r="45" spans="1:17" ht="18" customHeight="1" x14ac:dyDescent="0.25">
      <c r="A45" s="43" t="s">
        <v>753</v>
      </c>
      <c r="B45" s="33"/>
      <c r="C45" s="33"/>
      <c r="D45" s="33"/>
      <c r="E45" s="33"/>
      <c r="F45" s="33"/>
      <c r="G45" s="33"/>
      <c r="H45" s="33"/>
      <c r="I45" s="33"/>
      <c r="J45" s="33"/>
      <c r="K45" s="33"/>
      <c r="L45" s="33"/>
      <c r="M45" s="33"/>
      <c r="N45" s="33"/>
      <c r="O45" s="33"/>
      <c r="P45" s="33"/>
      <c r="Q45" s="33"/>
    </row>
    <row r="46" spans="1:17" ht="21" customHeight="1" x14ac:dyDescent="0.25">
      <c r="A46" s="40" t="s">
        <v>754</v>
      </c>
      <c r="B46" s="33"/>
      <c r="C46" s="33"/>
      <c r="D46" s="33"/>
      <c r="E46" s="33"/>
      <c r="F46" s="33"/>
      <c r="G46" s="33"/>
      <c r="H46" s="33"/>
      <c r="I46" s="33"/>
      <c r="J46" s="33"/>
      <c r="K46" s="33"/>
      <c r="L46" s="33"/>
      <c r="M46" s="33"/>
      <c r="N46" s="33"/>
      <c r="O46" s="33"/>
      <c r="P46" s="33"/>
      <c r="Q46" s="33"/>
    </row>
    <row r="47" spans="1:17" ht="6" customHeight="1" x14ac:dyDescent="0.25"/>
    <row r="48" spans="1:17" ht="18" customHeight="1" x14ac:dyDescent="0.25">
      <c r="A48" s="43" t="s">
        <v>755</v>
      </c>
      <c r="B48" s="33"/>
      <c r="C48" s="33"/>
      <c r="D48" s="33"/>
      <c r="E48" s="33"/>
      <c r="F48" s="33"/>
      <c r="G48" s="33"/>
      <c r="H48" s="33"/>
      <c r="I48" s="33"/>
      <c r="J48" s="33"/>
      <c r="K48" s="33"/>
      <c r="L48" s="33"/>
      <c r="M48" s="33"/>
      <c r="N48" s="33"/>
      <c r="O48" s="33"/>
      <c r="P48" s="33"/>
      <c r="Q48" s="33"/>
    </row>
    <row r="49" spans="1:17" ht="21" customHeight="1" x14ac:dyDescent="0.25">
      <c r="A49" s="40" t="s">
        <v>756</v>
      </c>
      <c r="B49" s="33"/>
      <c r="C49" s="33"/>
      <c r="D49" s="33"/>
      <c r="E49" s="33"/>
      <c r="F49" s="33"/>
      <c r="G49" s="33"/>
      <c r="H49" s="33"/>
      <c r="I49" s="33"/>
      <c r="J49" s="33"/>
      <c r="K49" s="33"/>
      <c r="L49" s="33"/>
      <c r="M49" s="33"/>
      <c r="N49" s="33"/>
      <c r="O49" s="33"/>
      <c r="P49" s="33"/>
      <c r="Q49" s="33"/>
    </row>
    <row r="50" spans="1:17" ht="6" customHeight="1" x14ac:dyDescent="0.25"/>
    <row r="51" spans="1:17" ht="18" customHeight="1" x14ac:dyDescent="0.25">
      <c r="A51" s="43" t="s">
        <v>711</v>
      </c>
      <c r="B51" s="33"/>
      <c r="C51" s="33"/>
      <c r="D51" s="33"/>
      <c r="E51" s="33"/>
      <c r="F51" s="33"/>
      <c r="G51" s="33"/>
      <c r="H51" s="33"/>
      <c r="I51" s="33"/>
      <c r="J51" s="33"/>
      <c r="K51" s="33"/>
      <c r="L51" s="33"/>
      <c r="M51" s="33"/>
      <c r="N51" s="33"/>
      <c r="O51" s="33"/>
      <c r="P51" s="33"/>
      <c r="Q51" s="33"/>
    </row>
    <row r="52" spans="1:17" ht="51" customHeight="1" x14ac:dyDescent="0.25">
      <c r="A52" s="40" t="s">
        <v>712</v>
      </c>
      <c r="B52" s="33"/>
      <c r="C52" s="33"/>
      <c r="D52" s="33"/>
      <c r="E52" s="33"/>
      <c r="F52" s="33"/>
      <c r="G52" s="33"/>
      <c r="H52" s="33"/>
      <c r="I52" s="33"/>
      <c r="J52" s="33"/>
      <c r="K52" s="33"/>
      <c r="L52" s="33"/>
      <c r="M52" s="33"/>
      <c r="N52" s="33"/>
      <c r="O52" s="33"/>
      <c r="P52" s="33"/>
      <c r="Q52" s="33"/>
    </row>
    <row r="53" spans="1:17" ht="6" customHeight="1" x14ac:dyDescent="0.25"/>
    <row r="54" spans="1:17" ht="18" customHeight="1" x14ac:dyDescent="0.25">
      <c r="A54" s="43" t="s">
        <v>659</v>
      </c>
      <c r="B54" s="33"/>
      <c r="C54" s="33"/>
      <c r="D54" s="33"/>
      <c r="E54" s="33"/>
      <c r="F54" s="33"/>
      <c r="G54" s="33"/>
      <c r="H54" s="33"/>
      <c r="I54" s="33"/>
      <c r="J54" s="33"/>
      <c r="K54" s="33"/>
      <c r="L54" s="33"/>
      <c r="M54" s="33"/>
      <c r="N54" s="33"/>
      <c r="O54" s="33"/>
      <c r="P54" s="33"/>
      <c r="Q54" s="33"/>
    </row>
    <row r="55" spans="1:17" ht="36" customHeight="1" x14ac:dyDescent="0.25">
      <c r="A55" s="40" t="s">
        <v>713</v>
      </c>
      <c r="B55" s="33"/>
      <c r="C55" s="33"/>
      <c r="D55" s="33"/>
      <c r="E55" s="33"/>
      <c r="F55" s="33"/>
      <c r="G55" s="33"/>
      <c r="H55" s="33"/>
      <c r="I55" s="33"/>
      <c r="J55" s="33"/>
      <c r="K55" s="33"/>
      <c r="L55" s="33"/>
      <c r="M55" s="33"/>
      <c r="N55" s="33"/>
      <c r="O55" s="33"/>
      <c r="P55" s="33"/>
      <c r="Q55" s="33"/>
    </row>
    <row r="56" spans="1:17" ht="6" customHeight="1" x14ac:dyDescent="0.25"/>
    <row r="57" spans="1:17" ht="18" customHeight="1" x14ac:dyDescent="0.25">
      <c r="A57" s="43" t="s">
        <v>62</v>
      </c>
      <c r="B57" s="33"/>
      <c r="C57" s="33"/>
      <c r="D57" s="33"/>
      <c r="E57" s="33"/>
      <c r="F57" s="33"/>
      <c r="G57" s="33"/>
      <c r="H57" s="33"/>
      <c r="I57" s="33"/>
      <c r="J57" s="33"/>
      <c r="K57" s="33"/>
      <c r="L57" s="33"/>
      <c r="M57" s="33"/>
      <c r="N57" s="33"/>
      <c r="O57" s="33"/>
      <c r="P57" s="33"/>
      <c r="Q57" s="33"/>
    </row>
    <row r="58" spans="1:17" ht="36" customHeight="1" x14ac:dyDescent="0.25">
      <c r="A58" s="40" t="s">
        <v>714</v>
      </c>
      <c r="B58" s="33"/>
      <c r="C58" s="33"/>
      <c r="D58" s="33"/>
      <c r="E58" s="33"/>
      <c r="F58" s="33"/>
      <c r="G58" s="33"/>
      <c r="H58" s="33"/>
      <c r="I58" s="33"/>
      <c r="J58" s="33"/>
      <c r="K58" s="33"/>
      <c r="L58" s="33"/>
      <c r="M58" s="33"/>
      <c r="N58" s="33"/>
      <c r="O58" s="33"/>
      <c r="P58" s="33"/>
      <c r="Q58" s="33"/>
    </row>
    <row r="59" spans="1:17" ht="6" customHeight="1" x14ac:dyDescent="0.25"/>
    <row r="62" spans="1:17" ht="21.95" customHeight="1" x14ac:dyDescent="0.25">
      <c r="A62" s="41" t="s">
        <v>715</v>
      </c>
      <c r="B62" s="42"/>
      <c r="C62" s="42"/>
      <c r="D62" s="42"/>
      <c r="E62" s="42"/>
      <c r="F62" s="42"/>
      <c r="G62" s="42"/>
      <c r="H62" s="42"/>
      <c r="I62" s="42"/>
      <c r="J62" s="42"/>
      <c r="K62" s="42"/>
      <c r="L62" s="42"/>
      <c r="M62" s="42"/>
      <c r="N62" s="42"/>
      <c r="O62" s="42"/>
      <c r="P62" s="42"/>
      <c r="Q62" s="42"/>
    </row>
    <row r="64" spans="1:17" ht="18" customHeight="1" x14ac:dyDescent="0.25">
      <c r="A64" s="43" t="s">
        <v>85</v>
      </c>
      <c r="B64" s="33"/>
      <c r="C64" s="33"/>
      <c r="D64" s="33"/>
      <c r="E64" s="33"/>
      <c r="F64" s="33"/>
      <c r="G64" s="33"/>
      <c r="H64" s="33"/>
      <c r="I64" s="33"/>
      <c r="J64" s="33"/>
      <c r="K64" s="33"/>
      <c r="L64" s="33"/>
      <c r="M64" s="33"/>
      <c r="N64" s="33"/>
      <c r="O64" s="33"/>
      <c r="P64" s="33"/>
      <c r="Q64" s="33"/>
    </row>
    <row r="65" spans="1:17" ht="21" customHeight="1" x14ac:dyDescent="0.25">
      <c r="A65" s="40" t="s">
        <v>716</v>
      </c>
      <c r="B65" s="33"/>
      <c r="C65" s="33"/>
      <c r="D65" s="33"/>
      <c r="E65" s="33"/>
      <c r="F65" s="33"/>
      <c r="G65" s="33"/>
      <c r="H65" s="33"/>
      <c r="I65" s="33"/>
      <c r="J65" s="33"/>
      <c r="K65" s="33"/>
      <c r="L65" s="33"/>
      <c r="M65" s="33"/>
      <c r="N65" s="33"/>
      <c r="O65" s="33"/>
      <c r="P65" s="33"/>
      <c r="Q65" s="33"/>
    </row>
    <row r="66" spans="1:17" ht="6" customHeight="1" x14ac:dyDescent="0.25"/>
    <row r="67" spans="1:17" ht="18" customHeight="1" x14ac:dyDescent="0.25">
      <c r="A67" s="43" t="s">
        <v>97</v>
      </c>
      <c r="B67" s="33"/>
      <c r="C67" s="33"/>
      <c r="D67" s="33"/>
      <c r="E67" s="33"/>
      <c r="F67" s="33"/>
      <c r="G67" s="33"/>
      <c r="H67" s="33"/>
      <c r="I67" s="33"/>
      <c r="J67" s="33"/>
      <c r="K67" s="33"/>
      <c r="L67" s="33"/>
      <c r="M67" s="33"/>
      <c r="N67" s="33"/>
      <c r="O67" s="33"/>
      <c r="P67" s="33"/>
      <c r="Q67" s="33"/>
    </row>
    <row r="68" spans="1:17" ht="36" customHeight="1" x14ac:dyDescent="0.25">
      <c r="A68" s="40" t="s">
        <v>717</v>
      </c>
      <c r="B68" s="33"/>
      <c r="C68" s="33"/>
      <c r="D68" s="33"/>
      <c r="E68" s="33"/>
      <c r="F68" s="33"/>
      <c r="G68" s="33"/>
      <c r="H68" s="33"/>
      <c r="I68" s="33"/>
      <c r="J68" s="33"/>
      <c r="K68" s="33"/>
      <c r="L68" s="33"/>
      <c r="M68" s="33"/>
      <c r="N68" s="33"/>
      <c r="O68" s="33"/>
      <c r="P68" s="33"/>
      <c r="Q68" s="33"/>
    </row>
    <row r="69" spans="1:17" ht="6" customHeight="1" x14ac:dyDescent="0.25"/>
    <row r="70" spans="1:17" ht="18" customHeight="1" x14ac:dyDescent="0.25">
      <c r="A70" s="43" t="s">
        <v>657</v>
      </c>
      <c r="B70" s="33"/>
      <c r="C70" s="33"/>
      <c r="D70" s="33"/>
      <c r="E70" s="33"/>
      <c r="F70" s="33"/>
      <c r="G70" s="33"/>
      <c r="H70" s="33"/>
      <c r="I70" s="33"/>
      <c r="J70" s="33"/>
      <c r="K70" s="33"/>
      <c r="L70" s="33"/>
      <c r="M70" s="33"/>
      <c r="N70" s="33"/>
      <c r="O70" s="33"/>
      <c r="P70" s="33"/>
      <c r="Q70" s="33"/>
    </row>
    <row r="71" spans="1:17" ht="21" customHeight="1" x14ac:dyDescent="0.25">
      <c r="A71" s="40" t="s">
        <v>718</v>
      </c>
      <c r="B71" s="33"/>
      <c r="C71" s="33"/>
      <c r="D71" s="33"/>
      <c r="E71" s="33"/>
      <c r="F71" s="33"/>
      <c r="G71" s="33"/>
      <c r="H71" s="33"/>
      <c r="I71" s="33"/>
      <c r="J71" s="33"/>
      <c r="K71" s="33"/>
      <c r="L71" s="33"/>
      <c r="M71" s="33"/>
      <c r="N71" s="33"/>
      <c r="O71" s="33"/>
      <c r="P71" s="33"/>
      <c r="Q71" s="33"/>
    </row>
    <row r="72" spans="1:17" ht="6" customHeight="1" x14ac:dyDescent="0.25"/>
    <row r="73" spans="1:17" ht="18" customHeight="1" x14ac:dyDescent="0.25">
      <c r="A73" s="43" t="s">
        <v>659</v>
      </c>
      <c r="B73" s="33"/>
      <c r="C73" s="33"/>
      <c r="D73" s="33"/>
      <c r="E73" s="33"/>
      <c r="F73" s="33"/>
      <c r="G73" s="33"/>
      <c r="H73" s="33"/>
      <c r="I73" s="33"/>
      <c r="J73" s="33"/>
      <c r="K73" s="33"/>
      <c r="L73" s="33"/>
      <c r="M73" s="33"/>
      <c r="N73" s="33"/>
      <c r="O73" s="33"/>
      <c r="P73" s="33"/>
      <c r="Q73" s="33"/>
    </row>
    <row r="74" spans="1:17" ht="36" customHeight="1" x14ac:dyDescent="0.25">
      <c r="A74" s="40" t="s">
        <v>757</v>
      </c>
      <c r="B74" s="33"/>
      <c r="C74" s="33"/>
      <c r="D74" s="33"/>
      <c r="E74" s="33"/>
      <c r="F74" s="33"/>
      <c r="G74" s="33"/>
      <c r="H74" s="33"/>
      <c r="I74" s="33"/>
      <c r="J74" s="33"/>
      <c r="K74" s="33"/>
      <c r="L74" s="33"/>
      <c r="M74" s="33"/>
      <c r="N74" s="33"/>
      <c r="O74" s="33"/>
      <c r="P74" s="33"/>
      <c r="Q74" s="33"/>
    </row>
    <row r="75" spans="1:17" ht="6" customHeight="1" x14ac:dyDescent="0.25"/>
    <row r="76" spans="1:17" ht="18" customHeight="1" x14ac:dyDescent="0.25">
      <c r="A76" s="43" t="s">
        <v>661</v>
      </c>
      <c r="B76" s="33"/>
      <c r="C76" s="33"/>
      <c r="D76" s="33"/>
      <c r="E76" s="33"/>
      <c r="F76" s="33"/>
      <c r="G76" s="33"/>
      <c r="H76" s="33"/>
      <c r="I76" s="33"/>
      <c r="J76" s="33"/>
      <c r="K76" s="33"/>
      <c r="L76" s="33"/>
      <c r="M76" s="33"/>
      <c r="N76" s="33"/>
      <c r="O76" s="33"/>
      <c r="P76" s="33"/>
      <c r="Q76" s="33"/>
    </row>
    <row r="77" spans="1:17" ht="21" customHeight="1" x14ac:dyDescent="0.25">
      <c r="A77" s="40" t="s">
        <v>758</v>
      </c>
      <c r="B77" s="33"/>
      <c r="C77" s="33"/>
      <c r="D77" s="33"/>
      <c r="E77" s="33"/>
      <c r="F77" s="33"/>
      <c r="G77" s="33"/>
      <c r="H77" s="33"/>
      <c r="I77" s="33"/>
      <c r="J77" s="33"/>
      <c r="K77" s="33"/>
      <c r="L77" s="33"/>
      <c r="M77" s="33"/>
      <c r="N77" s="33"/>
      <c r="O77" s="33"/>
      <c r="P77" s="33"/>
      <c r="Q77" s="33"/>
    </row>
    <row r="78" spans="1:17" ht="6" customHeight="1" x14ac:dyDescent="0.25"/>
    <row r="79" spans="1:17" ht="18" customHeight="1" x14ac:dyDescent="0.25">
      <c r="A79" s="43" t="s">
        <v>668</v>
      </c>
      <c r="B79" s="33"/>
      <c r="C79" s="33"/>
      <c r="D79" s="33"/>
      <c r="E79" s="33"/>
      <c r="F79" s="33"/>
      <c r="G79" s="33"/>
      <c r="H79" s="33"/>
      <c r="I79" s="33"/>
      <c r="J79" s="33"/>
      <c r="K79" s="33"/>
      <c r="L79" s="33"/>
      <c r="M79" s="33"/>
      <c r="N79" s="33"/>
      <c r="O79" s="33"/>
      <c r="P79" s="33"/>
      <c r="Q79" s="33"/>
    </row>
    <row r="80" spans="1:17" ht="21" customHeight="1" x14ac:dyDescent="0.25">
      <c r="A80" s="40" t="s">
        <v>725</v>
      </c>
      <c r="B80" s="33"/>
      <c r="C80" s="33"/>
      <c r="D80" s="33"/>
      <c r="E80" s="33"/>
      <c r="F80" s="33"/>
      <c r="G80" s="33"/>
      <c r="H80" s="33"/>
      <c r="I80" s="33"/>
      <c r="J80" s="33"/>
      <c r="K80" s="33"/>
      <c r="L80" s="33"/>
      <c r="M80" s="33"/>
      <c r="N80" s="33"/>
      <c r="O80" s="33"/>
      <c r="P80" s="33"/>
      <c r="Q80" s="33"/>
    </row>
    <row r="81" spans="1:17" ht="6" customHeight="1" x14ac:dyDescent="0.25"/>
    <row r="82" spans="1:17" ht="18" customHeight="1" x14ac:dyDescent="0.25">
      <c r="A82" s="43" t="s">
        <v>669</v>
      </c>
      <c r="B82" s="33"/>
      <c r="C82" s="33"/>
      <c r="D82" s="33"/>
      <c r="E82" s="33"/>
      <c r="F82" s="33"/>
      <c r="G82" s="33"/>
      <c r="H82" s="33"/>
      <c r="I82" s="33"/>
      <c r="J82" s="33"/>
      <c r="K82" s="33"/>
      <c r="L82" s="33"/>
      <c r="M82" s="33"/>
      <c r="N82" s="33"/>
      <c r="O82" s="33"/>
      <c r="P82" s="33"/>
      <c r="Q82" s="33"/>
    </row>
    <row r="83" spans="1:17" ht="36" customHeight="1" x14ac:dyDescent="0.25">
      <c r="A83" s="40" t="s">
        <v>726</v>
      </c>
      <c r="B83" s="33"/>
      <c r="C83" s="33"/>
      <c r="D83" s="33"/>
      <c r="E83" s="33"/>
      <c r="F83" s="33"/>
      <c r="G83" s="33"/>
      <c r="H83" s="33"/>
      <c r="I83" s="33"/>
      <c r="J83" s="33"/>
      <c r="K83" s="33"/>
      <c r="L83" s="33"/>
      <c r="M83" s="33"/>
      <c r="N83" s="33"/>
      <c r="O83" s="33"/>
      <c r="P83" s="33"/>
      <c r="Q83" s="33"/>
    </row>
    <row r="84" spans="1:17" ht="6" customHeight="1" x14ac:dyDescent="0.25"/>
    <row r="85" spans="1:17" ht="18" customHeight="1" x14ac:dyDescent="0.25">
      <c r="A85" s="43" t="s">
        <v>670</v>
      </c>
      <c r="B85" s="33"/>
      <c r="C85" s="33"/>
      <c r="D85" s="33"/>
      <c r="E85" s="33"/>
      <c r="F85" s="33"/>
      <c r="G85" s="33"/>
      <c r="H85" s="33"/>
      <c r="I85" s="33"/>
      <c r="J85" s="33"/>
      <c r="K85" s="33"/>
      <c r="L85" s="33"/>
      <c r="M85" s="33"/>
      <c r="N85" s="33"/>
      <c r="O85" s="33"/>
      <c r="P85" s="33"/>
      <c r="Q85" s="33"/>
    </row>
    <row r="86" spans="1:17" ht="36" customHeight="1" x14ac:dyDescent="0.25">
      <c r="A86" s="40" t="s">
        <v>727</v>
      </c>
      <c r="B86" s="33"/>
      <c r="C86" s="33"/>
      <c r="D86" s="33"/>
      <c r="E86" s="33"/>
      <c r="F86" s="33"/>
      <c r="G86" s="33"/>
      <c r="H86" s="33"/>
      <c r="I86" s="33"/>
      <c r="J86" s="33"/>
      <c r="K86" s="33"/>
      <c r="L86" s="33"/>
      <c r="M86" s="33"/>
      <c r="N86" s="33"/>
      <c r="O86" s="33"/>
      <c r="P86" s="33"/>
      <c r="Q86" s="33"/>
    </row>
    <row r="87" spans="1:17" ht="6" customHeight="1" x14ac:dyDescent="0.25"/>
    <row r="90" spans="1:17" x14ac:dyDescent="0.25">
      <c r="A90" s="39" t="s">
        <v>728</v>
      </c>
      <c r="B90" s="33"/>
      <c r="C90" s="33"/>
      <c r="D90" s="33"/>
      <c r="E90" s="33"/>
      <c r="F90" s="33"/>
      <c r="G90" s="33"/>
      <c r="H90" s="33"/>
      <c r="I90" s="33"/>
      <c r="J90" s="33"/>
      <c r="K90" s="33"/>
      <c r="L90" s="33"/>
      <c r="M90" s="33"/>
      <c r="N90" s="33"/>
      <c r="O90" s="33"/>
      <c r="P90" s="33"/>
      <c r="Q90" s="33"/>
    </row>
  </sheetData>
  <mergeCells count="35">
    <mergeCell ref="A51:Q51"/>
    <mergeCell ref="A49:Q49"/>
    <mergeCell ref="A45:Q45"/>
    <mergeCell ref="A90:Q90"/>
    <mergeCell ref="A80:Q80"/>
    <mergeCell ref="A46:Q46"/>
    <mergeCell ref="A74:Q74"/>
    <mergeCell ref="A55:Q55"/>
    <mergeCell ref="A57:Q57"/>
    <mergeCell ref="A86:Q86"/>
    <mergeCell ref="A76:Q76"/>
    <mergeCell ref="A79:Q79"/>
    <mergeCell ref="A70:Q70"/>
    <mergeCell ref="A65:Q65"/>
    <mergeCell ref="A54:Q54"/>
    <mergeCell ref="A58:Q58"/>
    <mergeCell ref="A67:Q67"/>
    <mergeCell ref="A77:Q77"/>
    <mergeCell ref="A83:Q83"/>
    <mergeCell ref="A33:Q33"/>
    <mergeCell ref="A71:Q71"/>
    <mergeCell ref="A85:Q85"/>
    <mergeCell ref="A35:Q35"/>
    <mergeCell ref="A62:Q62"/>
    <mergeCell ref="A43:Q43"/>
    <mergeCell ref="A38:Q38"/>
    <mergeCell ref="A52:Q52"/>
    <mergeCell ref="A68:Q68"/>
    <mergeCell ref="A36:Q36"/>
    <mergeCell ref="A42:Q42"/>
    <mergeCell ref="A39:Q39"/>
    <mergeCell ref="A48:Q48"/>
    <mergeCell ref="A73:Q73"/>
    <mergeCell ref="A64:Q64"/>
    <mergeCell ref="A82:Q82"/>
  </mergeCells>
  <dataValidations count="8">
    <dataValidation type="list" allowBlank="1" errorTitle="Valore non valido" error="Selezionare dalla lista." promptTitle="Author" prompt="Autore della codifica." sqref="B6:B30" xr:uid="{00000000-0002-0000-0400-000000000000}">
      <formula1>Author_Name</formula1>
    </dataValidation>
    <dataValidation type="list" allowBlank="1" errorTitle="Valore non valido" error="Selezionare dalla lista, oppure lasciare vuoto." promptTitle="In Place" sqref="D6:D30" xr:uid="{00000000-0002-0000-0400-000001000000}">
      <formula1>InPl_Name</formula1>
    </dataValidation>
    <dataValidation type="list" allowBlank="1" errorTitle="Valore non valido" error="Selezionare dalla lista." promptTitle="Categoria" prompt="Categoria Revit della famiglia." sqref="F6:F30" xr:uid="{00000000-0002-0000-0400-000002000000}">
      <formula1>CP_Cat_Name</formula1>
    </dataValidation>
    <dataValidation type="list" allowBlank="1" errorTitle="Valore non valido" error="Selezionare dalla lista." promptTitle="Group1 — composizione" prompt="Composizione del pannello. Component e Symbol chiudono la lista: quando la famiglia è un componente nidificato o un simbolo, quel valore prende il posto della classificazione funzionale, e il Group2 diventa OT." sqref="H6:H30" xr:uid="{00000000-0002-0000-0400-000003000000}">
      <formula1>CP_G1_Name</formula1>
    </dataValidation>
    <dataValidation type="list" allowBlank="1" errorTitle="Valore non valido" error="Selezionare dalla lista." promptTitle="Group2 — ruolo" prompt="Ruolo nella facciata." sqref="J6:J30" xr:uid="{00000000-0002-0000-0400-000004000000}">
      <formula1>CP_G2_Name</formula1>
    </dataValidation>
    <dataValidation type="custom" allowBlank="1" errorTitle="Non valido" error="Massimo 24 caratteri, senza spazi." promptTitle="Manufacturer" prompt="Facoltativo. Azienda produttrice. Campo libero: senza spazi, iniziali maiuscole. Non compatibile con Group1 = Custom." sqref="L6:L30" xr:uid="{00000000-0002-0000-0400-000005000000}">
      <formula1>AND(LEN($L6)&lt;=24,ISERROR(FIND(" ",$L6)))</formula1>
    </dataValidation>
    <dataValidation type="custom" allowBlank="1" errorTitle="Non valido" error="Massimo 24 caratteri, senza spazi." promptTitle="Brand" sqref="M6:M30" xr:uid="{00000000-0002-0000-0400-000006000000}">
      <formula1>AND(LEN($M6)&lt;=24,ISERROR(FIND(" ",$M6)))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N6:N30" xr:uid="{00000000-0002-0000-0400-000007000000}">
      <formula1>40</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6"/>
  <sheetViews>
    <sheetView showGridLines="0" workbookViewId="0">
      <pane ySplit="5" topLeftCell="A6"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15" customWidth="1"/>
    <col min="13" max="13" width="13" customWidth="1"/>
    <col min="14" max="14" width="20" customWidth="1"/>
    <col min="15" max="15" width="12" customWidth="1"/>
    <col min="16" max="16" width="36" customWidth="1"/>
    <col min="17" max="17" width="24" customWidth="1"/>
  </cols>
  <sheetData>
    <row r="1" spans="1:17" ht="19.5" x14ac:dyDescent="0.3">
      <c r="A1" s="6" t="s">
        <v>759</v>
      </c>
    </row>
    <row r="2" spans="1:17" x14ac:dyDescent="0.25">
      <c r="A2" s="7" t="s">
        <v>652</v>
      </c>
    </row>
    <row r="3" spans="1:17" x14ac:dyDescent="0.25">
      <c r="A3" s="8" t="s">
        <v>745</v>
      </c>
    </row>
    <row r="4" spans="1:17" ht="17.100000000000001" customHeight="1" x14ac:dyDescent="0.25">
      <c r="A4" s="9" t="s">
        <v>760</v>
      </c>
      <c r="B4" s="10"/>
      <c r="C4" s="10"/>
      <c r="D4" s="10"/>
      <c r="E4" s="10"/>
      <c r="F4" s="10"/>
      <c r="G4" s="10"/>
      <c r="H4" s="10"/>
      <c r="I4" s="10"/>
      <c r="J4" s="10"/>
      <c r="K4" s="10"/>
      <c r="L4" s="10"/>
      <c r="M4" s="10"/>
      <c r="N4" s="10"/>
      <c r="O4" s="10"/>
      <c r="P4" s="10"/>
      <c r="Q4" s="10"/>
    </row>
    <row r="5" spans="1:17" ht="30" customHeight="1" x14ac:dyDescent="0.25">
      <c r="A5" s="11" t="s">
        <v>655</v>
      </c>
      <c r="B5" s="11" t="s">
        <v>85</v>
      </c>
      <c r="C5" s="11" t="s">
        <v>656</v>
      </c>
      <c r="D5" s="12" t="s">
        <v>97</v>
      </c>
      <c r="E5" s="11" t="s">
        <v>96</v>
      </c>
      <c r="F5" s="11" t="s">
        <v>657</v>
      </c>
      <c r="G5" s="11" t="s">
        <v>658</v>
      </c>
      <c r="H5" s="11" t="s">
        <v>659</v>
      </c>
      <c r="I5" s="11" t="s">
        <v>660</v>
      </c>
      <c r="J5" s="11" t="s">
        <v>661</v>
      </c>
      <c r="K5" s="11" t="s">
        <v>662</v>
      </c>
      <c r="L5" s="12" t="s">
        <v>668</v>
      </c>
      <c r="M5" s="12" t="s">
        <v>669</v>
      </c>
      <c r="N5" s="12" t="s">
        <v>670</v>
      </c>
      <c r="O5" s="11" t="s">
        <v>671</v>
      </c>
      <c r="P5" s="11" t="s">
        <v>672</v>
      </c>
      <c r="Q5" s="11" t="s">
        <v>673</v>
      </c>
    </row>
    <row r="6" spans="1:17" x14ac:dyDescent="0.25">
      <c r="A6" s="13" t="s">
        <v>675</v>
      </c>
      <c r="B6" s="14" t="s">
        <v>92</v>
      </c>
      <c r="C6" s="15" t="str">
        <f t="shared" ref="C6:C29" si="0">IFERROR(INDEX(Author_Code,MATCH($B6,Author_Name,0)),"")</f>
        <v>e</v>
      </c>
      <c r="D6" s="16"/>
      <c r="E6" s="15" t="str">
        <f t="shared" ref="E6:E29" si="1">IFERROR(INDEX(InPl_Code,MATCH($D6,InPl_Name,0)),"")</f>
        <v/>
      </c>
      <c r="F6" s="14" t="s">
        <v>268</v>
      </c>
      <c r="G6" s="15" t="str">
        <f t="shared" ref="G6:G29" si="2">IFERROR(INDEX(CM_Cat_Code,MATCH($F6,CM_Cat_Name,0)),"")</f>
        <v>CM</v>
      </c>
      <c r="H6" s="14" t="s">
        <v>273</v>
      </c>
      <c r="I6" s="15" t="str">
        <f t="shared" ref="I6:I29" si="3">IFERROR(INDEX(CM_G1_Code,MATCH($H6,CM_G1_Name,0)),"")</f>
        <v>CR</v>
      </c>
      <c r="J6" s="14" t="s">
        <v>270</v>
      </c>
      <c r="K6" s="15" t="str">
        <f t="shared" ref="K6:K29" si="4">IFERROR(INDEX(CM_G2_Code,MATCH($J6,CM_G2_Name,0)),"")</f>
        <v>CV</v>
      </c>
      <c r="L6" s="17"/>
      <c r="M6" s="17"/>
      <c r="N6" s="17"/>
      <c r="O6" s="15" t="str">
        <f t="shared" ref="O6:O29" si="5">$G6&amp;IF($I6&lt;&gt;"","."&amp;$I6,"")&amp;IF($K6&lt;&gt;"","."&amp;$K6,"")</f>
        <v>CM.CR.CV</v>
      </c>
      <c r="P6" s="18" t="str">
        <f t="shared" ref="P6:P29" si="6">IF(AND($F6&lt;&gt;"",$H6&lt;&gt;"",$J6&lt;&gt;""),$C6&amp;"_"&amp;$E6&amp;$O6&amp;IF($L6&lt;&gt;"","_"&amp;$L6,"")&amp;IF($M6&lt;&gt;"","_"&amp;$M6,"")&amp;IF($N6&lt;&gt;"","_"&amp;$N6,""),"")</f>
        <v>e_CM.CR.CV</v>
      </c>
      <c r="Q6" s="19" t="str">
        <f t="shared" ref="Q6:Q29" si="7">IFERROR(IF(OR($G6="",$J6=""),"",$G6&amp;"-"&amp;LEFT(INDEX(CM_G2_TM,MATCH($J6,CM_G2_Name,0)),1)&amp;"xx"&amp;"_{W}x{D}"),"")</f>
        <v>CM-1xx_{W}x{D}</v>
      </c>
    </row>
    <row r="7" spans="1:17" x14ac:dyDescent="0.25">
      <c r="A7" s="13" t="s">
        <v>676</v>
      </c>
      <c r="B7" s="14" t="s">
        <v>92</v>
      </c>
      <c r="C7" s="15" t="str">
        <f t="shared" si="0"/>
        <v>e</v>
      </c>
      <c r="D7" s="16"/>
      <c r="E7" s="15" t="str">
        <f t="shared" si="1"/>
        <v/>
      </c>
      <c r="F7" s="14" t="s">
        <v>268</v>
      </c>
      <c r="G7" s="15" t="str">
        <f t="shared" si="2"/>
        <v>CM</v>
      </c>
      <c r="H7" s="14" t="s">
        <v>283</v>
      </c>
      <c r="I7" s="15" t="str">
        <f t="shared" si="3"/>
        <v>RC</v>
      </c>
      <c r="J7" s="14" t="s">
        <v>270</v>
      </c>
      <c r="K7" s="15" t="str">
        <f t="shared" si="4"/>
        <v>CV</v>
      </c>
      <c r="L7" s="17"/>
      <c r="M7" s="17"/>
      <c r="N7" s="17"/>
      <c r="O7" s="15" t="str">
        <f t="shared" si="5"/>
        <v>CM.RC.CV</v>
      </c>
      <c r="P7" s="18" t="str">
        <f t="shared" si="6"/>
        <v>e_CM.RC.CV</v>
      </c>
      <c r="Q7" s="19" t="str">
        <f t="shared" si="7"/>
        <v>CM-1xx_{W}x{D}</v>
      </c>
    </row>
    <row r="8" spans="1:17" x14ac:dyDescent="0.25">
      <c r="A8" s="13" t="s">
        <v>677</v>
      </c>
      <c r="B8" s="14" t="s">
        <v>92</v>
      </c>
      <c r="C8" s="15" t="str">
        <f t="shared" si="0"/>
        <v>e</v>
      </c>
      <c r="D8" s="16"/>
      <c r="E8" s="15" t="str">
        <f t="shared" si="1"/>
        <v/>
      </c>
      <c r="F8" s="14" t="s">
        <v>268</v>
      </c>
      <c r="G8" s="15" t="str">
        <f t="shared" si="2"/>
        <v>CM</v>
      </c>
      <c r="H8" s="14" t="s">
        <v>279</v>
      </c>
      <c r="I8" s="15" t="str">
        <f t="shared" si="3"/>
        <v>SQ</v>
      </c>
      <c r="J8" s="14" t="s">
        <v>270</v>
      </c>
      <c r="K8" s="15" t="str">
        <f t="shared" si="4"/>
        <v>CV</v>
      </c>
      <c r="L8" s="17"/>
      <c r="M8" s="17"/>
      <c r="N8" s="17"/>
      <c r="O8" s="15" t="str">
        <f t="shared" si="5"/>
        <v>CM.SQ.CV</v>
      </c>
      <c r="P8" s="18" t="str">
        <f t="shared" si="6"/>
        <v>e_CM.SQ.CV</v>
      </c>
      <c r="Q8" s="19" t="str">
        <f t="shared" si="7"/>
        <v>CM-1xx_{W}x{D}</v>
      </c>
    </row>
    <row r="9" spans="1:17" x14ac:dyDescent="0.25">
      <c r="A9" s="13" t="s">
        <v>679</v>
      </c>
      <c r="B9" s="14" t="s">
        <v>92</v>
      </c>
      <c r="C9" s="15" t="str">
        <f t="shared" si="0"/>
        <v>e</v>
      </c>
      <c r="D9" s="16"/>
      <c r="E9" s="15" t="str">
        <f t="shared" si="1"/>
        <v/>
      </c>
      <c r="F9" s="14" t="s">
        <v>268</v>
      </c>
      <c r="G9" s="15" t="str">
        <f t="shared" si="2"/>
        <v>CM</v>
      </c>
      <c r="H9" s="14" t="s">
        <v>273</v>
      </c>
      <c r="I9" s="15" t="str">
        <f t="shared" si="3"/>
        <v>CR</v>
      </c>
      <c r="J9" s="14" t="s">
        <v>276</v>
      </c>
      <c r="K9" s="15" t="str">
        <f t="shared" si="4"/>
        <v>SA</v>
      </c>
      <c r="L9" s="17"/>
      <c r="M9" s="17"/>
      <c r="N9" s="17"/>
      <c r="O9" s="15" t="str">
        <f t="shared" si="5"/>
        <v>CM.CR.SA</v>
      </c>
      <c r="P9" s="18" t="str">
        <f t="shared" si="6"/>
        <v>e_CM.CR.SA</v>
      </c>
      <c r="Q9" s="19" t="str">
        <f t="shared" si="7"/>
        <v>CM-2xx_{W}x{D}</v>
      </c>
    </row>
    <row r="10" spans="1:17" x14ac:dyDescent="0.25">
      <c r="A10" s="13" t="s">
        <v>680</v>
      </c>
      <c r="B10" s="14" t="s">
        <v>92</v>
      </c>
      <c r="C10" s="15" t="str">
        <f t="shared" si="0"/>
        <v>e</v>
      </c>
      <c r="D10" s="16"/>
      <c r="E10" s="15" t="str">
        <f t="shared" si="1"/>
        <v/>
      </c>
      <c r="F10" s="14" t="s">
        <v>268</v>
      </c>
      <c r="G10" s="15" t="str">
        <f t="shared" si="2"/>
        <v>CM</v>
      </c>
      <c r="H10" s="14" t="s">
        <v>289</v>
      </c>
      <c r="I10" s="15" t="str">
        <f t="shared" si="3"/>
        <v>SH</v>
      </c>
      <c r="J10" s="14" t="s">
        <v>247</v>
      </c>
      <c r="K10" s="15" t="str">
        <f t="shared" si="4"/>
        <v>DC</v>
      </c>
      <c r="L10" s="17"/>
      <c r="M10" s="17"/>
      <c r="N10" s="17"/>
      <c r="O10" s="15" t="str">
        <f t="shared" si="5"/>
        <v>CM.SH.DC</v>
      </c>
      <c r="P10" s="18" t="str">
        <f t="shared" si="6"/>
        <v>e_CM.SH.DC</v>
      </c>
      <c r="Q10" s="19" t="str">
        <f t="shared" si="7"/>
        <v>CM-3xx_{W}x{D}</v>
      </c>
    </row>
    <row r="11" spans="1:17" x14ac:dyDescent="0.25">
      <c r="A11" s="13" t="s">
        <v>682</v>
      </c>
      <c r="B11" s="14" t="s">
        <v>92</v>
      </c>
      <c r="C11" s="15" t="str">
        <f t="shared" si="0"/>
        <v>e</v>
      </c>
      <c r="D11" s="16"/>
      <c r="E11" s="15" t="str">
        <f t="shared" si="1"/>
        <v/>
      </c>
      <c r="F11" s="14" t="s">
        <v>268</v>
      </c>
      <c r="G11" s="15" t="str">
        <f t="shared" si="2"/>
        <v>CM</v>
      </c>
      <c r="H11" s="14" t="s">
        <v>289</v>
      </c>
      <c r="I11" s="15" t="str">
        <f t="shared" si="3"/>
        <v>SH</v>
      </c>
      <c r="J11" s="14" t="s">
        <v>286</v>
      </c>
      <c r="K11" s="15" t="str">
        <f t="shared" si="4"/>
        <v>AC</v>
      </c>
      <c r="L11" s="17"/>
      <c r="M11" s="17"/>
      <c r="N11" s="17" t="s">
        <v>761</v>
      </c>
      <c r="O11" s="15" t="str">
        <f t="shared" si="5"/>
        <v>CM.SH.AC</v>
      </c>
      <c r="P11" s="18" t="str">
        <f t="shared" si="6"/>
        <v>e_CM.SH.AC_Capital</v>
      </c>
      <c r="Q11" s="19" t="str">
        <f t="shared" si="7"/>
        <v>CM-4xx_{W}x{D}</v>
      </c>
    </row>
    <row r="12" spans="1:17" x14ac:dyDescent="0.25">
      <c r="A12" s="13" t="s">
        <v>685</v>
      </c>
      <c r="B12" s="14" t="s">
        <v>92</v>
      </c>
      <c r="C12" s="15" t="str">
        <f t="shared" si="0"/>
        <v>e</v>
      </c>
      <c r="D12" s="16"/>
      <c r="E12" s="15" t="str">
        <f t="shared" si="1"/>
        <v/>
      </c>
      <c r="F12" s="14" t="s">
        <v>268</v>
      </c>
      <c r="G12" s="15" t="str">
        <f t="shared" si="2"/>
        <v>CM</v>
      </c>
      <c r="H12" s="14" t="s">
        <v>103</v>
      </c>
      <c r="I12" s="15" t="str">
        <f t="shared" si="3"/>
        <v>CM</v>
      </c>
      <c r="J12" s="14" t="s">
        <v>169</v>
      </c>
      <c r="K12" s="15" t="str">
        <f t="shared" si="4"/>
        <v>OT</v>
      </c>
      <c r="L12" s="17"/>
      <c r="M12" s="17"/>
      <c r="N12" s="17" t="s">
        <v>762</v>
      </c>
      <c r="O12" s="15" t="str">
        <f t="shared" si="5"/>
        <v>CM.CM.OT</v>
      </c>
      <c r="P12" s="18" t="str">
        <f t="shared" si="6"/>
        <v>e_CM.CM.OT_Base</v>
      </c>
      <c r="Q12" s="19" t="str">
        <f t="shared" si="7"/>
        <v>CM-9xx_{W}x{D}</v>
      </c>
    </row>
    <row r="13" spans="1:17" x14ac:dyDescent="0.25">
      <c r="A13" s="13" t="s">
        <v>687</v>
      </c>
      <c r="B13" s="14" t="s">
        <v>92</v>
      </c>
      <c r="C13" s="15" t="str">
        <f t="shared" si="0"/>
        <v>e</v>
      </c>
      <c r="D13" s="16"/>
      <c r="E13" s="15" t="str">
        <f t="shared" si="1"/>
        <v/>
      </c>
      <c r="F13" s="14" t="s">
        <v>268</v>
      </c>
      <c r="G13" s="15" t="str">
        <f t="shared" si="2"/>
        <v>CM</v>
      </c>
      <c r="H13" s="14" t="s">
        <v>131</v>
      </c>
      <c r="I13" s="15" t="str">
        <f t="shared" si="3"/>
        <v>GN</v>
      </c>
      <c r="J13" s="14" t="s">
        <v>270</v>
      </c>
      <c r="K13" s="15" t="str">
        <f t="shared" si="4"/>
        <v>CV</v>
      </c>
      <c r="L13" s="17"/>
      <c r="M13" s="17"/>
      <c r="N13" s="17"/>
      <c r="O13" s="15" t="str">
        <f t="shared" si="5"/>
        <v>CM.GN.CV</v>
      </c>
      <c r="P13" s="18" t="str">
        <f t="shared" si="6"/>
        <v>e_CM.GN.CV</v>
      </c>
      <c r="Q13" s="19" t="str">
        <f t="shared" si="7"/>
        <v>CM-1xx_{W}x{D}</v>
      </c>
    </row>
    <row r="14" spans="1:17" x14ac:dyDescent="0.25">
      <c r="A14" s="13" t="s">
        <v>689</v>
      </c>
      <c r="B14" s="14" t="s">
        <v>92</v>
      </c>
      <c r="C14" s="15" t="str">
        <f t="shared" si="0"/>
        <v>e</v>
      </c>
      <c r="D14" s="16" t="s">
        <v>97</v>
      </c>
      <c r="E14" s="15" t="str">
        <f t="shared" si="1"/>
        <v>(I)</v>
      </c>
      <c r="F14" s="14" t="s">
        <v>268</v>
      </c>
      <c r="G14" s="15" t="str">
        <f t="shared" si="2"/>
        <v>CM</v>
      </c>
      <c r="H14" s="14" t="s">
        <v>273</v>
      </c>
      <c r="I14" s="15" t="str">
        <f t="shared" si="3"/>
        <v>CR</v>
      </c>
      <c r="J14" s="14" t="s">
        <v>270</v>
      </c>
      <c r="K14" s="15" t="str">
        <f t="shared" si="4"/>
        <v>CV</v>
      </c>
      <c r="L14" s="17"/>
      <c r="M14" s="17"/>
      <c r="N14" s="17"/>
      <c r="O14" s="15" t="str">
        <f t="shared" si="5"/>
        <v>CM.CR.CV</v>
      </c>
      <c r="P14" s="18" t="str">
        <f t="shared" si="6"/>
        <v>e_(I)CM.CR.CV</v>
      </c>
      <c r="Q14" s="19" t="str">
        <f t="shared" si="7"/>
        <v>CM-1xx_{W}x{D}</v>
      </c>
    </row>
    <row r="15" spans="1:17" x14ac:dyDescent="0.25">
      <c r="A15" s="21">
        <v>1</v>
      </c>
      <c r="B15" s="22"/>
      <c r="C15" s="23" t="str">
        <f t="shared" si="0"/>
        <v/>
      </c>
      <c r="D15" s="24"/>
      <c r="E15" s="23" t="str">
        <f t="shared" si="1"/>
        <v/>
      </c>
      <c r="F15" s="22"/>
      <c r="G15" s="23" t="str">
        <f t="shared" si="2"/>
        <v/>
      </c>
      <c r="H15" s="22"/>
      <c r="I15" s="23" t="str">
        <f t="shared" si="3"/>
        <v/>
      </c>
      <c r="J15" s="22"/>
      <c r="K15" s="23" t="str">
        <f t="shared" si="4"/>
        <v/>
      </c>
      <c r="L15" s="25"/>
      <c r="M15" s="25"/>
      <c r="N15" s="25"/>
      <c r="O15" s="23" t="str">
        <f t="shared" si="5"/>
        <v/>
      </c>
      <c r="P15" s="26" t="str">
        <f t="shared" si="6"/>
        <v/>
      </c>
      <c r="Q15" s="27" t="str">
        <f t="shared" si="7"/>
        <v/>
      </c>
    </row>
    <row r="16" spans="1:17" x14ac:dyDescent="0.25">
      <c r="A16" s="21">
        <v>2</v>
      </c>
      <c r="B16" s="22"/>
      <c r="C16" s="23" t="str">
        <f t="shared" si="0"/>
        <v/>
      </c>
      <c r="D16" s="24"/>
      <c r="E16" s="23" t="str">
        <f t="shared" si="1"/>
        <v/>
      </c>
      <c r="F16" s="22"/>
      <c r="G16" s="23" t="str">
        <f t="shared" si="2"/>
        <v/>
      </c>
      <c r="H16" s="22"/>
      <c r="I16" s="23" t="str">
        <f t="shared" si="3"/>
        <v/>
      </c>
      <c r="J16" s="22"/>
      <c r="K16" s="23" t="str">
        <f t="shared" si="4"/>
        <v/>
      </c>
      <c r="L16" s="25"/>
      <c r="M16" s="25"/>
      <c r="N16" s="25"/>
      <c r="O16" s="23" t="str">
        <f t="shared" si="5"/>
        <v/>
      </c>
      <c r="P16" s="26" t="str">
        <f t="shared" si="6"/>
        <v/>
      </c>
      <c r="Q16" s="27" t="str">
        <f t="shared" si="7"/>
        <v/>
      </c>
    </row>
    <row r="17" spans="1:17" x14ac:dyDescent="0.25">
      <c r="A17" s="21">
        <v>3</v>
      </c>
      <c r="B17" s="22"/>
      <c r="C17" s="23" t="str">
        <f t="shared" si="0"/>
        <v/>
      </c>
      <c r="D17" s="24"/>
      <c r="E17" s="23" t="str">
        <f t="shared" si="1"/>
        <v/>
      </c>
      <c r="F17" s="22"/>
      <c r="G17" s="23" t="str">
        <f t="shared" si="2"/>
        <v/>
      </c>
      <c r="H17" s="22"/>
      <c r="I17" s="23" t="str">
        <f t="shared" si="3"/>
        <v/>
      </c>
      <c r="J17" s="22"/>
      <c r="K17" s="23" t="str">
        <f t="shared" si="4"/>
        <v/>
      </c>
      <c r="L17" s="25"/>
      <c r="M17" s="25"/>
      <c r="N17" s="25"/>
      <c r="O17" s="23" t="str">
        <f t="shared" si="5"/>
        <v/>
      </c>
      <c r="P17" s="26" t="str">
        <f t="shared" si="6"/>
        <v/>
      </c>
      <c r="Q17" s="27" t="str">
        <f t="shared" si="7"/>
        <v/>
      </c>
    </row>
    <row r="18" spans="1:17" x14ac:dyDescent="0.25">
      <c r="A18" s="21">
        <v>4</v>
      </c>
      <c r="B18" s="22"/>
      <c r="C18" s="23" t="str">
        <f t="shared" si="0"/>
        <v/>
      </c>
      <c r="D18" s="24"/>
      <c r="E18" s="23" t="str">
        <f t="shared" si="1"/>
        <v/>
      </c>
      <c r="F18" s="22"/>
      <c r="G18" s="23" t="str">
        <f t="shared" si="2"/>
        <v/>
      </c>
      <c r="H18" s="22"/>
      <c r="I18" s="23" t="str">
        <f t="shared" si="3"/>
        <v/>
      </c>
      <c r="J18" s="22"/>
      <c r="K18" s="23" t="str">
        <f t="shared" si="4"/>
        <v/>
      </c>
      <c r="L18" s="25"/>
      <c r="M18" s="25"/>
      <c r="N18" s="25"/>
      <c r="O18" s="23" t="str">
        <f t="shared" si="5"/>
        <v/>
      </c>
      <c r="P18" s="26" t="str">
        <f t="shared" si="6"/>
        <v/>
      </c>
      <c r="Q18" s="27" t="str">
        <f t="shared" si="7"/>
        <v/>
      </c>
    </row>
    <row r="19" spans="1:17" x14ac:dyDescent="0.25">
      <c r="A19" s="21">
        <v>5</v>
      </c>
      <c r="B19" s="22"/>
      <c r="C19" s="23" t="str">
        <f t="shared" si="0"/>
        <v/>
      </c>
      <c r="D19" s="24"/>
      <c r="E19" s="23" t="str">
        <f t="shared" si="1"/>
        <v/>
      </c>
      <c r="F19" s="22"/>
      <c r="G19" s="23" t="str">
        <f t="shared" si="2"/>
        <v/>
      </c>
      <c r="H19" s="22"/>
      <c r="I19" s="23" t="str">
        <f t="shared" si="3"/>
        <v/>
      </c>
      <c r="J19" s="22"/>
      <c r="K19" s="23" t="str">
        <f t="shared" si="4"/>
        <v/>
      </c>
      <c r="L19" s="25"/>
      <c r="M19" s="25"/>
      <c r="N19" s="25"/>
      <c r="O19" s="23" t="str">
        <f t="shared" si="5"/>
        <v/>
      </c>
      <c r="P19" s="26" t="str">
        <f t="shared" si="6"/>
        <v/>
      </c>
      <c r="Q19" s="27" t="str">
        <f t="shared" si="7"/>
        <v/>
      </c>
    </row>
    <row r="20" spans="1:17" x14ac:dyDescent="0.25">
      <c r="A20" s="21">
        <v>6</v>
      </c>
      <c r="B20" s="22"/>
      <c r="C20" s="23" t="str">
        <f t="shared" si="0"/>
        <v/>
      </c>
      <c r="D20" s="24"/>
      <c r="E20" s="23" t="str">
        <f t="shared" si="1"/>
        <v/>
      </c>
      <c r="F20" s="22"/>
      <c r="G20" s="23" t="str">
        <f t="shared" si="2"/>
        <v/>
      </c>
      <c r="H20" s="22"/>
      <c r="I20" s="23" t="str">
        <f t="shared" si="3"/>
        <v/>
      </c>
      <c r="J20" s="22"/>
      <c r="K20" s="23" t="str">
        <f t="shared" si="4"/>
        <v/>
      </c>
      <c r="L20" s="25"/>
      <c r="M20" s="25"/>
      <c r="N20" s="25"/>
      <c r="O20" s="23" t="str">
        <f t="shared" si="5"/>
        <v/>
      </c>
      <c r="P20" s="26" t="str">
        <f t="shared" si="6"/>
        <v/>
      </c>
      <c r="Q20" s="27" t="str">
        <f t="shared" si="7"/>
        <v/>
      </c>
    </row>
    <row r="21" spans="1:17" x14ac:dyDescent="0.25">
      <c r="A21" s="21">
        <v>7</v>
      </c>
      <c r="B21" s="22"/>
      <c r="C21" s="23" t="str">
        <f t="shared" si="0"/>
        <v/>
      </c>
      <c r="D21" s="24"/>
      <c r="E21" s="23" t="str">
        <f t="shared" si="1"/>
        <v/>
      </c>
      <c r="F21" s="22"/>
      <c r="G21" s="23" t="str">
        <f t="shared" si="2"/>
        <v/>
      </c>
      <c r="H21" s="22"/>
      <c r="I21" s="23" t="str">
        <f t="shared" si="3"/>
        <v/>
      </c>
      <c r="J21" s="22"/>
      <c r="K21" s="23" t="str">
        <f t="shared" si="4"/>
        <v/>
      </c>
      <c r="L21" s="25"/>
      <c r="M21" s="25"/>
      <c r="N21" s="25"/>
      <c r="O21" s="23" t="str">
        <f t="shared" si="5"/>
        <v/>
      </c>
      <c r="P21" s="26" t="str">
        <f t="shared" si="6"/>
        <v/>
      </c>
      <c r="Q21" s="27" t="str">
        <f t="shared" si="7"/>
        <v/>
      </c>
    </row>
    <row r="22" spans="1:17" x14ac:dyDescent="0.25">
      <c r="A22" s="21">
        <v>8</v>
      </c>
      <c r="B22" s="22"/>
      <c r="C22" s="23" t="str">
        <f t="shared" si="0"/>
        <v/>
      </c>
      <c r="D22" s="24"/>
      <c r="E22" s="23" t="str">
        <f t="shared" si="1"/>
        <v/>
      </c>
      <c r="F22" s="22"/>
      <c r="G22" s="23" t="str">
        <f t="shared" si="2"/>
        <v/>
      </c>
      <c r="H22" s="22"/>
      <c r="I22" s="23" t="str">
        <f t="shared" si="3"/>
        <v/>
      </c>
      <c r="J22" s="22"/>
      <c r="K22" s="23" t="str">
        <f t="shared" si="4"/>
        <v/>
      </c>
      <c r="L22" s="25"/>
      <c r="M22" s="25"/>
      <c r="N22" s="25"/>
      <c r="O22" s="23" t="str">
        <f t="shared" si="5"/>
        <v/>
      </c>
      <c r="P22" s="26" t="str">
        <f t="shared" si="6"/>
        <v/>
      </c>
      <c r="Q22" s="27" t="str">
        <f t="shared" si="7"/>
        <v/>
      </c>
    </row>
    <row r="23" spans="1:17" x14ac:dyDescent="0.25">
      <c r="A23" s="21">
        <v>9</v>
      </c>
      <c r="B23" s="22"/>
      <c r="C23" s="23" t="str">
        <f t="shared" si="0"/>
        <v/>
      </c>
      <c r="D23" s="24"/>
      <c r="E23" s="23" t="str">
        <f t="shared" si="1"/>
        <v/>
      </c>
      <c r="F23" s="22"/>
      <c r="G23" s="23" t="str">
        <f t="shared" si="2"/>
        <v/>
      </c>
      <c r="H23" s="22"/>
      <c r="I23" s="23" t="str">
        <f t="shared" si="3"/>
        <v/>
      </c>
      <c r="J23" s="22"/>
      <c r="K23" s="23" t="str">
        <f t="shared" si="4"/>
        <v/>
      </c>
      <c r="L23" s="25"/>
      <c r="M23" s="25"/>
      <c r="N23" s="25"/>
      <c r="O23" s="23" t="str">
        <f t="shared" si="5"/>
        <v/>
      </c>
      <c r="P23" s="26" t="str">
        <f t="shared" si="6"/>
        <v/>
      </c>
      <c r="Q23" s="27" t="str">
        <f t="shared" si="7"/>
        <v/>
      </c>
    </row>
    <row r="24" spans="1:17" x14ac:dyDescent="0.25">
      <c r="A24" s="21">
        <v>10</v>
      </c>
      <c r="B24" s="22"/>
      <c r="C24" s="23" t="str">
        <f t="shared" si="0"/>
        <v/>
      </c>
      <c r="D24" s="24"/>
      <c r="E24" s="23" t="str">
        <f t="shared" si="1"/>
        <v/>
      </c>
      <c r="F24" s="22"/>
      <c r="G24" s="23" t="str">
        <f t="shared" si="2"/>
        <v/>
      </c>
      <c r="H24" s="22"/>
      <c r="I24" s="23" t="str">
        <f t="shared" si="3"/>
        <v/>
      </c>
      <c r="J24" s="22"/>
      <c r="K24" s="23" t="str">
        <f t="shared" si="4"/>
        <v/>
      </c>
      <c r="L24" s="25"/>
      <c r="M24" s="25"/>
      <c r="N24" s="25"/>
      <c r="O24" s="23" t="str">
        <f t="shared" si="5"/>
        <v/>
      </c>
      <c r="P24" s="26" t="str">
        <f t="shared" si="6"/>
        <v/>
      </c>
      <c r="Q24" s="27" t="str">
        <f t="shared" si="7"/>
        <v/>
      </c>
    </row>
    <row r="25" spans="1:17" x14ac:dyDescent="0.25">
      <c r="A25" s="21">
        <v>11</v>
      </c>
      <c r="B25" s="22"/>
      <c r="C25" s="23" t="str">
        <f t="shared" si="0"/>
        <v/>
      </c>
      <c r="D25" s="24"/>
      <c r="E25" s="23" t="str">
        <f t="shared" si="1"/>
        <v/>
      </c>
      <c r="F25" s="22"/>
      <c r="G25" s="23" t="str">
        <f t="shared" si="2"/>
        <v/>
      </c>
      <c r="H25" s="22"/>
      <c r="I25" s="23" t="str">
        <f t="shared" si="3"/>
        <v/>
      </c>
      <c r="J25" s="22"/>
      <c r="K25" s="23" t="str">
        <f t="shared" si="4"/>
        <v/>
      </c>
      <c r="L25" s="25"/>
      <c r="M25" s="25"/>
      <c r="N25" s="25"/>
      <c r="O25" s="23" t="str">
        <f t="shared" si="5"/>
        <v/>
      </c>
      <c r="P25" s="26" t="str">
        <f t="shared" si="6"/>
        <v/>
      </c>
      <c r="Q25" s="27" t="str">
        <f t="shared" si="7"/>
        <v/>
      </c>
    </row>
    <row r="26" spans="1:17" x14ac:dyDescent="0.25">
      <c r="A26" s="21">
        <v>12</v>
      </c>
      <c r="B26" s="22"/>
      <c r="C26" s="23" t="str">
        <f t="shared" si="0"/>
        <v/>
      </c>
      <c r="D26" s="24"/>
      <c r="E26" s="23" t="str">
        <f t="shared" si="1"/>
        <v/>
      </c>
      <c r="F26" s="22"/>
      <c r="G26" s="23" t="str">
        <f t="shared" si="2"/>
        <v/>
      </c>
      <c r="H26" s="22"/>
      <c r="I26" s="23" t="str">
        <f t="shared" si="3"/>
        <v/>
      </c>
      <c r="J26" s="22"/>
      <c r="K26" s="23" t="str">
        <f t="shared" si="4"/>
        <v/>
      </c>
      <c r="L26" s="25"/>
      <c r="M26" s="25"/>
      <c r="N26" s="25"/>
      <c r="O26" s="23" t="str">
        <f t="shared" si="5"/>
        <v/>
      </c>
      <c r="P26" s="26" t="str">
        <f t="shared" si="6"/>
        <v/>
      </c>
      <c r="Q26" s="27" t="str">
        <f t="shared" si="7"/>
        <v/>
      </c>
    </row>
    <row r="27" spans="1:17" x14ac:dyDescent="0.25">
      <c r="A27" s="21">
        <v>13</v>
      </c>
      <c r="B27" s="22"/>
      <c r="C27" s="23" t="str">
        <f t="shared" si="0"/>
        <v/>
      </c>
      <c r="D27" s="24"/>
      <c r="E27" s="23" t="str">
        <f t="shared" si="1"/>
        <v/>
      </c>
      <c r="F27" s="22"/>
      <c r="G27" s="23" t="str">
        <f t="shared" si="2"/>
        <v/>
      </c>
      <c r="H27" s="22"/>
      <c r="I27" s="23" t="str">
        <f t="shared" si="3"/>
        <v/>
      </c>
      <c r="J27" s="22"/>
      <c r="K27" s="23" t="str">
        <f t="shared" si="4"/>
        <v/>
      </c>
      <c r="L27" s="25"/>
      <c r="M27" s="25"/>
      <c r="N27" s="25"/>
      <c r="O27" s="23" t="str">
        <f t="shared" si="5"/>
        <v/>
      </c>
      <c r="P27" s="26" t="str">
        <f t="shared" si="6"/>
        <v/>
      </c>
      <c r="Q27" s="27" t="str">
        <f t="shared" si="7"/>
        <v/>
      </c>
    </row>
    <row r="28" spans="1:17" x14ac:dyDescent="0.25">
      <c r="A28" s="21">
        <v>14</v>
      </c>
      <c r="B28" s="22"/>
      <c r="C28" s="23" t="str">
        <f t="shared" si="0"/>
        <v/>
      </c>
      <c r="D28" s="24"/>
      <c r="E28" s="23" t="str">
        <f t="shared" si="1"/>
        <v/>
      </c>
      <c r="F28" s="22"/>
      <c r="G28" s="23" t="str">
        <f t="shared" si="2"/>
        <v/>
      </c>
      <c r="H28" s="22"/>
      <c r="I28" s="23" t="str">
        <f t="shared" si="3"/>
        <v/>
      </c>
      <c r="J28" s="22"/>
      <c r="K28" s="23" t="str">
        <f t="shared" si="4"/>
        <v/>
      </c>
      <c r="L28" s="25"/>
      <c r="M28" s="25"/>
      <c r="N28" s="25"/>
      <c r="O28" s="23" t="str">
        <f t="shared" si="5"/>
        <v/>
      </c>
      <c r="P28" s="26" t="str">
        <f t="shared" si="6"/>
        <v/>
      </c>
      <c r="Q28" s="27" t="str">
        <f t="shared" si="7"/>
        <v/>
      </c>
    </row>
    <row r="29" spans="1:17" x14ac:dyDescent="0.25">
      <c r="A29" s="21">
        <v>15</v>
      </c>
      <c r="B29" s="22"/>
      <c r="C29" s="23" t="str">
        <f t="shared" si="0"/>
        <v/>
      </c>
      <c r="D29" s="24"/>
      <c r="E29" s="23" t="str">
        <f t="shared" si="1"/>
        <v/>
      </c>
      <c r="F29" s="22"/>
      <c r="G29" s="23" t="str">
        <f t="shared" si="2"/>
        <v/>
      </c>
      <c r="H29" s="22"/>
      <c r="I29" s="23" t="str">
        <f t="shared" si="3"/>
        <v/>
      </c>
      <c r="J29" s="22"/>
      <c r="K29" s="23" t="str">
        <f t="shared" si="4"/>
        <v/>
      </c>
      <c r="L29" s="25"/>
      <c r="M29" s="25"/>
      <c r="N29" s="25"/>
      <c r="O29" s="23" t="str">
        <f t="shared" si="5"/>
        <v/>
      </c>
      <c r="P29" s="26" t="str">
        <f t="shared" si="6"/>
        <v/>
      </c>
      <c r="Q29" s="27" t="str">
        <f t="shared" si="7"/>
        <v/>
      </c>
    </row>
    <row r="32" spans="1:17" ht="21.95" customHeight="1" x14ac:dyDescent="0.25">
      <c r="A32" s="41" t="s">
        <v>700</v>
      </c>
      <c r="B32" s="42"/>
      <c r="C32" s="42"/>
      <c r="D32" s="42"/>
      <c r="E32" s="42"/>
      <c r="F32" s="42"/>
      <c r="G32" s="42"/>
      <c r="H32" s="42"/>
      <c r="I32" s="42"/>
      <c r="J32" s="42"/>
      <c r="K32" s="42"/>
      <c r="L32" s="42"/>
      <c r="M32" s="42"/>
      <c r="N32" s="42"/>
      <c r="O32" s="42"/>
      <c r="P32" s="42"/>
      <c r="Q32" s="42"/>
    </row>
    <row r="34" spans="1:17" ht="24" customHeight="1" x14ac:dyDescent="0.25">
      <c r="A34" s="44" t="s">
        <v>763</v>
      </c>
      <c r="B34" s="33"/>
      <c r="C34" s="33"/>
      <c r="D34" s="33"/>
      <c r="E34" s="33"/>
      <c r="F34" s="33"/>
      <c r="G34" s="33"/>
      <c r="H34" s="33"/>
      <c r="I34" s="33"/>
      <c r="J34" s="33"/>
      <c r="K34" s="33"/>
      <c r="L34" s="33"/>
      <c r="M34" s="33"/>
      <c r="N34" s="33"/>
      <c r="O34" s="33"/>
      <c r="P34" s="33"/>
      <c r="Q34" s="33"/>
    </row>
    <row r="35" spans="1:17" ht="51" customHeight="1" x14ac:dyDescent="0.25">
      <c r="A35" s="40" t="s">
        <v>702</v>
      </c>
      <c r="B35" s="33"/>
      <c r="C35" s="33"/>
      <c r="D35" s="33"/>
      <c r="E35" s="33"/>
      <c r="F35" s="33"/>
      <c r="G35" s="33"/>
      <c r="H35" s="33"/>
      <c r="I35" s="33"/>
      <c r="J35" s="33"/>
      <c r="K35" s="33"/>
      <c r="L35" s="33"/>
      <c r="M35" s="33"/>
      <c r="N35" s="33"/>
      <c r="O35" s="33"/>
      <c r="P35" s="33"/>
      <c r="Q35" s="33"/>
    </row>
    <row r="37" spans="1:17" ht="18" customHeight="1" x14ac:dyDescent="0.25">
      <c r="A37" s="43" t="s">
        <v>703</v>
      </c>
      <c r="B37" s="33"/>
      <c r="C37" s="33"/>
      <c r="D37" s="33"/>
      <c r="E37" s="33"/>
      <c r="F37" s="33"/>
      <c r="G37" s="33"/>
      <c r="H37" s="33"/>
      <c r="I37" s="33"/>
      <c r="J37" s="33"/>
      <c r="K37" s="33"/>
      <c r="L37" s="33"/>
      <c r="M37" s="33"/>
      <c r="N37" s="33"/>
      <c r="O37" s="33"/>
      <c r="P37" s="33"/>
      <c r="Q37" s="33"/>
    </row>
    <row r="38" spans="1:17" ht="21" customHeight="1" x14ac:dyDescent="0.25">
      <c r="A38" s="40" t="s">
        <v>764</v>
      </c>
      <c r="B38" s="33"/>
      <c r="C38" s="33"/>
      <c r="D38" s="33"/>
      <c r="E38" s="33"/>
      <c r="F38" s="33"/>
      <c r="G38" s="33"/>
      <c r="H38" s="33"/>
      <c r="I38" s="33"/>
      <c r="J38" s="33"/>
      <c r="K38" s="33"/>
      <c r="L38" s="33"/>
      <c r="M38" s="33"/>
      <c r="N38" s="33"/>
      <c r="O38" s="33"/>
      <c r="P38" s="33"/>
      <c r="Q38" s="33"/>
    </row>
    <row r="41" spans="1:17" ht="21.95" customHeight="1" x14ac:dyDescent="0.25">
      <c r="A41" s="41" t="s">
        <v>765</v>
      </c>
      <c r="B41" s="42"/>
      <c r="C41" s="42"/>
      <c r="D41" s="42"/>
      <c r="E41" s="42"/>
      <c r="F41" s="42"/>
      <c r="G41" s="42"/>
      <c r="H41" s="42"/>
      <c r="I41" s="42"/>
      <c r="J41" s="42"/>
      <c r="K41" s="42"/>
      <c r="L41" s="42"/>
      <c r="M41" s="42"/>
      <c r="N41" s="42"/>
      <c r="O41" s="42"/>
      <c r="P41" s="42"/>
      <c r="Q41" s="42"/>
    </row>
    <row r="42" spans="1:17" ht="15.95" customHeight="1" x14ac:dyDescent="0.25">
      <c r="A42" s="39" t="s">
        <v>706</v>
      </c>
      <c r="B42" s="33"/>
      <c r="C42" s="33"/>
      <c r="D42" s="33"/>
      <c r="E42" s="33"/>
      <c r="F42" s="33"/>
      <c r="G42" s="33"/>
      <c r="H42" s="33"/>
      <c r="I42" s="33"/>
      <c r="J42" s="33"/>
      <c r="K42" s="33"/>
      <c r="L42" s="33"/>
      <c r="M42" s="33"/>
      <c r="N42" s="33"/>
      <c r="O42" s="33"/>
      <c r="P42" s="33"/>
      <c r="Q42" s="33"/>
    </row>
    <row r="44" spans="1:17" ht="18" customHeight="1" x14ac:dyDescent="0.25">
      <c r="A44" s="43" t="s">
        <v>766</v>
      </c>
      <c r="B44" s="33"/>
      <c r="C44" s="33"/>
      <c r="D44" s="33"/>
      <c r="E44" s="33"/>
      <c r="F44" s="33"/>
      <c r="G44" s="33"/>
      <c r="H44" s="33"/>
      <c r="I44" s="33"/>
      <c r="J44" s="33"/>
      <c r="K44" s="33"/>
      <c r="L44" s="33"/>
      <c r="M44" s="33"/>
      <c r="N44" s="33"/>
      <c r="O44" s="33"/>
      <c r="P44" s="33"/>
      <c r="Q44" s="33"/>
    </row>
    <row r="45" spans="1:17" ht="21" customHeight="1" x14ac:dyDescent="0.25">
      <c r="A45" s="40" t="s">
        <v>767</v>
      </c>
      <c r="B45" s="33"/>
      <c r="C45" s="33"/>
      <c r="D45" s="33"/>
      <c r="E45" s="33"/>
      <c r="F45" s="33"/>
      <c r="G45" s="33"/>
      <c r="H45" s="33"/>
      <c r="I45" s="33"/>
      <c r="J45" s="33"/>
      <c r="K45" s="33"/>
      <c r="L45" s="33"/>
      <c r="M45" s="33"/>
      <c r="N45" s="33"/>
      <c r="O45" s="33"/>
      <c r="P45" s="33"/>
      <c r="Q45" s="33"/>
    </row>
    <row r="46" spans="1:17" ht="6" customHeight="1" x14ac:dyDescent="0.25"/>
    <row r="47" spans="1:17" ht="18" customHeight="1" x14ac:dyDescent="0.25">
      <c r="A47" s="43" t="s">
        <v>711</v>
      </c>
      <c r="B47" s="33"/>
      <c r="C47" s="33"/>
      <c r="D47" s="33"/>
      <c r="E47" s="33"/>
      <c r="F47" s="33"/>
      <c r="G47" s="33"/>
      <c r="H47" s="33"/>
      <c r="I47" s="33"/>
      <c r="J47" s="33"/>
      <c r="K47" s="33"/>
      <c r="L47" s="33"/>
      <c r="M47" s="33"/>
      <c r="N47" s="33"/>
      <c r="O47" s="33"/>
      <c r="P47" s="33"/>
      <c r="Q47" s="33"/>
    </row>
    <row r="48" spans="1:17" ht="51" customHeight="1" x14ac:dyDescent="0.25">
      <c r="A48" s="40" t="s">
        <v>712</v>
      </c>
      <c r="B48" s="33"/>
      <c r="C48" s="33"/>
      <c r="D48" s="33"/>
      <c r="E48" s="33"/>
      <c r="F48" s="33"/>
      <c r="G48" s="33"/>
      <c r="H48" s="33"/>
      <c r="I48" s="33"/>
      <c r="J48" s="33"/>
      <c r="K48" s="33"/>
      <c r="L48" s="33"/>
      <c r="M48" s="33"/>
      <c r="N48" s="33"/>
      <c r="O48" s="33"/>
      <c r="P48" s="33"/>
      <c r="Q48" s="33"/>
    </row>
    <row r="49" spans="1:17" ht="6" customHeight="1" x14ac:dyDescent="0.25"/>
    <row r="50" spans="1:17" ht="18" customHeight="1" x14ac:dyDescent="0.25">
      <c r="A50" s="43" t="s">
        <v>659</v>
      </c>
      <c r="B50" s="33"/>
      <c r="C50" s="33"/>
      <c r="D50" s="33"/>
      <c r="E50" s="33"/>
      <c r="F50" s="33"/>
      <c r="G50" s="33"/>
      <c r="H50" s="33"/>
      <c r="I50" s="33"/>
      <c r="J50" s="33"/>
      <c r="K50" s="33"/>
      <c r="L50" s="33"/>
      <c r="M50" s="33"/>
      <c r="N50" s="33"/>
      <c r="O50" s="33"/>
      <c r="P50" s="33"/>
      <c r="Q50" s="33"/>
    </row>
    <row r="51" spans="1:17" ht="36" customHeight="1" x14ac:dyDescent="0.25">
      <c r="A51" s="40" t="s">
        <v>713</v>
      </c>
      <c r="B51" s="33"/>
      <c r="C51" s="33"/>
      <c r="D51" s="33"/>
      <c r="E51" s="33"/>
      <c r="F51" s="33"/>
      <c r="G51" s="33"/>
      <c r="H51" s="33"/>
      <c r="I51" s="33"/>
      <c r="J51" s="33"/>
      <c r="K51" s="33"/>
      <c r="L51" s="33"/>
      <c r="M51" s="33"/>
      <c r="N51" s="33"/>
      <c r="O51" s="33"/>
      <c r="P51" s="33"/>
      <c r="Q51" s="33"/>
    </row>
    <row r="52" spans="1:17" ht="6" customHeight="1" x14ac:dyDescent="0.25"/>
    <row r="53" spans="1:17" ht="18" customHeight="1" x14ac:dyDescent="0.25">
      <c r="A53" s="43" t="s">
        <v>62</v>
      </c>
      <c r="B53" s="33"/>
      <c r="C53" s="33"/>
      <c r="D53" s="33"/>
      <c r="E53" s="33"/>
      <c r="F53" s="33"/>
      <c r="G53" s="33"/>
      <c r="H53" s="33"/>
      <c r="I53" s="33"/>
      <c r="J53" s="33"/>
      <c r="K53" s="33"/>
      <c r="L53" s="33"/>
      <c r="M53" s="33"/>
      <c r="N53" s="33"/>
      <c r="O53" s="33"/>
      <c r="P53" s="33"/>
      <c r="Q53" s="33"/>
    </row>
    <row r="54" spans="1:17" ht="36" customHeight="1" x14ac:dyDescent="0.25">
      <c r="A54" s="40" t="s">
        <v>714</v>
      </c>
      <c r="B54" s="33"/>
      <c r="C54" s="33"/>
      <c r="D54" s="33"/>
      <c r="E54" s="33"/>
      <c r="F54" s="33"/>
      <c r="G54" s="33"/>
      <c r="H54" s="33"/>
      <c r="I54" s="33"/>
      <c r="J54" s="33"/>
      <c r="K54" s="33"/>
      <c r="L54" s="33"/>
      <c r="M54" s="33"/>
      <c r="N54" s="33"/>
      <c r="O54" s="33"/>
      <c r="P54" s="33"/>
      <c r="Q54" s="33"/>
    </row>
    <row r="55" spans="1:17" ht="6" customHeight="1" x14ac:dyDescent="0.25"/>
    <row r="58" spans="1:17" ht="21.95" customHeight="1" x14ac:dyDescent="0.25">
      <c r="A58" s="41" t="s">
        <v>715</v>
      </c>
      <c r="B58" s="42"/>
      <c r="C58" s="42"/>
      <c r="D58" s="42"/>
      <c r="E58" s="42"/>
      <c r="F58" s="42"/>
      <c r="G58" s="42"/>
      <c r="H58" s="42"/>
      <c r="I58" s="42"/>
      <c r="J58" s="42"/>
      <c r="K58" s="42"/>
      <c r="L58" s="42"/>
      <c r="M58" s="42"/>
      <c r="N58" s="42"/>
      <c r="O58" s="42"/>
      <c r="P58" s="42"/>
      <c r="Q58" s="42"/>
    </row>
    <row r="60" spans="1:17" ht="18" customHeight="1" x14ac:dyDescent="0.25">
      <c r="A60" s="43" t="s">
        <v>85</v>
      </c>
      <c r="B60" s="33"/>
      <c r="C60" s="33"/>
      <c r="D60" s="33"/>
      <c r="E60" s="33"/>
      <c r="F60" s="33"/>
      <c r="G60" s="33"/>
      <c r="H60" s="33"/>
      <c r="I60" s="33"/>
      <c r="J60" s="33"/>
      <c r="K60" s="33"/>
      <c r="L60" s="33"/>
      <c r="M60" s="33"/>
      <c r="N60" s="33"/>
      <c r="O60" s="33"/>
      <c r="P60" s="33"/>
      <c r="Q60" s="33"/>
    </row>
    <row r="61" spans="1:17" ht="21" customHeight="1" x14ac:dyDescent="0.25">
      <c r="A61" s="40" t="s">
        <v>716</v>
      </c>
      <c r="B61" s="33"/>
      <c r="C61" s="33"/>
      <c r="D61" s="33"/>
      <c r="E61" s="33"/>
      <c r="F61" s="33"/>
      <c r="G61" s="33"/>
      <c r="H61" s="33"/>
      <c r="I61" s="33"/>
      <c r="J61" s="33"/>
      <c r="K61" s="33"/>
      <c r="L61" s="33"/>
      <c r="M61" s="33"/>
      <c r="N61" s="33"/>
      <c r="O61" s="33"/>
      <c r="P61" s="33"/>
      <c r="Q61" s="33"/>
    </row>
    <row r="62" spans="1:17" ht="6" customHeight="1" x14ac:dyDescent="0.25"/>
    <row r="63" spans="1:17" ht="18" customHeight="1" x14ac:dyDescent="0.25">
      <c r="A63" s="43" t="s">
        <v>97</v>
      </c>
      <c r="B63" s="33"/>
      <c r="C63" s="33"/>
      <c r="D63" s="33"/>
      <c r="E63" s="33"/>
      <c r="F63" s="33"/>
      <c r="G63" s="33"/>
      <c r="H63" s="33"/>
      <c r="I63" s="33"/>
      <c r="J63" s="33"/>
      <c r="K63" s="33"/>
      <c r="L63" s="33"/>
      <c r="M63" s="33"/>
      <c r="N63" s="33"/>
      <c r="O63" s="33"/>
      <c r="P63" s="33"/>
      <c r="Q63" s="33"/>
    </row>
    <row r="64" spans="1:17" ht="36" customHeight="1" x14ac:dyDescent="0.25">
      <c r="A64" s="40" t="s">
        <v>717</v>
      </c>
      <c r="B64" s="33"/>
      <c r="C64" s="33"/>
      <c r="D64" s="33"/>
      <c r="E64" s="33"/>
      <c r="F64" s="33"/>
      <c r="G64" s="33"/>
      <c r="H64" s="33"/>
      <c r="I64" s="33"/>
      <c r="J64" s="33"/>
      <c r="K64" s="33"/>
      <c r="L64" s="33"/>
      <c r="M64" s="33"/>
      <c r="N64" s="33"/>
      <c r="O64" s="33"/>
      <c r="P64" s="33"/>
      <c r="Q64" s="33"/>
    </row>
    <row r="65" spans="1:17" ht="6" customHeight="1" x14ac:dyDescent="0.25"/>
    <row r="66" spans="1:17" ht="18" customHeight="1" x14ac:dyDescent="0.25">
      <c r="A66" s="43" t="s">
        <v>657</v>
      </c>
      <c r="B66" s="33"/>
      <c r="C66" s="33"/>
      <c r="D66" s="33"/>
      <c r="E66" s="33"/>
      <c r="F66" s="33"/>
      <c r="G66" s="33"/>
      <c r="H66" s="33"/>
      <c r="I66" s="33"/>
      <c r="J66" s="33"/>
      <c r="K66" s="33"/>
      <c r="L66" s="33"/>
      <c r="M66" s="33"/>
      <c r="N66" s="33"/>
      <c r="O66" s="33"/>
      <c r="P66" s="33"/>
      <c r="Q66" s="33"/>
    </row>
    <row r="67" spans="1:17" ht="21" customHeight="1" x14ac:dyDescent="0.25">
      <c r="A67" s="40" t="s">
        <v>718</v>
      </c>
      <c r="B67" s="33"/>
      <c r="C67" s="33"/>
      <c r="D67" s="33"/>
      <c r="E67" s="33"/>
      <c r="F67" s="33"/>
      <c r="G67" s="33"/>
      <c r="H67" s="33"/>
      <c r="I67" s="33"/>
      <c r="J67" s="33"/>
      <c r="K67" s="33"/>
      <c r="L67" s="33"/>
      <c r="M67" s="33"/>
      <c r="N67" s="33"/>
      <c r="O67" s="33"/>
      <c r="P67" s="33"/>
      <c r="Q67" s="33"/>
    </row>
    <row r="68" spans="1:17" ht="6" customHeight="1" x14ac:dyDescent="0.25"/>
    <row r="69" spans="1:17" ht="18" customHeight="1" x14ac:dyDescent="0.25">
      <c r="A69" s="43" t="s">
        <v>659</v>
      </c>
      <c r="B69" s="33"/>
      <c r="C69" s="33"/>
      <c r="D69" s="33"/>
      <c r="E69" s="33"/>
      <c r="F69" s="33"/>
      <c r="G69" s="33"/>
      <c r="H69" s="33"/>
      <c r="I69" s="33"/>
      <c r="J69" s="33"/>
      <c r="K69" s="33"/>
      <c r="L69" s="33"/>
      <c r="M69" s="33"/>
      <c r="N69" s="33"/>
      <c r="O69" s="33"/>
      <c r="P69" s="33"/>
      <c r="Q69" s="33"/>
    </row>
    <row r="70" spans="1:17" ht="36" customHeight="1" x14ac:dyDescent="0.25">
      <c r="A70" s="40" t="s">
        <v>768</v>
      </c>
      <c r="B70" s="33"/>
      <c r="C70" s="33"/>
      <c r="D70" s="33"/>
      <c r="E70" s="33"/>
      <c r="F70" s="33"/>
      <c r="G70" s="33"/>
      <c r="H70" s="33"/>
      <c r="I70" s="33"/>
      <c r="J70" s="33"/>
      <c r="K70" s="33"/>
      <c r="L70" s="33"/>
      <c r="M70" s="33"/>
      <c r="N70" s="33"/>
      <c r="O70" s="33"/>
      <c r="P70" s="33"/>
      <c r="Q70" s="33"/>
    </row>
    <row r="71" spans="1:17" ht="6" customHeight="1" x14ac:dyDescent="0.25"/>
    <row r="72" spans="1:17" ht="18" customHeight="1" x14ac:dyDescent="0.25">
      <c r="A72" s="43" t="s">
        <v>661</v>
      </c>
      <c r="B72" s="33"/>
      <c r="C72" s="33"/>
      <c r="D72" s="33"/>
      <c r="E72" s="33"/>
      <c r="F72" s="33"/>
      <c r="G72" s="33"/>
      <c r="H72" s="33"/>
      <c r="I72" s="33"/>
      <c r="J72" s="33"/>
      <c r="K72" s="33"/>
      <c r="L72" s="33"/>
      <c r="M72" s="33"/>
      <c r="N72" s="33"/>
      <c r="O72" s="33"/>
      <c r="P72" s="33"/>
      <c r="Q72" s="33"/>
    </row>
    <row r="73" spans="1:17" ht="21" customHeight="1" x14ac:dyDescent="0.25">
      <c r="A73" s="40" t="s">
        <v>769</v>
      </c>
      <c r="B73" s="33"/>
      <c r="C73" s="33"/>
      <c r="D73" s="33"/>
      <c r="E73" s="33"/>
      <c r="F73" s="33"/>
      <c r="G73" s="33"/>
      <c r="H73" s="33"/>
      <c r="I73" s="33"/>
      <c r="J73" s="33"/>
      <c r="K73" s="33"/>
      <c r="L73" s="33"/>
      <c r="M73" s="33"/>
      <c r="N73" s="33"/>
      <c r="O73" s="33"/>
      <c r="P73" s="33"/>
      <c r="Q73" s="33"/>
    </row>
    <row r="74" spans="1:17" ht="6" customHeight="1" x14ac:dyDescent="0.25"/>
    <row r="75" spans="1:17" ht="18" customHeight="1" x14ac:dyDescent="0.25">
      <c r="A75" s="43" t="s">
        <v>668</v>
      </c>
      <c r="B75" s="33"/>
      <c r="C75" s="33"/>
      <c r="D75" s="33"/>
      <c r="E75" s="33"/>
      <c r="F75" s="33"/>
      <c r="G75" s="33"/>
      <c r="H75" s="33"/>
      <c r="I75" s="33"/>
      <c r="J75" s="33"/>
      <c r="K75" s="33"/>
      <c r="L75" s="33"/>
      <c r="M75" s="33"/>
      <c r="N75" s="33"/>
      <c r="O75" s="33"/>
      <c r="P75" s="33"/>
      <c r="Q75" s="33"/>
    </row>
    <row r="76" spans="1:17" ht="21" customHeight="1" x14ac:dyDescent="0.25">
      <c r="A76" s="40" t="s">
        <v>725</v>
      </c>
      <c r="B76" s="33"/>
      <c r="C76" s="33"/>
      <c r="D76" s="33"/>
      <c r="E76" s="33"/>
      <c r="F76" s="33"/>
      <c r="G76" s="33"/>
      <c r="H76" s="33"/>
      <c r="I76" s="33"/>
      <c r="J76" s="33"/>
      <c r="K76" s="33"/>
      <c r="L76" s="33"/>
      <c r="M76" s="33"/>
      <c r="N76" s="33"/>
      <c r="O76" s="33"/>
      <c r="P76" s="33"/>
      <c r="Q76" s="33"/>
    </row>
    <row r="77" spans="1:17" ht="6" customHeight="1" x14ac:dyDescent="0.25"/>
    <row r="78" spans="1:17" ht="18" customHeight="1" x14ac:dyDescent="0.25">
      <c r="A78" s="43" t="s">
        <v>669</v>
      </c>
      <c r="B78" s="33"/>
      <c r="C78" s="33"/>
      <c r="D78" s="33"/>
      <c r="E78" s="33"/>
      <c r="F78" s="33"/>
      <c r="G78" s="33"/>
      <c r="H78" s="33"/>
      <c r="I78" s="33"/>
      <c r="J78" s="33"/>
      <c r="K78" s="33"/>
      <c r="L78" s="33"/>
      <c r="M78" s="33"/>
      <c r="N78" s="33"/>
      <c r="O78" s="33"/>
      <c r="P78" s="33"/>
      <c r="Q78" s="33"/>
    </row>
    <row r="79" spans="1:17" ht="36" customHeight="1" x14ac:dyDescent="0.25">
      <c r="A79" s="40" t="s">
        <v>726</v>
      </c>
      <c r="B79" s="33"/>
      <c r="C79" s="33"/>
      <c r="D79" s="33"/>
      <c r="E79" s="33"/>
      <c r="F79" s="33"/>
      <c r="G79" s="33"/>
      <c r="H79" s="33"/>
      <c r="I79" s="33"/>
      <c r="J79" s="33"/>
      <c r="K79" s="33"/>
      <c r="L79" s="33"/>
      <c r="M79" s="33"/>
      <c r="N79" s="33"/>
      <c r="O79" s="33"/>
      <c r="P79" s="33"/>
      <c r="Q79" s="33"/>
    </row>
    <row r="80" spans="1:17" ht="6" customHeight="1" x14ac:dyDescent="0.25"/>
    <row r="81" spans="1:17" ht="18" customHeight="1" x14ac:dyDescent="0.25">
      <c r="A81" s="43" t="s">
        <v>670</v>
      </c>
      <c r="B81" s="33"/>
      <c r="C81" s="33"/>
      <c r="D81" s="33"/>
      <c r="E81" s="33"/>
      <c r="F81" s="33"/>
      <c r="G81" s="33"/>
      <c r="H81" s="33"/>
      <c r="I81" s="33"/>
      <c r="J81" s="33"/>
      <c r="K81" s="33"/>
      <c r="L81" s="33"/>
      <c r="M81" s="33"/>
      <c r="N81" s="33"/>
      <c r="O81" s="33"/>
      <c r="P81" s="33"/>
      <c r="Q81" s="33"/>
    </row>
    <row r="82" spans="1:17" ht="36" customHeight="1" x14ac:dyDescent="0.25">
      <c r="A82" s="40" t="s">
        <v>727</v>
      </c>
      <c r="B82" s="33"/>
      <c r="C82" s="33"/>
      <c r="D82" s="33"/>
      <c r="E82" s="33"/>
      <c r="F82" s="33"/>
      <c r="G82" s="33"/>
      <c r="H82" s="33"/>
      <c r="I82" s="33"/>
      <c r="J82" s="33"/>
      <c r="K82" s="33"/>
      <c r="L82" s="33"/>
      <c r="M82" s="33"/>
      <c r="N82" s="33"/>
      <c r="O82" s="33"/>
      <c r="P82" s="33"/>
      <c r="Q82" s="33"/>
    </row>
    <row r="83" spans="1:17" ht="6" customHeight="1" x14ac:dyDescent="0.25"/>
    <row r="86" spans="1:17" x14ac:dyDescent="0.25">
      <c r="A86" s="39" t="s">
        <v>728</v>
      </c>
      <c r="B86" s="33"/>
      <c r="C86" s="33"/>
      <c r="D86" s="33"/>
      <c r="E86" s="33"/>
      <c r="F86" s="33"/>
      <c r="G86" s="33"/>
      <c r="H86" s="33"/>
      <c r="I86" s="33"/>
      <c r="J86" s="33"/>
      <c r="K86" s="33"/>
      <c r="L86" s="33"/>
      <c r="M86" s="33"/>
      <c r="N86" s="33"/>
      <c r="O86" s="33"/>
      <c r="P86" s="33"/>
      <c r="Q86" s="33"/>
    </row>
  </sheetData>
  <mergeCells count="33">
    <mergeCell ref="A34:Q34"/>
    <mergeCell ref="A48:Q48"/>
    <mergeCell ref="A45:Q45"/>
    <mergeCell ref="A41:Q41"/>
    <mergeCell ref="A37:Q37"/>
    <mergeCell ref="A54:Q54"/>
    <mergeCell ref="A66:Q66"/>
    <mergeCell ref="A75:Q75"/>
    <mergeCell ref="A44:Q44"/>
    <mergeCell ref="A58:Q58"/>
    <mergeCell ref="A67:Q67"/>
    <mergeCell ref="A50:Q50"/>
    <mergeCell ref="A79:Q79"/>
    <mergeCell ref="A61:Q61"/>
    <mergeCell ref="A70:Q70"/>
    <mergeCell ref="A69:Q69"/>
    <mergeCell ref="A78:Q78"/>
    <mergeCell ref="A86:Q86"/>
    <mergeCell ref="A42:Q42"/>
    <mergeCell ref="A76:Q76"/>
    <mergeCell ref="A47:Q47"/>
    <mergeCell ref="A32:Q32"/>
    <mergeCell ref="A53:Q53"/>
    <mergeCell ref="A35:Q35"/>
    <mergeCell ref="A81:Q81"/>
    <mergeCell ref="A38:Q38"/>
    <mergeCell ref="A72:Q72"/>
    <mergeCell ref="A63:Q63"/>
    <mergeCell ref="A73:Q73"/>
    <mergeCell ref="A64:Q64"/>
    <mergeCell ref="A82:Q82"/>
    <mergeCell ref="A60:Q60"/>
    <mergeCell ref="A51:Q51"/>
  </mergeCells>
  <dataValidations count="8">
    <dataValidation type="list" allowBlank="1" errorTitle="Valore non valido" error="Selezionare dalla lista." promptTitle="Author" prompt="Autore della codifica." sqref="B6:B29" xr:uid="{00000000-0002-0000-0500-000000000000}">
      <formula1>Author_Name</formula1>
    </dataValidation>
    <dataValidation type="list" allowBlank="1" errorTitle="Valore non valido" error="Selezionare dalla lista, oppure lasciare vuoto." promptTitle="In Place" sqref="D6:D29" xr:uid="{00000000-0002-0000-0500-000001000000}">
      <formula1>InPl_Name</formula1>
    </dataValidation>
    <dataValidation type="list" allowBlank="1" errorTitle="Valore non valido" error="Selezionare dalla lista." promptTitle="Categoria" prompt="Categoria Revit della famiglia." sqref="F6:F29" xr:uid="{00000000-0002-0000-0500-000002000000}">
      <formula1>CM_Cat_Name</formula1>
    </dataValidation>
    <dataValidation type="list" allowBlank="1" errorTitle="Valore non valido" error="Selezionare dalla lista." promptTitle="Group1 — forma della sezione" sqref="H6:H29" xr:uid="{00000000-0002-0000-0500-000003000000}">
      <formula1>CM_G1_Name</formula1>
    </dataValidation>
    <dataValidation type="list" allowBlank="1" errorTitle="Valore non valido" error="Selezionare dalla lista." promptTitle="Group2 — ruolo" prompt="Ruolo della colonna." sqref="J6:J29" xr:uid="{00000000-0002-0000-0500-000004000000}">
      <formula1>CM_G2_Name</formula1>
    </dataValidation>
    <dataValidation type="custom" allowBlank="1" errorTitle="Non valido" error="Massimo 24 caratteri, senza spazi." promptTitle="Manufacturer" prompt="Facoltativo. Azienda produttrice. Campo libero: senza spazi, iniziali maiuscole. Non compatibile con Group1 = Custom." sqref="L6:L29" xr:uid="{00000000-0002-0000-0500-000005000000}">
      <formula1>AND(LEN($L6)&lt;=24,ISERROR(FIND(" ",$L6)))</formula1>
    </dataValidation>
    <dataValidation type="custom" allowBlank="1" errorTitle="Non valido" error="Massimo 24 caratteri, senza spazi." promptTitle="Brand" sqref="M6:M29" xr:uid="{00000000-0002-0000-0500-000006000000}">
      <formula1>AND(LEN($M6)&lt;=24,ISERROR(FIND(" ",$M6)))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N6:N29" xr:uid="{00000000-0002-0000-0500-000007000000}">
      <formula1>40</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94"/>
  <sheetViews>
    <sheetView showGridLines="0" workbookViewId="0">
      <pane ySplit="5" topLeftCell="A6" activePane="bottomLeft" state="frozen"/>
      <selection pane="bottomLeft" activeCell="R13" sqref="R13"/>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15" customWidth="1"/>
    <col min="13" max="13" width="13" customWidth="1"/>
    <col min="14" max="14" width="20" customWidth="1"/>
    <col min="15" max="15" width="12" customWidth="1"/>
    <col min="16" max="16" width="36" customWidth="1"/>
    <col min="17" max="17" width="24" customWidth="1"/>
  </cols>
  <sheetData>
    <row r="1" spans="1:17" ht="19.5" x14ac:dyDescent="0.3">
      <c r="A1" s="6" t="s">
        <v>770</v>
      </c>
    </row>
    <row r="2" spans="1:17" x14ac:dyDescent="0.25">
      <c r="A2" s="7" t="s">
        <v>652</v>
      </c>
    </row>
    <row r="3" spans="1:17" x14ac:dyDescent="0.25">
      <c r="A3" s="8" t="s">
        <v>745</v>
      </c>
    </row>
    <row r="4" spans="1:17" ht="17.100000000000001" customHeight="1" x14ac:dyDescent="0.25">
      <c r="A4" s="9" t="s">
        <v>771</v>
      </c>
      <c r="B4" s="10"/>
      <c r="C4" s="10"/>
      <c r="D4" s="10"/>
      <c r="E4" s="10"/>
      <c r="F4" s="10"/>
      <c r="G4" s="10"/>
      <c r="H4" s="10"/>
      <c r="I4" s="10"/>
      <c r="J4" s="10"/>
      <c r="K4" s="10"/>
      <c r="L4" s="10"/>
      <c r="M4" s="10"/>
      <c r="N4" s="10"/>
      <c r="O4" s="10"/>
      <c r="P4" s="10"/>
      <c r="Q4" s="10"/>
    </row>
    <row r="5" spans="1:17" ht="30" customHeight="1" x14ac:dyDescent="0.25">
      <c r="A5" s="11" t="s">
        <v>655</v>
      </c>
      <c r="B5" s="11" t="s">
        <v>85</v>
      </c>
      <c r="C5" s="11" t="s">
        <v>656</v>
      </c>
      <c r="D5" s="12" t="s">
        <v>97</v>
      </c>
      <c r="E5" s="11" t="s">
        <v>96</v>
      </c>
      <c r="F5" s="11" t="s">
        <v>657</v>
      </c>
      <c r="G5" s="11" t="s">
        <v>658</v>
      </c>
      <c r="H5" s="11" t="s">
        <v>659</v>
      </c>
      <c r="I5" s="11" t="s">
        <v>660</v>
      </c>
      <c r="J5" s="11" t="s">
        <v>661</v>
      </c>
      <c r="K5" s="11" t="s">
        <v>662</v>
      </c>
      <c r="L5" s="12" t="s">
        <v>668</v>
      </c>
      <c r="M5" s="12" t="s">
        <v>669</v>
      </c>
      <c r="N5" s="12" t="s">
        <v>670</v>
      </c>
      <c r="O5" s="11" t="s">
        <v>671</v>
      </c>
      <c r="P5" s="11" t="s">
        <v>672</v>
      </c>
      <c r="Q5" s="11" t="s">
        <v>673</v>
      </c>
    </row>
    <row r="6" spans="1:17" x14ac:dyDescent="0.25">
      <c r="A6" s="13" t="s">
        <v>675</v>
      </c>
      <c r="B6" s="14" t="s">
        <v>92</v>
      </c>
      <c r="C6" s="15" t="str">
        <f t="shared" ref="C6:C31" si="0">IFERROR(INDEX(Author_Code,MATCH($B6,Author_Name,0)),"")</f>
        <v>e</v>
      </c>
      <c r="D6" s="16"/>
      <c r="E6" s="15" t="str">
        <f t="shared" ref="E6:E31" si="1">IFERROR(INDEX(InPl_Code,MATCH($D6,InPl_Name,0)),"")</f>
        <v/>
      </c>
      <c r="F6" s="14" t="s">
        <v>298</v>
      </c>
      <c r="G6" s="15" t="str">
        <f t="shared" ref="G6:G31" si="2">IFERROR(INDEX(FN_Cat_Code,MATCH($F6,FN_Cat_Name,0)),"")</f>
        <v>FN</v>
      </c>
      <c r="H6" s="14" t="s">
        <v>94</v>
      </c>
      <c r="I6" s="15" t="str">
        <f t="shared" ref="I6:I31" si="3">IFERROR(INDEX(PR_G1_Code,MATCH($H6,PR_G1_Name,0)),"")</f>
        <v>CO</v>
      </c>
      <c r="J6" s="14" t="s">
        <v>300</v>
      </c>
      <c r="K6" s="15" t="str">
        <f t="shared" ref="K6:K31" si="4">IFERROR(INDEX(FN_G2_Code,MATCH($J6,FN_G2_Name,0)),"")</f>
        <v>SE</v>
      </c>
      <c r="L6" s="17" t="s">
        <v>772</v>
      </c>
      <c r="M6" s="17"/>
      <c r="N6" s="17"/>
      <c r="O6" s="15" t="str">
        <f t="shared" ref="O6:O31" si="5">$G6&amp;IF($I6&lt;&gt;"","."&amp;$I6,"")&amp;IF($K6&lt;&gt;"","."&amp;$K6,"")</f>
        <v>FN.CO.SE</v>
      </c>
      <c r="P6" s="18" t="str">
        <f t="shared" ref="P6:P31" si="6">IF(AND($F6&lt;&gt;"",$H6&lt;&gt;"",$J6&lt;&gt;""),$C6&amp;"_"&amp;$E6&amp;$O6&amp;IF($L6&lt;&gt;"","_"&amp;$L6,"")&amp;IF($M6&lt;&gt;"","_"&amp;$M6,"")&amp;IF($N6&lt;&gt;"","_"&amp;$N6,""),"")</f>
        <v>e_FN.CO.SE_Vitra</v>
      </c>
      <c r="Q6" s="19" t="str">
        <f>IFERROR(IF(OR($G6="",$J6=""),"",$K6&amp;"xx"&amp;"_{W}x{D}x{H}"),"")</f>
        <v>SExx_{W}x{D}x{H}</v>
      </c>
    </row>
    <row r="7" spans="1:17" x14ac:dyDescent="0.25">
      <c r="A7" s="13" t="s">
        <v>676</v>
      </c>
      <c r="B7" s="14" t="s">
        <v>92</v>
      </c>
      <c r="C7" s="15" t="str">
        <f t="shared" si="0"/>
        <v>e</v>
      </c>
      <c r="D7" s="16"/>
      <c r="E7" s="15" t="str">
        <f t="shared" si="1"/>
        <v/>
      </c>
      <c r="F7" s="14" t="s">
        <v>298</v>
      </c>
      <c r="G7" s="15" t="str">
        <f t="shared" si="2"/>
        <v>FN</v>
      </c>
      <c r="H7" s="14" t="s">
        <v>94</v>
      </c>
      <c r="I7" s="15" t="str">
        <f t="shared" si="3"/>
        <v>CO</v>
      </c>
      <c r="J7" s="14" t="s">
        <v>303</v>
      </c>
      <c r="K7" s="15" t="str">
        <f t="shared" si="4"/>
        <v>TD</v>
      </c>
      <c r="L7" s="17" t="s">
        <v>772</v>
      </c>
      <c r="M7" s="17"/>
      <c r="N7" s="17"/>
      <c r="O7" s="15" t="str">
        <f t="shared" si="5"/>
        <v>FN.CO.TD</v>
      </c>
      <c r="P7" s="18" t="str">
        <f t="shared" si="6"/>
        <v>e_FN.CO.TD_Vitra</v>
      </c>
      <c r="Q7" s="19" t="str">
        <f t="shared" ref="Q7:Q31" si="7">IFERROR(IF(OR($G7="",$J7=""),"",$K7&amp;"xx"&amp;"_{W}x{D}x{H}"),"")</f>
        <v>TDxx_{W}x{D}x{H}</v>
      </c>
    </row>
    <row r="8" spans="1:17" x14ac:dyDescent="0.25">
      <c r="A8" s="13" t="s">
        <v>677</v>
      </c>
      <c r="B8" s="14" t="s">
        <v>92</v>
      </c>
      <c r="C8" s="15" t="str">
        <f t="shared" si="0"/>
        <v>e</v>
      </c>
      <c r="D8" s="16"/>
      <c r="E8" s="15" t="str">
        <f t="shared" si="1"/>
        <v/>
      </c>
      <c r="F8" s="14" t="s">
        <v>298</v>
      </c>
      <c r="G8" s="15" t="str">
        <f t="shared" si="2"/>
        <v>FN</v>
      </c>
      <c r="H8" s="14" t="s">
        <v>94</v>
      </c>
      <c r="I8" s="15" t="str">
        <f t="shared" si="3"/>
        <v>CO</v>
      </c>
      <c r="J8" s="14" t="s">
        <v>306</v>
      </c>
      <c r="K8" s="15" t="str">
        <f t="shared" si="4"/>
        <v>ST</v>
      </c>
      <c r="L8" s="17"/>
      <c r="M8" s="17"/>
      <c r="N8" s="17"/>
      <c r="O8" s="15" t="str">
        <f t="shared" si="5"/>
        <v>FN.CO.ST</v>
      </c>
      <c r="P8" s="18" t="str">
        <f t="shared" si="6"/>
        <v>e_FN.CO.ST</v>
      </c>
      <c r="Q8" s="19" t="str">
        <f t="shared" si="7"/>
        <v>STxx_{W}x{D}x{H}</v>
      </c>
    </row>
    <row r="9" spans="1:17" x14ac:dyDescent="0.25">
      <c r="A9" s="13" t="s">
        <v>679</v>
      </c>
      <c r="B9" s="14" t="s">
        <v>92</v>
      </c>
      <c r="C9" s="15" t="str">
        <f t="shared" si="0"/>
        <v>e</v>
      </c>
      <c r="D9" s="16"/>
      <c r="E9" s="15" t="str">
        <f t="shared" si="1"/>
        <v/>
      </c>
      <c r="F9" s="14" t="s">
        <v>298</v>
      </c>
      <c r="G9" s="15" t="str">
        <f t="shared" si="2"/>
        <v>FN</v>
      </c>
      <c r="H9" s="14" t="s">
        <v>94</v>
      </c>
      <c r="I9" s="15" t="str">
        <f t="shared" si="3"/>
        <v>CO</v>
      </c>
      <c r="J9" s="14" t="s">
        <v>310</v>
      </c>
      <c r="K9" s="15" t="str">
        <f t="shared" si="4"/>
        <v>SL</v>
      </c>
      <c r="L9" s="17" t="s">
        <v>773</v>
      </c>
      <c r="M9" s="17"/>
      <c r="N9" s="17"/>
      <c r="O9" s="15" t="str">
        <f t="shared" si="5"/>
        <v>FN.CO.SL</v>
      </c>
      <c r="P9" s="18" t="str">
        <f t="shared" si="6"/>
        <v>e_FN.CO.SL_Flou</v>
      </c>
      <c r="Q9" s="19" t="str">
        <f t="shared" si="7"/>
        <v>SLxx_{W}x{D}x{H}</v>
      </c>
    </row>
    <row r="10" spans="1:17" x14ac:dyDescent="0.25">
      <c r="A10" s="13" t="s">
        <v>680</v>
      </c>
      <c r="B10" s="14" t="s">
        <v>92</v>
      </c>
      <c r="C10" s="15" t="str">
        <f t="shared" si="0"/>
        <v>e</v>
      </c>
      <c r="D10" s="16"/>
      <c r="E10" s="15" t="str">
        <f t="shared" si="1"/>
        <v/>
      </c>
      <c r="F10" s="14" t="s">
        <v>298</v>
      </c>
      <c r="G10" s="15" t="str">
        <f t="shared" si="2"/>
        <v>FN</v>
      </c>
      <c r="H10" s="14" t="s">
        <v>99</v>
      </c>
      <c r="I10" s="15" t="str">
        <f t="shared" si="3"/>
        <v>CT</v>
      </c>
      <c r="J10" s="14" t="s">
        <v>308</v>
      </c>
      <c r="K10" s="15" t="str">
        <f t="shared" si="4"/>
        <v>SV</v>
      </c>
      <c r="L10" s="17"/>
      <c r="M10" s="17"/>
      <c r="N10" s="17"/>
      <c r="O10" s="15" t="str">
        <f t="shared" si="5"/>
        <v>FN.CT.SV</v>
      </c>
      <c r="P10" s="18" t="str">
        <f t="shared" si="6"/>
        <v>e_FN.CT.SV</v>
      </c>
      <c r="Q10" s="19" t="str">
        <f t="shared" si="7"/>
        <v>SVxx_{W}x{D}x{H}</v>
      </c>
    </row>
    <row r="11" spans="1:17" x14ac:dyDescent="0.25">
      <c r="A11" s="13" t="s">
        <v>682</v>
      </c>
      <c r="B11" s="14" t="s">
        <v>92</v>
      </c>
      <c r="C11" s="15" t="str">
        <f t="shared" si="0"/>
        <v>e</v>
      </c>
      <c r="D11" s="16"/>
      <c r="E11" s="15" t="str">
        <f t="shared" si="1"/>
        <v/>
      </c>
      <c r="F11" s="14" t="s">
        <v>298</v>
      </c>
      <c r="G11" s="15" t="str">
        <f t="shared" si="2"/>
        <v>FN</v>
      </c>
      <c r="H11" s="14" t="s">
        <v>94</v>
      </c>
      <c r="I11" s="15" t="str">
        <f t="shared" si="3"/>
        <v>CO</v>
      </c>
      <c r="J11" s="14" t="s">
        <v>319</v>
      </c>
      <c r="K11" s="15" t="str">
        <f t="shared" si="4"/>
        <v>OD</v>
      </c>
      <c r="L11" s="17" t="s">
        <v>774</v>
      </c>
      <c r="M11" s="17"/>
      <c r="N11" s="17"/>
      <c r="O11" s="15" t="str">
        <f t="shared" si="5"/>
        <v>FN.CO.OD</v>
      </c>
      <c r="P11" s="18" t="str">
        <f t="shared" si="6"/>
        <v>e_FN.CO.OD_Metalco</v>
      </c>
      <c r="Q11" s="19" t="str">
        <f t="shared" si="7"/>
        <v>ODxx_{W}x{D}x{H}</v>
      </c>
    </row>
    <row r="12" spans="1:17" x14ac:dyDescent="0.25">
      <c r="A12" s="13" t="s">
        <v>685</v>
      </c>
      <c r="B12" s="14" t="s">
        <v>92</v>
      </c>
      <c r="C12" s="15" t="str">
        <f t="shared" si="0"/>
        <v>e</v>
      </c>
      <c r="D12" s="16"/>
      <c r="E12" s="15" t="str">
        <f t="shared" si="1"/>
        <v/>
      </c>
      <c r="F12" s="14" t="s">
        <v>298</v>
      </c>
      <c r="G12" s="15" t="str">
        <f t="shared" si="2"/>
        <v>FN</v>
      </c>
      <c r="H12" s="14" t="s">
        <v>99</v>
      </c>
      <c r="I12" s="15" t="str">
        <f t="shared" si="3"/>
        <v>CT</v>
      </c>
      <c r="J12" s="14" t="s">
        <v>300</v>
      </c>
      <c r="K12" s="15" t="str">
        <f t="shared" si="4"/>
        <v>SE</v>
      </c>
      <c r="L12" s="17"/>
      <c r="M12" s="17" t="s">
        <v>775</v>
      </c>
      <c r="N12" s="17"/>
      <c r="O12" s="15" t="str">
        <f t="shared" si="5"/>
        <v>FN.CT.SE</v>
      </c>
      <c r="P12" s="18" t="str">
        <f t="shared" si="6"/>
        <v>e_FN.CT.SE_Dior</v>
      </c>
      <c r="Q12" s="19" t="str">
        <f t="shared" si="7"/>
        <v>SExx_{W}x{D}x{H}</v>
      </c>
    </row>
    <row r="13" spans="1:17" x14ac:dyDescent="0.25">
      <c r="A13" s="13" t="s">
        <v>687</v>
      </c>
      <c r="B13" s="14" t="s">
        <v>92</v>
      </c>
      <c r="C13" s="15" t="str">
        <f t="shared" si="0"/>
        <v>e</v>
      </c>
      <c r="D13" s="16"/>
      <c r="E13" s="15" t="str">
        <f t="shared" si="1"/>
        <v/>
      </c>
      <c r="F13" s="14" t="s">
        <v>298</v>
      </c>
      <c r="G13" s="15" t="str">
        <f t="shared" si="2"/>
        <v>FN</v>
      </c>
      <c r="H13" s="14" t="s">
        <v>94</v>
      </c>
      <c r="I13" s="15" t="str">
        <f t="shared" si="3"/>
        <v>CO</v>
      </c>
      <c r="J13" s="14" t="s">
        <v>286</v>
      </c>
      <c r="K13" s="15" t="str">
        <f t="shared" si="4"/>
        <v>AS</v>
      </c>
      <c r="L13" s="17"/>
      <c r="M13" s="17"/>
      <c r="N13" s="17"/>
      <c r="O13" s="15" t="str">
        <f t="shared" si="5"/>
        <v>FN.CO.AS</v>
      </c>
      <c r="P13" s="18" t="str">
        <f t="shared" si="6"/>
        <v>e_FN.CO.AS</v>
      </c>
      <c r="Q13" s="19" t="str">
        <f t="shared" si="7"/>
        <v>ASxx_{W}x{D}x{H}</v>
      </c>
    </row>
    <row r="14" spans="1:17" x14ac:dyDescent="0.25">
      <c r="A14" s="13" t="s">
        <v>689</v>
      </c>
      <c r="B14" s="14" t="s">
        <v>92</v>
      </c>
      <c r="C14" s="15" t="str">
        <f t="shared" si="0"/>
        <v>e</v>
      </c>
      <c r="D14" s="16"/>
      <c r="E14" s="15" t="str">
        <f t="shared" si="1"/>
        <v/>
      </c>
      <c r="F14" s="14" t="s">
        <v>298</v>
      </c>
      <c r="G14" s="15" t="str">
        <f t="shared" si="2"/>
        <v>FN</v>
      </c>
      <c r="H14" s="14" t="s">
        <v>94</v>
      </c>
      <c r="I14" s="15" t="str">
        <f t="shared" si="3"/>
        <v>CO</v>
      </c>
      <c r="J14" s="14" t="s">
        <v>316</v>
      </c>
      <c r="K14" s="15" t="str">
        <f t="shared" si="4"/>
        <v>PR</v>
      </c>
      <c r="L14" s="17" t="s">
        <v>772</v>
      </c>
      <c r="M14" s="17"/>
      <c r="N14" s="17"/>
      <c r="O14" s="15" t="str">
        <f t="shared" si="5"/>
        <v>FN.CO.PR</v>
      </c>
      <c r="P14" s="18" t="str">
        <f t="shared" si="6"/>
        <v>e_FN.CO.PR_Vitra</v>
      </c>
      <c r="Q14" s="19" t="str">
        <f t="shared" si="7"/>
        <v>PRxx_{W}x{D}x{H}</v>
      </c>
    </row>
    <row r="15" spans="1:17" x14ac:dyDescent="0.25">
      <c r="A15" s="13" t="s">
        <v>691</v>
      </c>
      <c r="B15" s="14" t="s">
        <v>92</v>
      </c>
      <c r="C15" s="15" t="str">
        <f t="shared" si="0"/>
        <v>e</v>
      </c>
      <c r="D15" s="16"/>
      <c r="E15" s="15" t="str">
        <f t="shared" si="1"/>
        <v/>
      </c>
      <c r="F15" s="14" t="s">
        <v>298</v>
      </c>
      <c r="G15" s="15" t="str">
        <f t="shared" si="2"/>
        <v>FN</v>
      </c>
      <c r="H15" s="14" t="s">
        <v>108</v>
      </c>
      <c r="I15" s="15" t="str">
        <f t="shared" si="3"/>
        <v>SY</v>
      </c>
      <c r="J15" s="14" t="s">
        <v>324</v>
      </c>
      <c r="K15" s="15" t="str">
        <f t="shared" si="4"/>
        <v>DC</v>
      </c>
      <c r="L15" s="17"/>
      <c r="M15" s="17"/>
      <c r="N15" s="17"/>
      <c r="O15" s="15" t="str">
        <f t="shared" si="5"/>
        <v>FN.SY.DC</v>
      </c>
      <c r="P15" s="18" t="str">
        <f t="shared" si="6"/>
        <v>e_FN.SY.DC</v>
      </c>
      <c r="Q15" s="19" t="str">
        <f t="shared" si="7"/>
        <v>DCxx_{W}x{D}x{H}</v>
      </c>
    </row>
    <row r="16" spans="1:17" x14ac:dyDescent="0.25">
      <c r="A16" s="13" t="s">
        <v>693</v>
      </c>
      <c r="B16" s="14" t="s">
        <v>92</v>
      </c>
      <c r="C16" s="15" t="str">
        <f t="shared" si="0"/>
        <v>e</v>
      </c>
      <c r="D16" s="16" t="s">
        <v>97</v>
      </c>
      <c r="E16" s="15" t="str">
        <f t="shared" si="1"/>
        <v>(I)</v>
      </c>
      <c r="F16" s="14" t="s">
        <v>298</v>
      </c>
      <c r="G16" s="15" t="str">
        <f t="shared" si="2"/>
        <v>FN</v>
      </c>
      <c r="H16" s="14" t="s">
        <v>94</v>
      </c>
      <c r="I16" s="15" t="str">
        <f t="shared" si="3"/>
        <v>CO</v>
      </c>
      <c r="J16" s="14" t="s">
        <v>300</v>
      </c>
      <c r="K16" s="15" t="str">
        <f t="shared" si="4"/>
        <v>SE</v>
      </c>
      <c r="L16" s="17" t="s">
        <v>772</v>
      </c>
      <c r="M16" s="17"/>
      <c r="N16" s="17"/>
      <c r="O16" s="15" t="str">
        <f t="shared" si="5"/>
        <v>FN.CO.SE</v>
      </c>
      <c r="P16" s="18" t="str">
        <f t="shared" si="6"/>
        <v>e_(I)FN.CO.SE_Vitra</v>
      </c>
      <c r="Q16" s="19" t="str">
        <f t="shared" si="7"/>
        <v>SExx_{W}x{D}x{H}</v>
      </c>
    </row>
    <row r="17" spans="1:17" x14ac:dyDescent="0.25">
      <c r="A17" s="21">
        <v>1</v>
      </c>
      <c r="B17" s="22"/>
      <c r="C17" s="23" t="str">
        <f t="shared" si="0"/>
        <v/>
      </c>
      <c r="D17" s="24"/>
      <c r="E17" s="23" t="str">
        <f t="shared" si="1"/>
        <v/>
      </c>
      <c r="F17" s="22"/>
      <c r="G17" s="23" t="str">
        <f t="shared" si="2"/>
        <v/>
      </c>
      <c r="H17" s="22"/>
      <c r="I17" s="23" t="str">
        <f t="shared" si="3"/>
        <v/>
      </c>
      <c r="J17" s="22"/>
      <c r="K17" s="23" t="str">
        <f t="shared" si="4"/>
        <v/>
      </c>
      <c r="L17" s="25"/>
      <c r="M17" s="25"/>
      <c r="N17" s="25"/>
      <c r="O17" s="23" t="str">
        <f t="shared" si="5"/>
        <v/>
      </c>
      <c r="P17" s="26" t="str">
        <f t="shared" si="6"/>
        <v/>
      </c>
      <c r="Q17" s="19" t="str">
        <f t="shared" si="7"/>
        <v/>
      </c>
    </row>
    <row r="18" spans="1:17" x14ac:dyDescent="0.25">
      <c r="A18" s="21">
        <v>2</v>
      </c>
      <c r="B18" s="22"/>
      <c r="C18" s="23" t="str">
        <f t="shared" si="0"/>
        <v/>
      </c>
      <c r="D18" s="24"/>
      <c r="E18" s="23" t="str">
        <f t="shared" si="1"/>
        <v/>
      </c>
      <c r="F18" s="22"/>
      <c r="G18" s="23" t="str">
        <f t="shared" si="2"/>
        <v/>
      </c>
      <c r="H18" s="22"/>
      <c r="I18" s="23" t="str">
        <f t="shared" si="3"/>
        <v/>
      </c>
      <c r="J18" s="22"/>
      <c r="K18" s="23" t="str">
        <f t="shared" si="4"/>
        <v/>
      </c>
      <c r="L18" s="25"/>
      <c r="M18" s="25"/>
      <c r="N18" s="25"/>
      <c r="O18" s="23" t="str">
        <f t="shared" si="5"/>
        <v/>
      </c>
      <c r="P18" s="26" t="str">
        <f t="shared" si="6"/>
        <v/>
      </c>
      <c r="Q18" s="19" t="str">
        <f t="shared" si="7"/>
        <v/>
      </c>
    </row>
    <row r="19" spans="1:17" x14ac:dyDescent="0.25">
      <c r="A19" s="21">
        <v>3</v>
      </c>
      <c r="B19" s="22"/>
      <c r="C19" s="23" t="str">
        <f t="shared" si="0"/>
        <v/>
      </c>
      <c r="D19" s="24"/>
      <c r="E19" s="23" t="str">
        <f t="shared" si="1"/>
        <v/>
      </c>
      <c r="F19" s="22"/>
      <c r="G19" s="23" t="str">
        <f t="shared" si="2"/>
        <v/>
      </c>
      <c r="H19" s="22"/>
      <c r="I19" s="23" t="str">
        <f t="shared" si="3"/>
        <v/>
      </c>
      <c r="J19" s="22"/>
      <c r="K19" s="23" t="str">
        <f t="shared" si="4"/>
        <v/>
      </c>
      <c r="L19" s="25"/>
      <c r="M19" s="25"/>
      <c r="N19" s="25"/>
      <c r="O19" s="23" t="str">
        <f t="shared" si="5"/>
        <v/>
      </c>
      <c r="P19" s="26" t="str">
        <f t="shared" si="6"/>
        <v/>
      </c>
      <c r="Q19" s="19" t="str">
        <f t="shared" si="7"/>
        <v/>
      </c>
    </row>
    <row r="20" spans="1:17" x14ac:dyDescent="0.25">
      <c r="A20" s="21">
        <v>4</v>
      </c>
      <c r="B20" s="22"/>
      <c r="C20" s="23" t="str">
        <f t="shared" si="0"/>
        <v/>
      </c>
      <c r="D20" s="24"/>
      <c r="E20" s="23" t="str">
        <f t="shared" si="1"/>
        <v/>
      </c>
      <c r="F20" s="22"/>
      <c r="G20" s="23" t="str">
        <f t="shared" si="2"/>
        <v/>
      </c>
      <c r="H20" s="22"/>
      <c r="I20" s="23" t="str">
        <f t="shared" si="3"/>
        <v/>
      </c>
      <c r="J20" s="22"/>
      <c r="K20" s="23" t="str">
        <f t="shared" si="4"/>
        <v/>
      </c>
      <c r="L20" s="25"/>
      <c r="M20" s="25"/>
      <c r="N20" s="25"/>
      <c r="O20" s="23" t="str">
        <f t="shared" si="5"/>
        <v/>
      </c>
      <c r="P20" s="26" t="str">
        <f t="shared" si="6"/>
        <v/>
      </c>
      <c r="Q20" s="19" t="str">
        <f t="shared" si="7"/>
        <v/>
      </c>
    </row>
    <row r="21" spans="1:17" x14ac:dyDescent="0.25">
      <c r="A21" s="21">
        <v>5</v>
      </c>
      <c r="B21" s="22"/>
      <c r="C21" s="23" t="str">
        <f t="shared" si="0"/>
        <v/>
      </c>
      <c r="D21" s="24"/>
      <c r="E21" s="23" t="str">
        <f t="shared" si="1"/>
        <v/>
      </c>
      <c r="F21" s="22"/>
      <c r="G21" s="23" t="str">
        <f t="shared" si="2"/>
        <v/>
      </c>
      <c r="H21" s="22"/>
      <c r="I21" s="23" t="str">
        <f t="shared" si="3"/>
        <v/>
      </c>
      <c r="J21" s="22"/>
      <c r="K21" s="23" t="str">
        <f t="shared" si="4"/>
        <v/>
      </c>
      <c r="L21" s="25"/>
      <c r="M21" s="25"/>
      <c r="N21" s="25"/>
      <c r="O21" s="23" t="str">
        <f t="shared" si="5"/>
        <v/>
      </c>
      <c r="P21" s="26" t="str">
        <f t="shared" si="6"/>
        <v/>
      </c>
      <c r="Q21" s="19" t="str">
        <f t="shared" si="7"/>
        <v/>
      </c>
    </row>
    <row r="22" spans="1:17" x14ac:dyDescent="0.25">
      <c r="A22" s="21">
        <v>6</v>
      </c>
      <c r="B22" s="22"/>
      <c r="C22" s="23" t="str">
        <f t="shared" si="0"/>
        <v/>
      </c>
      <c r="D22" s="24"/>
      <c r="E22" s="23" t="str">
        <f t="shared" si="1"/>
        <v/>
      </c>
      <c r="F22" s="22"/>
      <c r="G22" s="23" t="str">
        <f t="shared" si="2"/>
        <v/>
      </c>
      <c r="H22" s="22"/>
      <c r="I22" s="23" t="str">
        <f t="shared" si="3"/>
        <v/>
      </c>
      <c r="J22" s="22"/>
      <c r="K22" s="23" t="str">
        <f t="shared" si="4"/>
        <v/>
      </c>
      <c r="L22" s="25"/>
      <c r="M22" s="25"/>
      <c r="N22" s="25"/>
      <c r="O22" s="23" t="str">
        <f t="shared" si="5"/>
        <v/>
      </c>
      <c r="P22" s="26" t="str">
        <f t="shared" si="6"/>
        <v/>
      </c>
      <c r="Q22" s="19" t="str">
        <f t="shared" si="7"/>
        <v/>
      </c>
    </row>
    <row r="23" spans="1:17" x14ac:dyDescent="0.25">
      <c r="A23" s="21">
        <v>7</v>
      </c>
      <c r="B23" s="22"/>
      <c r="C23" s="23" t="str">
        <f t="shared" si="0"/>
        <v/>
      </c>
      <c r="D23" s="24"/>
      <c r="E23" s="23" t="str">
        <f t="shared" si="1"/>
        <v/>
      </c>
      <c r="F23" s="22"/>
      <c r="G23" s="23" t="str">
        <f t="shared" si="2"/>
        <v/>
      </c>
      <c r="H23" s="22"/>
      <c r="I23" s="23" t="str">
        <f t="shared" si="3"/>
        <v/>
      </c>
      <c r="J23" s="22"/>
      <c r="K23" s="23" t="str">
        <f t="shared" si="4"/>
        <v/>
      </c>
      <c r="L23" s="25"/>
      <c r="M23" s="25"/>
      <c r="N23" s="25"/>
      <c r="O23" s="23" t="str">
        <f t="shared" si="5"/>
        <v/>
      </c>
      <c r="P23" s="26" t="str">
        <f t="shared" si="6"/>
        <v/>
      </c>
      <c r="Q23" s="19" t="str">
        <f t="shared" si="7"/>
        <v/>
      </c>
    </row>
    <row r="24" spans="1:17" x14ac:dyDescent="0.25">
      <c r="A24" s="21">
        <v>8</v>
      </c>
      <c r="B24" s="22"/>
      <c r="C24" s="23" t="str">
        <f t="shared" si="0"/>
        <v/>
      </c>
      <c r="D24" s="24"/>
      <c r="E24" s="23" t="str">
        <f t="shared" si="1"/>
        <v/>
      </c>
      <c r="F24" s="22"/>
      <c r="G24" s="23" t="str">
        <f t="shared" si="2"/>
        <v/>
      </c>
      <c r="H24" s="22"/>
      <c r="I24" s="23" t="str">
        <f t="shared" si="3"/>
        <v/>
      </c>
      <c r="J24" s="22"/>
      <c r="K24" s="23" t="str">
        <f t="shared" si="4"/>
        <v/>
      </c>
      <c r="L24" s="25"/>
      <c r="M24" s="25"/>
      <c r="N24" s="25"/>
      <c r="O24" s="23" t="str">
        <f t="shared" si="5"/>
        <v/>
      </c>
      <c r="P24" s="26" t="str">
        <f t="shared" si="6"/>
        <v/>
      </c>
      <c r="Q24" s="19" t="str">
        <f t="shared" si="7"/>
        <v/>
      </c>
    </row>
    <row r="25" spans="1:17" x14ac:dyDescent="0.25">
      <c r="A25" s="21">
        <v>9</v>
      </c>
      <c r="B25" s="22"/>
      <c r="C25" s="23" t="str">
        <f t="shared" si="0"/>
        <v/>
      </c>
      <c r="D25" s="24"/>
      <c r="E25" s="23" t="str">
        <f t="shared" si="1"/>
        <v/>
      </c>
      <c r="F25" s="22"/>
      <c r="G25" s="23" t="str">
        <f t="shared" si="2"/>
        <v/>
      </c>
      <c r="H25" s="22"/>
      <c r="I25" s="23" t="str">
        <f t="shared" si="3"/>
        <v/>
      </c>
      <c r="J25" s="22"/>
      <c r="K25" s="23" t="str">
        <f t="shared" si="4"/>
        <v/>
      </c>
      <c r="L25" s="25"/>
      <c r="M25" s="25"/>
      <c r="N25" s="25"/>
      <c r="O25" s="23" t="str">
        <f t="shared" si="5"/>
        <v/>
      </c>
      <c r="P25" s="26" t="str">
        <f t="shared" si="6"/>
        <v/>
      </c>
      <c r="Q25" s="19" t="str">
        <f t="shared" si="7"/>
        <v/>
      </c>
    </row>
    <row r="26" spans="1:17" x14ac:dyDescent="0.25">
      <c r="A26" s="21">
        <v>10</v>
      </c>
      <c r="B26" s="22"/>
      <c r="C26" s="23" t="str">
        <f t="shared" si="0"/>
        <v/>
      </c>
      <c r="D26" s="24"/>
      <c r="E26" s="23" t="str">
        <f t="shared" si="1"/>
        <v/>
      </c>
      <c r="F26" s="22"/>
      <c r="G26" s="23" t="str">
        <f t="shared" si="2"/>
        <v/>
      </c>
      <c r="H26" s="22"/>
      <c r="I26" s="23" t="str">
        <f t="shared" si="3"/>
        <v/>
      </c>
      <c r="J26" s="22"/>
      <c r="K26" s="23" t="str">
        <f t="shared" si="4"/>
        <v/>
      </c>
      <c r="L26" s="25"/>
      <c r="M26" s="25"/>
      <c r="N26" s="25"/>
      <c r="O26" s="23" t="str">
        <f t="shared" si="5"/>
        <v/>
      </c>
      <c r="P26" s="26" t="str">
        <f t="shared" si="6"/>
        <v/>
      </c>
      <c r="Q26" s="19" t="str">
        <f t="shared" si="7"/>
        <v/>
      </c>
    </row>
    <row r="27" spans="1:17" x14ac:dyDescent="0.25">
      <c r="A27" s="21">
        <v>11</v>
      </c>
      <c r="B27" s="22"/>
      <c r="C27" s="23" t="str">
        <f t="shared" si="0"/>
        <v/>
      </c>
      <c r="D27" s="24"/>
      <c r="E27" s="23" t="str">
        <f t="shared" si="1"/>
        <v/>
      </c>
      <c r="F27" s="22"/>
      <c r="G27" s="23" t="str">
        <f t="shared" si="2"/>
        <v/>
      </c>
      <c r="H27" s="22"/>
      <c r="I27" s="23" t="str">
        <f t="shared" si="3"/>
        <v/>
      </c>
      <c r="J27" s="22"/>
      <c r="K27" s="23" t="str">
        <f t="shared" si="4"/>
        <v/>
      </c>
      <c r="L27" s="25"/>
      <c r="M27" s="25"/>
      <c r="N27" s="25"/>
      <c r="O27" s="23" t="str">
        <f t="shared" si="5"/>
        <v/>
      </c>
      <c r="P27" s="26" t="str">
        <f t="shared" si="6"/>
        <v/>
      </c>
      <c r="Q27" s="19" t="str">
        <f t="shared" si="7"/>
        <v/>
      </c>
    </row>
    <row r="28" spans="1:17" x14ac:dyDescent="0.25">
      <c r="A28" s="21">
        <v>12</v>
      </c>
      <c r="B28" s="22"/>
      <c r="C28" s="23" t="str">
        <f t="shared" si="0"/>
        <v/>
      </c>
      <c r="D28" s="24"/>
      <c r="E28" s="23" t="str">
        <f t="shared" si="1"/>
        <v/>
      </c>
      <c r="F28" s="22"/>
      <c r="G28" s="23" t="str">
        <f t="shared" si="2"/>
        <v/>
      </c>
      <c r="H28" s="22"/>
      <c r="I28" s="23" t="str">
        <f t="shared" si="3"/>
        <v/>
      </c>
      <c r="J28" s="22"/>
      <c r="K28" s="23" t="str">
        <f t="shared" si="4"/>
        <v/>
      </c>
      <c r="L28" s="25"/>
      <c r="M28" s="25"/>
      <c r="N28" s="25"/>
      <c r="O28" s="23" t="str">
        <f t="shared" si="5"/>
        <v/>
      </c>
      <c r="P28" s="26" t="str">
        <f t="shared" si="6"/>
        <v/>
      </c>
      <c r="Q28" s="19" t="str">
        <f t="shared" si="7"/>
        <v/>
      </c>
    </row>
    <row r="29" spans="1:17" x14ac:dyDescent="0.25">
      <c r="A29" s="21">
        <v>13</v>
      </c>
      <c r="B29" s="22"/>
      <c r="C29" s="23" t="str">
        <f t="shared" si="0"/>
        <v/>
      </c>
      <c r="D29" s="24"/>
      <c r="E29" s="23" t="str">
        <f t="shared" si="1"/>
        <v/>
      </c>
      <c r="F29" s="22"/>
      <c r="G29" s="23" t="str">
        <f t="shared" si="2"/>
        <v/>
      </c>
      <c r="H29" s="22"/>
      <c r="I29" s="23" t="str">
        <f t="shared" si="3"/>
        <v/>
      </c>
      <c r="J29" s="22"/>
      <c r="K29" s="23" t="str">
        <f t="shared" si="4"/>
        <v/>
      </c>
      <c r="L29" s="25"/>
      <c r="M29" s="25"/>
      <c r="N29" s="25"/>
      <c r="O29" s="23" t="str">
        <f t="shared" si="5"/>
        <v/>
      </c>
      <c r="P29" s="26" t="str">
        <f t="shared" si="6"/>
        <v/>
      </c>
      <c r="Q29" s="19" t="str">
        <f t="shared" si="7"/>
        <v/>
      </c>
    </row>
    <row r="30" spans="1:17" x14ac:dyDescent="0.25">
      <c r="A30" s="21">
        <v>14</v>
      </c>
      <c r="B30" s="22"/>
      <c r="C30" s="23" t="str">
        <f t="shared" si="0"/>
        <v/>
      </c>
      <c r="D30" s="24"/>
      <c r="E30" s="23" t="str">
        <f t="shared" si="1"/>
        <v/>
      </c>
      <c r="F30" s="22"/>
      <c r="G30" s="23" t="str">
        <f t="shared" si="2"/>
        <v/>
      </c>
      <c r="H30" s="22"/>
      <c r="I30" s="23" t="str">
        <f t="shared" si="3"/>
        <v/>
      </c>
      <c r="J30" s="22"/>
      <c r="K30" s="23" t="str">
        <f t="shared" si="4"/>
        <v/>
      </c>
      <c r="L30" s="25"/>
      <c r="M30" s="25"/>
      <c r="N30" s="25"/>
      <c r="O30" s="23" t="str">
        <f t="shared" si="5"/>
        <v/>
      </c>
      <c r="P30" s="26" t="str">
        <f t="shared" si="6"/>
        <v/>
      </c>
      <c r="Q30" s="19" t="str">
        <f t="shared" si="7"/>
        <v/>
      </c>
    </row>
    <row r="31" spans="1:17" x14ac:dyDescent="0.25">
      <c r="A31" s="21">
        <v>15</v>
      </c>
      <c r="B31" s="22"/>
      <c r="C31" s="23" t="str">
        <f t="shared" si="0"/>
        <v/>
      </c>
      <c r="D31" s="24"/>
      <c r="E31" s="23" t="str">
        <f t="shared" si="1"/>
        <v/>
      </c>
      <c r="F31" s="22"/>
      <c r="G31" s="23" t="str">
        <f t="shared" si="2"/>
        <v/>
      </c>
      <c r="H31" s="22"/>
      <c r="I31" s="23" t="str">
        <f t="shared" si="3"/>
        <v/>
      </c>
      <c r="J31" s="22"/>
      <c r="K31" s="23" t="str">
        <f t="shared" si="4"/>
        <v/>
      </c>
      <c r="L31" s="25"/>
      <c r="M31" s="25"/>
      <c r="N31" s="25"/>
      <c r="O31" s="23" t="str">
        <f t="shared" si="5"/>
        <v/>
      </c>
      <c r="P31" s="26" t="str">
        <f t="shared" si="6"/>
        <v/>
      </c>
      <c r="Q31" s="19" t="str">
        <f t="shared" si="7"/>
        <v/>
      </c>
    </row>
    <row r="34" spans="1:17" ht="21.95" customHeight="1" x14ac:dyDescent="0.25">
      <c r="A34" s="41" t="s">
        <v>700</v>
      </c>
      <c r="B34" s="42"/>
      <c r="C34" s="42"/>
      <c r="D34" s="42"/>
      <c r="E34" s="42"/>
      <c r="F34" s="42"/>
      <c r="G34" s="42"/>
      <c r="H34" s="42"/>
      <c r="I34" s="42"/>
      <c r="J34" s="42"/>
      <c r="K34" s="42"/>
      <c r="L34" s="42"/>
      <c r="M34" s="42"/>
      <c r="N34" s="42"/>
      <c r="O34" s="42"/>
      <c r="P34" s="42"/>
      <c r="Q34" s="42"/>
    </row>
    <row r="36" spans="1:17" ht="24" customHeight="1" x14ac:dyDescent="0.25">
      <c r="A36" s="44" t="s">
        <v>776</v>
      </c>
      <c r="B36" s="33"/>
      <c r="C36" s="33"/>
      <c r="D36" s="33"/>
      <c r="E36" s="33"/>
      <c r="F36" s="33"/>
      <c r="G36" s="33"/>
      <c r="H36" s="33"/>
      <c r="I36" s="33"/>
      <c r="J36" s="33"/>
      <c r="K36" s="33"/>
      <c r="L36" s="33"/>
      <c r="M36" s="33"/>
      <c r="N36" s="33"/>
      <c r="O36" s="33"/>
      <c r="P36" s="33"/>
      <c r="Q36" s="33"/>
    </row>
    <row r="37" spans="1:17" ht="51" customHeight="1" x14ac:dyDescent="0.25">
      <c r="A37" s="40" t="s">
        <v>702</v>
      </c>
      <c r="B37" s="33"/>
      <c r="C37" s="33"/>
      <c r="D37" s="33"/>
      <c r="E37" s="33"/>
      <c r="F37" s="33"/>
      <c r="G37" s="33"/>
      <c r="H37" s="33"/>
      <c r="I37" s="33"/>
      <c r="J37" s="33"/>
      <c r="K37" s="33"/>
      <c r="L37" s="33"/>
      <c r="M37" s="33"/>
      <c r="N37" s="33"/>
      <c r="O37" s="33"/>
      <c r="P37" s="33"/>
      <c r="Q37" s="33"/>
    </row>
    <row r="39" spans="1:17" ht="18" customHeight="1" x14ac:dyDescent="0.25">
      <c r="A39" s="43" t="s">
        <v>777</v>
      </c>
      <c r="B39" s="33"/>
      <c r="C39" s="33"/>
      <c r="D39" s="33"/>
      <c r="E39" s="33"/>
      <c r="F39" s="33"/>
      <c r="G39" s="33"/>
      <c r="H39" s="33"/>
      <c r="I39" s="33"/>
      <c r="J39" s="33"/>
      <c r="K39" s="33"/>
      <c r="L39" s="33"/>
      <c r="M39" s="33"/>
      <c r="N39" s="33"/>
      <c r="O39" s="33"/>
      <c r="P39" s="33"/>
      <c r="Q39" s="33"/>
    </row>
    <row r="40" spans="1:17" ht="21" customHeight="1" x14ac:dyDescent="0.25">
      <c r="A40" s="40" t="s">
        <v>778</v>
      </c>
      <c r="B40" s="33"/>
      <c r="C40" s="33"/>
      <c r="D40" s="33"/>
      <c r="E40" s="33"/>
      <c r="F40" s="33"/>
      <c r="G40" s="33"/>
      <c r="H40" s="33"/>
      <c r="I40" s="33"/>
      <c r="J40" s="33"/>
      <c r="K40" s="33"/>
      <c r="L40" s="33"/>
      <c r="M40" s="33"/>
      <c r="N40" s="33"/>
      <c r="O40" s="33"/>
      <c r="P40" s="33"/>
      <c r="Q40" s="33"/>
    </row>
    <row r="43" spans="1:17" ht="21.95" customHeight="1" x14ac:dyDescent="0.25">
      <c r="A43" s="41" t="s">
        <v>779</v>
      </c>
      <c r="B43" s="42"/>
      <c r="C43" s="42"/>
      <c r="D43" s="42"/>
      <c r="E43" s="42"/>
      <c r="F43" s="42"/>
      <c r="G43" s="42"/>
      <c r="H43" s="42"/>
      <c r="I43" s="42"/>
      <c r="J43" s="42"/>
      <c r="K43" s="42"/>
      <c r="L43" s="42"/>
      <c r="M43" s="42"/>
      <c r="N43" s="42"/>
      <c r="O43" s="42"/>
      <c r="P43" s="42"/>
      <c r="Q43" s="42"/>
    </row>
    <row r="44" spans="1:17" ht="15.95" customHeight="1" x14ac:dyDescent="0.25">
      <c r="A44" s="39" t="s">
        <v>780</v>
      </c>
      <c r="B44" s="33"/>
      <c r="C44" s="33"/>
      <c r="D44" s="33"/>
      <c r="E44" s="33"/>
      <c r="F44" s="33"/>
      <c r="G44" s="33"/>
      <c r="H44" s="33"/>
      <c r="I44" s="33"/>
      <c r="J44" s="33"/>
      <c r="K44" s="33"/>
      <c r="L44" s="33"/>
      <c r="M44" s="33"/>
      <c r="N44" s="33"/>
      <c r="O44" s="33"/>
      <c r="P44" s="33"/>
      <c r="Q44" s="33"/>
    </row>
    <row r="46" spans="1:17" ht="18" customHeight="1" x14ac:dyDescent="0.25">
      <c r="A46" s="43" t="s">
        <v>781</v>
      </c>
      <c r="B46" s="33"/>
      <c r="C46" s="33"/>
      <c r="D46" s="33"/>
      <c r="E46" s="33"/>
      <c r="F46" s="33"/>
      <c r="G46" s="33"/>
      <c r="H46" s="33"/>
      <c r="I46" s="33"/>
      <c r="J46" s="33"/>
      <c r="K46" s="33"/>
      <c r="L46" s="33"/>
      <c r="M46" s="33"/>
      <c r="N46" s="33"/>
      <c r="O46" s="33"/>
      <c r="P46" s="33"/>
      <c r="Q46" s="33"/>
    </row>
    <row r="47" spans="1:17" ht="21" customHeight="1" x14ac:dyDescent="0.25">
      <c r="A47" s="40" t="s">
        <v>782</v>
      </c>
      <c r="B47" s="33"/>
      <c r="C47" s="33"/>
      <c r="D47" s="33"/>
      <c r="E47" s="33"/>
      <c r="F47" s="33"/>
      <c r="G47" s="33"/>
      <c r="H47" s="33"/>
      <c r="I47" s="33"/>
      <c r="J47" s="33"/>
      <c r="K47" s="33"/>
      <c r="L47" s="33"/>
      <c r="M47" s="33"/>
      <c r="N47" s="33"/>
      <c r="O47" s="33"/>
      <c r="P47" s="33"/>
      <c r="Q47" s="33"/>
    </row>
    <row r="48" spans="1:17" ht="6" customHeight="1" x14ac:dyDescent="0.25"/>
    <row r="49" spans="1:17" ht="18" customHeight="1" x14ac:dyDescent="0.25">
      <c r="A49" s="43" t="s">
        <v>783</v>
      </c>
      <c r="B49" s="33"/>
      <c r="C49" s="33"/>
      <c r="D49" s="33"/>
      <c r="E49" s="33"/>
      <c r="F49" s="33"/>
      <c r="G49" s="33"/>
      <c r="H49" s="33"/>
      <c r="I49" s="33"/>
      <c r="J49" s="33"/>
      <c r="K49" s="33"/>
      <c r="L49" s="33"/>
      <c r="M49" s="33"/>
      <c r="N49" s="33"/>
      <c r="O49" s="33"/>
      <c r="P49" s="33"/>
      <c r="Q49" s="33"/>
    </row>
    <row r="50" spans="1:17" ht="21" customHeight="1" x14ac:dyDescent="0.25">
      <c r="A50" s="40" t="s">
        <v>784</v>
      </c>
      <c r="B50" s="33"/>
      <c r="C50" s="33"/>
      <c r="D50" s="33"/>
      <c r="E50" s="33"/>
      <c r="F50" s="33"/>
      <c r="G50" s="33"/>
      <c r="H50" s="33"/>
      <c r="I50" s="33"/>
      <c r="J50" s="33"/>
      <c r="K50" s="33"/>
      <c r="L50" s="33"/>
      <c r="M50" s="33"/>
      <c r="N50" s="33"/>
      <c r="O50" s="33"/>
      <c r="P50" s="33"/>
      <c r="Q50" s="33"/>
    </row>
    <row r="51" spans="1:17" ht="6" customHeight="1" x14ac:dyDescent="0.25"/>
    <row r="52" spans="1:17" ht="18" customHeight="1" x14ac:dyDescent="0.25">
      <c r="A52" s="43" t="s">
        <v>785</v>
      </c>
      <c r="B52" s="33"/>
      <c r="C52" s="33"/>
      <c r="D52" s="33"/>
      <c r="E52" s="33"/>
      <c r="F52" s="33"/>
      <c r="G52" s="33"/>
      <c r="H52" s="33"/>
      <c r="I52" s="33"/>
      <c r="J52" s="33"/>
      <c r="K52" s="33"/>
      <c r="L52" s="33"/>
      <c r="M52" s="33"/>
      <c r="N52" s="33"/>
      <c r="O52" s="33"/>
      <c r="P52" s="33"/>
      <c r="Q52" s="33"/>
    </row>
    <row r="53" spans="1:17" ht="36" customHeight="1" x14ac:dyDescent="0.25">
      <c r="A53" s="40" t="s">
        <v>786</v>
      </c>
      <c r="B53" s="33"/>
      <c r="C53" s="33"/>
      <c r="D53" s="33"/>
      <c r="E53" s="33"/>
      <c r="F53" s="33"/>
      <c r="G53" s="33"/>
      <c r="H53" s="33"/>
      <c r="I53" s="33"/>
      <c r="J53" s="33"/>
      <c r="K53" s="33"/>
      <c r="L53" s="33"/>
      <c r="M53" s="33"/>
      <c r="N53" s="33"/>
      <c r="O53" s="33"/>
      <c r="P53" s="33"/>
      <c r="Q53" s="33"/>
    </row>
    <row r="54" spans="1:17" ht="6" customHeight="1" x14ac:dyDescent="0.25"/>
    <row r="55" spans="1:17" ht="18" customHeight="1" x14ac:dyDescent="0.25">
      <c r="A55" s="43" t="s">
        <v>711</v>
      </c>
      <c r="B55" s="33"/>
      <c r="C55" s="33"/>
      <c r="D55" s="33"/>
      <c r="E55" s="33"/>
      <c r="F55" s="33"/>
      <c r="G55" s="33"/>
      <c r="H55" s="33"/>
      <c r="I55" s="33"/>
      <c r="J55" s="33"/>
      <c r="K55" s="33"/>
      <c r="L55" s="33"/>
      <c r="M55" s="33"/>
      <c r="N55" s="33"/>
      <c r="O55" s="33"/>
      <c r="P55" s="33"/>
      <c r="Q55" s="33"/>
    </row>
    <row r="56" spans="1:17" ht="51" customHeight="1" x14ac:dyDescent="0.25">
      <c r="A56" s="40" t="s">
        <v>712</v>
      </c>
      <c r="B56" s="33"/>
      <c r="C56" s="33"/>
      <c r="D56" s="33"/>
      <c r="E56" s="33"/>
      <c r="F56" s="33"/>
      <c r="G56" s="33"/>
      <c r="H56" s="33"/>
      <c r="I56" s="33"/>
      <c r="J56" s="33"/>
      <c r="K56" s="33"/>
      <c r="L56" s="33"/>
      <c r="M56" s="33"/>
      <c r="N56" s="33"/>
      <c r="O56" s="33"/>
      <c r="P56" s="33"/>
      <c r="Q56" s="33"/>
    </row>
    <row r="57" spans="1:17" ht="6" customHeight="1" x14ac:dyDescent="0.25"/>
    <row r="58" spans="1:17" ht="18" customHeight="1" x14ac:dyDescent="0.25">
      <c r="A58" s="43" t="s">
        <v>659</v>
      </c>
      <c r="B58" s="33"/>
      <c r="C58" s="33"/>
      <c r="D58" s="33"/>
      <c r="E58" s="33"/>
      <c r="F58" s="33"/>
      <c r="G58" s="33"/>
      <c r="H58" s="33"/>
      <c r="I58" s="33"/>
      <c r="J58" s="33"/>
      <c r="K58" s="33"/>
      <c r="L58" s="33"/>
      <c r="M58" s="33"/>
      <c r="N58" s="33"/>
      <c r="O58" s="33"/>
      <c r="P58" s="33"/>
      <c r="Q58" s="33"/>
    </row>
    <row r="59" spans="1:17" ht="36" customHeight="1" x14ac:dyDescent="0.25">
      <c r="A59" s="40" t="s">
        <v>787</v>
      </c>
      <c r="B59" s="33"/>
      <c r="C59" s="33"/>
      <c r="D59" s="33"/>
      <c r="E59" s="33"/>
      <c r="F59" s="33"/>
      <c r="G59" s="33"/>
      <c r="H59" s="33"/>
      <c r="I59" s="33"/>
      <c r="J59" s="33"/>
      <c r="K59" s="33"/>
      <c r="L59" s="33"/>
      <c r="M59" s="33"/>
      <c r="N59" s="33"/>
      <c r="O59" s="33"/>
      <c r="P59" s="33"/>
      <c r="Q59" s="33"/>
    </row>
    <row r="60" spans="1:17" ht="6" customHeight="1" x14ac:dyDescent="0.25"/>
    <row r="61" spans="1:17" ht="18" customHeight="1" x14ac:dyDescent="0.25">
      <c r="A61" s="43" t="s">
        <v>62</v>
      </c>
      <c r="B61" s="33"/>
      <c r="C61" s="33"/>
      <c r="D61" s="33"/>
      <c r="E61" s="33"/>
      <c r="F61" s="33"/>
      <c r="G61" s="33"/>
      <c r="H61" s="33"/>
      <c r="I61" s="33"/>
      <c r="J61" s="33"/>
      <c r="K61" s="33"/>
      <c r="L61" s="33"/>
      <c r="M61" s="33"/>
      <c r="N61" s="33"/>
      <c r="O61" s="33"/>
      <c r="P61" s="33"/>
      <c r="Q61" s="33"/>
    </row>
    <row r="62" spans="1:17" ht="51" customHeight="1" x14ac:dyDescent="0.25">
      <c r="A62" s="40" t="s">
        <v>788</v>
      </c>
      <c r="B62" s="33"/>
      <c r="C62" s="33"/>
      <c r="D62" s="33"/>
      <c r="E62" s="33"/>
      <c r="F62" s="33"/>
      <c r="G62" s="33"/>
      <c r="H62" s="33"/>
      <c r="I62" s="33"/>
      <c r="J62" s="33"/>
      <c r="K62" s="33"/>
      <c r="L62" s="33"/>
      <c r="M62" s="33"/>
      <c r="N62" s="33"/>
      <c r="O62" s="33"/>
      <c r="P62" s="33"/>
      <c r="Q62" s="33"/>
    </row>
    <row r="63" spans="1:17" ht="6" customHeight="1" x14ac:dyDescent="0.25"/>
    <row r="66" spans="1:17" ht="21.95" customHeight="1" x14ac:dyDescent="0.25">
      <c r="A66" s="41" t="s">
        <v>715</v>
      </c>
      <c r="B66" s="42"/>
      <c r="C66" s="42"/>
      <c r="D66" s="42"/>
      <c r="E66" s="42"/>
      <c r="F66" s="42"/>
      <c r="G66" s="42"/>
      <c r="H66" s="42"/>
      <c r="I66" s="42"/>
      <c r="J66" s="42"/>
      <c r="K66" s="42"/>
      <c r="L66" s="42"/>
      <c r="M66" s="42"/>
      <c r="N66" s="42"/>
      <c r="O66" s="42"/>
      <c r="P66" s="42"/>
      <c r="Q66" s="42"/>
    </row>
    <row r="68" spans="1:17" ht="18" customHeight="1" x14ac:dyDescent="0.25">
      <c r="A68" s="43" t="s">
        <v>85</v>
      </c>
      <c r="B68" s="33"/>
      <c r="C68" s="33"/>
      <c r="D68" s="33"/>
      <c r="E68" s="33"/>
      <c r="F68" s="33"/>
      <c r="G68" s="33"/>
      <c r="H68" s="33"/>
      <c r="I68" s="33"/>
      <c r="J68" s="33"/>
      <c r="K68" s="33"/>
      <c r="L68" s="33"/>
      <c r="M68" s="33"/>
      <c r="N68" s="33"/>
      <c r="O68" s="33"/>
      <c r="P68" s="33"/>
      <c r="Q68" s="33"/>
    </row>
    <row r="69" spans="1:17" ht="21" customHeight="1" x14ac:dyDescent="0.25">
      <c r="A69" s="40" t="s">
        <v>716</v>
      </c>
      <c r="B69" s="33"/>
      <c r="C69" s="33"/>
      <c r="D69" s="33"/>
      <c r="E69" s="33"/>
      <c r="F69" s="33"/>
      <c r="G69" s="33"/>
      <c r="H69" s="33"/>
      <c r="I69" s="33"/>
      <c r="J69" s="33"/>
      <c r="K69" s="33"/>
      <c r="L69" s="33"/>
      <c r="M69" s="33"/>
      <c r="N69" s="33"/>
      <c r="O69" s="33"/>
      <c r="P69" s="33"/>
      <c r="Q69" s="33"/>
    </row>
    <row r="70" spans="1:17" ht="6" customHeight="1" x14ac:dyDescent="0.25"/>
    <row r="71" spans="1:17" ht="18" customHeight="1" x14ac:dyDescent="0.25">
      <c r="A71" s="43" t="s">
        <v>97</v>
      </c>
      <c r="B71" s="33"/>
      <c r="C71" s="33"/>
      <c r="D71" s="33"/>
      <c r="E71" s="33"/>
      <c r="F71" s="33"/>
      <c r="G71" s="33"/>
      <c r="H71" s="33"/>
      <c r="I71" s="33"/>
      <c r="J71" s="33"/>
      <c r="K71" s="33"/>
      <c r="L71" s="33"/>
      <c r="M71" s="33"/>
      <c r="N71" s="33"/>
      <c r="O71" s="33"/>
      <c r="P71" s="33"/>
      <c r="Q71" s="33"/>
    </row>
    <row r="72" spans="1:17" ht="36" customHeight="1" x14ac:dyDescent="0.25">
      <c r="A72" s="40" t="s">
        <v>717</v>
      </c>
      <c r="B72" s="33"/>
      <c r="C72" s="33"/>
      <c r="D72" s="33"/>
      <c r="E72" s="33"/>
      <c r="F72" s="33"/>
      <c r="G72" s="33"/>
      <c r="H72" s="33"/>
      <c r="I72" s="33"/>
      <c r="J72" s="33"/>
      <c r="K72" s="33"/>
      <c r="L72" s="33"/>
      <c r="M72" s="33"/>
      <c r="N72" s="33"/>
      <c r="O72" s="33"/>
      <c r="P72" s="33"/>
      <c r="Q72" s="33"/>
    </row>
    <row r="73" spans="1:17" ht="6" customHeight="1" x14ac:dyDescent="0.25"/>
    <row r="74" spans="1:17" ht="18" customHeight="1" x14ac:dyDescent="0.25">
      <c r="A74" s="43" t="s">
        <v>657</v>
      </c>
      <c r="B74" s="33"/>
      <c r="C74" s="33"/>
      <c r="D74" s="33"/>
      <c r="E74" s="33"/>
      <c r="F74" s="33"/>
      <c r="G74" s="33"/>
      <c r="H74" s="33"/>
      <c r="I74" s="33"/>
      <c r="J74" s="33"/>
      <c r="K74" s="33"/>
      <c r="L74" s="33"/>
      <c r="M74" s="33"/>
      <c r="N74" s="33"/>
      <c r="O74" s="33"/>
      <c r="P74" s="33"/>
      <c r="Q74" s="33"/>
    </row>
    <row r="75" spans="1:17" ht="21" customHeight="1" x14ac:dyDescent="0.25">
      <c r="A75" s="40" t="s">
        <v>718</v>
      </c>
      <c r="B75" s="33"/>
      <c r="C75" s="33"/>
      <c r="D75" s="33"/>
      <c r="E75" s="33"/>
      <c r="F75" s="33"/>
      <c r="G75" s="33"/>
      <c r="H75" s="33"/>
      <c r="I75" s="33"/>
      <c r="J75" s="33"/>
      <c r="K75" s="33"/>
      <c r="L75" s="33"/>
      <c r="M75" s="33"/>
      <c r="N75" s="33"/>
      <c r="O75" s="33"/>
      <c r="P75" s="33"/>
      <c r="Q75" s="33"/>
    </row>
    <row r="76" spans="1:17" ht="6" customHeight="1" x14ac:dyDescent="0.25"/>
    <row r="77" spans="1:17" ht="18" customHeight="1" x14ac:dyDescent="0.25">
      <c r="A77" s="43" t="s">
        <v>659</v>
      </c>
      <c r="B77" s="33"/>
      <c r="C77" s="33"/>
      <c r="D77" s="33"/>
      <c r="E77" s="33"/>
      <c r="F77" s="33"/>
      <c r="G77" s="33"/>
      <c r="H77" s="33"/>
      <c r="I77" s="33"/>
      <c r="J77" s="33"/>
      <c r="K77" s="33"/>
      <c r="L77" s="33"/>
      <c r="M77" s="33"/>
      <c r="N77" s="33"/>
      <c r="O77" s="33"/>
      <c r="P77" s="33"/>
      <c r="Q77" s="33"/>
    </row>
    <row r="78" spans="1:17" ht="36" customHeight="1" x14ac:dyDescent="0.25">
      <c r="A78" s="40" t="s">
        <v>789</v>
      </c>
      <c r="B78" s="33"/>
      <c r="C78" s="33"/>
      <c r="D78" s="33"/>
      <c r="E78" s="33"/>
      <c r="F78" s="33"/>
      <c r="G78" s="33"/>
      <c r="H78" s="33"/>
      <c r="I78" s="33"/>
      <c r="J78" s="33"/>
      <c r="K78" s="33"/>
      <c r="L78" s="33"/>
      <c r="M78" s="33"/>
      <c r="N78" s="33"/>
      <c r="O78" s="33"/>
      <c r="P78" s="33"/>
      <c r="Q78" s="33"/>
    </row>
    <row r="79" spans="1:17" ht="6" customHeight="1" x14ac:dyDescent="0.25"/>
    <row r="80" spans="1:17" ht="18" customHeight="1" x14ac:dyDescent="0.25">
      <c r="A80" s="43" t="s">
        <v>661</v>
      </c>
      <c r="B80" s="33"/>
      <c r="C80" s="33"/>
      <c r="D80" s="33"/>
      <c r="E80" s="33"/>
      <c r="F80" s="33"/>
      <c r="G80" s="33"/>
      <c r="H80" s="33"/>
      <c r="I80" s="33"/>
      <c r="J80" s="33"/>
      <c r="K80" s="33"/>
      <c r="L80" s="33"/>
      <c r="M80" s="33"/>
      <c r="N80" s="33"/>
      <c r="O80" s="33"/>
      <c r="P80" s="33"/>
      <c r="Q80" s="33"/>
    </row>
    <row r="81" spans="1:17" ht="21" customHeight="1" x14ac:dyDescent="0.25">
      <c r="A81" s="40" t="s">
        <v>790</v>
      </c>
      <c r="B81" s="33"/>
      <c r="C81" s="33"/>
      <c r="D81" s="33"/>
      <c r="E81" s="33"/>
      <c r="F81" s="33"/>
      <c r="G81" s="33"/>
      <c r="H81" s="33"/>
      <c r="I81" s="33"/>
      <c r="J81" s="33"/>
      <c r="K81" s="33"/>
      <c r="L81" s="33"/>
      <c r="M81" s="33"/>
      <c r="N81" s="33"/>
      <c r="O81" s="33"/>
      <c r="P81" s="33"/>
      <c r="Q81" s="33"/>
    </row>
    <row r="82" spans="1:17" ht="6" customHeight="1" x14ac:dyDescent="0.25"/>
    <row r="83" spans="1:17" ht="18" customHeight="1" x14ac:dyDescent="0.25">
      <c r="A83" s="43" t="s">
        <v>668</v>
      </c>
      <c r="B83" s="33"/>
      <c r="C83" s="33"/>
      <c r="D83" s="33"/>
      <c r="E83" s="33"/>
      <c r="F83" s="33"/>
      <c r="G83" s="33"/>
      <c r="H83" s="33"/>
      <c r="I83" s="33"/>
      <c r="J83" s="33"/>
      <c r="K83" s="33"/>
      <c r="L83" s="33"/>
      <c r="M83" s="33"/>
      <c r="N83" s="33"/>
      <c r="O83" s="33"/>
      <c r="P83" s="33"/>
      <c r="Q83" s="33"/>
    </row>
    <row r="84" spans="1:17" ht="21" customHeight="1" x14ac:dyDescent="0.25">
      <c r="A84" s="40" t="s">
        <v>725</v>
      </c>
      <c r="B84" s="33"/>
      <c r="C84" s="33"/>
      <c r="D84" s="33"/>
      <c r="E84" s="33"/>
      <c r="F84" s="33"/>
      <c r="G84" s="33"/>
      <c r="H84" s="33"/>
      <c r="I84" s="33"/>
      <c r="J84" s="33"/>
      <c r="K84" s="33"/>
      <c r="L84" s="33"/>
      <c r="M84" s="33"/>
      <c r="N84" s="33"/>
      <c r="O84" s="33"/>
      <c r="P84" s="33"/>
      <c r="Q84" s="33"/>
    </row>
    <row r="85" spans="1:17" ht="6" customHeight="1" x14ac:dyDescent="0.25"/>
    <row r="86" spans="1:17" ht="18" customHeight="1" x14ac:dyDescent="0.25">
      <c r="A86" s="43" t="s">
        <v>669</v>
      </c>
      <c r="B86" s="33"/>
      <c r="C86" s="33"/>
      <c r="D86" s="33"/>
      <c r="E86" s="33"/>
      <c r="F86" s="33"/>
      <c r="G86" s="33"/>
      <c r="H86" s="33"/>
      <c r="I86" s="33"/>
      <c r="J86" s="33"/>
      <c r="K86" s="33"/>
      <c r="L86" s="33"/>
      <c r="M86" s="33"/>
      <c r="N86" s="33"/>
      <c r="O86" s="33"/>
      <c r="P86" s="33"/>
      <c r="Q86" s="33"/>
    </row>
    <row r="87" spans="1:17" ht="36" customHeight="1" x14ac:dyDescent="0.25">
      <c r="A87" s="40" t="s">
        <v>726</v>
      </c>
      <c r="B87" s="33"/>
      <c r="C87" s="33"/>
      <c r="D87" s="33"/>
      <c r="E87" s="33"/>
      <c r="F87" s="33"/>
      <c r="G87" s="33"/>
      <c r="H87" s="33"/>
      <c r="I87" s="33"/>
      <c r="J87" s="33"/>
      <c r="K87" s="33"/>
      <c r="L87" s="33"/>
      <c r="M87" s="33"/>
      <c r="N87" s="33"/>
      <c r="O87" s="33"/>
      <c r="P87" s="33"/>
      <c r="Q87" s="33"/>
    </row>
    <row r="88" spans="1:17" ht="6" customHeight="1" x14ac:dyDescent="0.25"/>
    <row r="89" spans="1:17" ht="18" customHeight="1" x14ac:dyDescent="0.25">
      <c r="A89" s="43" t="s">
        <v>670</v>
      </c>
      <c r="B89" s="33"/>
      <c r="C89" s="33"/>
      <c r="D89" s="33"/>
      <c r="E89" s="33"/>
      <c r="F89" s="33"/>
      <c r="G89" s="33"/>
      <c r="H89" s="33"/>
      <c r="I89" s="33"/>
      <c r="J89" s="33"/>
      <c r="K89" s="33"/>
      <c r="L89" s="33"/>
      <c r="M89" s="33"/>
      <c r="N89" s="33"/>
      <c r="O89" s="33"/>
      <c r="P89" s="33"/>
      <c r="Q89" s="33"/>
    </row>
    <row r="90" spans="1:17" ht="36" customHeight="1" x14ac:dyDescent="0.25">
      <c r="A90" s="40" t="s">
        <v>727</v>
      </c>
      <c r="B90" s="33"/>
      <c r="C90" s="33"/>
      <c r="D90" s="33"/>
      <c r="E90" s="33"/>
      <c r="F90" s="33"/>
      <c r="G90" s="33"/>
      <c r="H90" s="33"/>
      <c r="I90" s="33"/>
      <c r="J90" s="33"/>
      <c r="K90" s="33"/>
      <c r="L90" s="33"/>
      <c r="M90" s="33"/>
      <c r="N90" s="33"/>
      <c r="O90" s="33"/>
      <c r="P90" s="33"/>
      <c r="Q90" s="33"/>
    </row>
    <row r="91" spans="1:17" ht="6" customHeight="1" x14ac:dyDescent="0.25"/>
    <row r="94" spans="1:17" x14ac:dyDescent="0.25">
      <c r="A94" s="39" t="s">
        <v>728</v>
      </c>
      <c r="B94" s="33"/>
      <c r="C94" s="33"/>
      <c r="D94" s="33"/>
      <c r="E94" s="33"/>
      <c r="F94" s="33"/>
      <c r="G94" s="33"/>
      <c r="H94" s="33"/>
      <c r="I94" s="33"/>
      <c r="J94" s="33"/>
      <c r="K94" s="33"/>
      <c r="L94" s="33"/>
      <c r="M94" s="33"/>
      <c r="N94" s="33"/>
      <c r="O94" s="33"/>
      <c r="P94" s="33"/>
      <c r="Q94" s="33"/>
    </row>
  </sheetData>
  <mergeCells count="37">
    <mergeCell ref="A44:Q44"/>
    <mergeCell ref="A58:Q58"/>
    <mergeCell ref="A40:Q40"/>
    <mergeCell ref="A39:Q39"/>
    <mergeCell ref="A34:Q34"/>
    <mergeCell ref="A36:Q36"/>
    <mergeCell ref="A46:Q46"/>
    <mergeCell ref="A37:Q37"/>
    <mergeCell ref="A56:Q56"/>
    <mergeCell ref="A55:Q55"/>
    <mergeCell ref="A50:Q50"/>
    <mergeCell ref="A43:Q43"/>
    <mergeCell ref="A94:Q94"/>
    <mergeCell ref="A61:Q61"/>
    <mergeCell ref="A69:Q69"/>
    <mergeCell ref="A87:Q87"/>
    <mergeCell ref="A78:Q78"/>
    <mergeCell ref="A90:Q90"/>
    <mergeCell ref="A66:Q66"/>
    <mergeCell ref="A80:Q80"/>
    <mergeCell ref="A75:Q75"/>
    <mergeCell ref="A84:Q84"/>
    <mergeCell ref="A89:Q89"/>
    <mergeCell ref="A74:Q74"/>
    <mergeCell ref="A86:Q86"/>
    <mergeCell ref="A71:Q71"/>
    <mergeCell ref="A47:Q47"/>
    <mergeCell ref="A53:Q53"/>
    <mergeCell ref="A62:Q62"/>
    <mergeCell ref="A81:Q81"/>
    <mergeCell ref="A72:Q72"/>
    <mergeCell ref="A52:Q52"/>
    <mergeCell ref="A68:Q68"/>
    <mergeCell ref="A77:Q77"/>
    <mergeCell ref="A59:Q59"/>
    <mergeCell ref="A83:Q83"/>
    <mergeCell ref="A49:Q49"/>
  </mergeCells>
  <dataValidations count="8">
    <dataValidation type="list" allowBlank="1" errorTitle="Valore non valido" error="Selezionare dalla lista." promptTitle="Author" prompt="Autore della codifica." sqref="B6:B31" xr:uid="{00000000-0002-0000-0600-000000000000}">
      <formula1>Author_Name</formula1>
    </dataValidation>
    <dataValidation type="list" allowBlank="1" errorTitle="Valore non valido" error="Selezionare dalla lista, oppure lasciare vuoto." promptTitle="In Place" sqref="D6:D31" xr:uid="{00000000-0002-0000-0600-000001000000}">
      <formula1>InPl_Name</formula1>
    </dataValidation>
    <dataValidation type="list" allowBlank="1" errorTitle="Valore non valido" error="Selezionare dalla lista." promptTitle="Categoria" prompt="Categoria Revit della famiglia." sqref="F6:F31" xr:uid="{00000000-0002-0000-0600-000002000000}">
      <formula1>FN_Cat_Name</formula1>
    </dataValidation>
    <dataValidation type="list" allowBlank="1" errorTitle="Valore non valido" error="Selezionare dalla lista." promptTitle="Group1 — provenienza" sqref="H6:H31" xr:uid="{00000000-0002-0000-0600-000003000000}">
      <formula1>PR_G1_Name</formula1>
    </dataValidation>
    <dataValidation type="list" allowBlank="1" errorTitle="Valore non valido" error="Selezionare dalla lista." promptTitle="Group2 — tipo di oggetto" prompt="Tipo di oggetto." sqref="J6:J31" xr:uid="{00000000-0002-0000-0600-000004000000}">
      <formula1>FN_G2_Name</formula1>
    </dataValidation>
    <dataValidation type="custom" allowBlank="1" errorTitle="Non valido" error="Massimo 24 caratteri, senza spazi, e non compatibile con Group1 = Custom." promptTitle="Manufacturer" prompt="Facoltativo. Azienda produttrice. Campo libero: senza spazi, iniziali maiuscole. Non compatibile con Group1 = Custom." sqref="L6:L31" xr:uid="{00000000-0002-0000-0600-000005000000}">
      <formula1>AND(LEN($L6)&lt;=24,ISERROR(FIND(" ",$L6)),OR($L6="",$I6&lt;&gt;"CT"))</formula1>
    </dataValidation>
    <dataValidation type="custom" allowBlank="1" errorTitle="Non valido" error="Massimo 24 caratteri, senza spazi." promptTitle="Brand" sqref="M6:M31" xr:uid="{00000000-0002-0000-0600-000006000000}">
      <formula1>AND(LEN($M6)&lt;=24,ISERROR(FIND(" ",$M6)))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N6:N31" xr:uid="{00000000-0002-0000-0600-000007000000}">
      <formula1>40</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86"/>
  <sheetViews>
    <sheetView showGridLines="0" workbookViewId="0">
      <pane ySplit="5" topLeftCell="A6" activePane="bottomLeft" state="frozen"/>
      <selection pane="bottomLeft" activeCell="Q6" sqref="Q6:Q29"/>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15" customWidth="1"/>
    <col min="13" max="13" width="13" customWidth="1"/>
    <col min="14" max="14" width="20" customWidth="1"/>
    <col min="15" max="15" width="12" customWidth="1"/>
    <col min="16" max="16" width="36" customWidth="1"/>
    <col min="17" max="17" width="24" customWidth="1"/>
  </cols>
  <sheetData>
    <row r="1" spans="1:17" ht="19.5" x14ac:dyDescent="0.3">
      <c r="A1" s="6" t="s">
        <v>791</v>
      </c>
    </row>
    <row r="2" spans="1:17" x14ac:dyDescent="0.25">
      <c r="A2" s="7" t="s">
        <v>652</v>
      </c>
    </row>
    <row r="3" spans="1:17" x14ac:dyDescent="0.25">
      <c r="A3" s="8" t="s">
        <v>745</v>
      </c>
    </row>
    <row r="4" spans="1:17" ht="17.100000000000001" customHeight="1" x14ac:dyDescent="0.25">
      <c r="A4" s="9" t="s">
        <v>771</v>
      </c>
      <c r="B4" s="10"/>
      <c r="C4" s="10"/>
      <c r="D4" s="10"/>
      <c r="E4" s="10"/>
      <c r="F4" s="10"/>
      <c r="G4" s="10"/>
      <c r="H4" s="10"/>
      <c r="I4" s="10"/>
      <c r="J4" s="10"/>
      <c r="K4" s="10"/>
      <c r="L4" s="10"/>
      <c r="M4" s="10"/>
      <c r="N4" s="10"/>
      <c r="O4" s="10"/>
      <c r="P4" s="10"/>
      <c r="Q4" s="10"/>
    </row>
    <row r="5" spans="1:17" ht="30" customHeight="1" x14ac:dyDescent="0.25">
      <c r="A5" s="11" t="s">
        <v>655</v>
      </c>
      <c r="B5" s="11" t="s">
        <v>85</v>
      </c>
      <c r="C5" s="11" t="s">
        <v>656</v>
      </c>
      <c r="D5" s="12" t="s">
        <v>97</v>
      </c>
      <c r="E5" s="11" t="s">
        <v>96</v>
      </c>
      <c r="F5" s="11" t="s">
        <v>657</v>
      </c>
      <c r="G5" s="11" t="s">
        <v>658</v>
      </c>
      <c r="H5" s="11" t="s">
        <v>659</v>
      </c>
      <c r="I5" s="11" t="s">
        <v>660</v>
      </c>
      <c r="J5" s="11" t="s">
        <v>661</v>
      </c>
      <c r="K5" s="11" t="s">
        <v>662</v>
      </c>
      <c r="L5" s="12" t="s">
        <v>668</v>
      </c>
      <c r="M5" s="12" t="s">
        <v>669</v>
      </c>
      <c r="N5" s="12" t="s">
        <v>670</v>
      </c>
      <c r="O5" s="11" t="s">
        <v>671</v>
      </c>
      <c r="P5" s="11" t="s">
        <v>672</v>
      </c>
      <c r="Q5" s="11" t="s">
        <v>673</v>
      </c>
    </row>
    <row r="6" spans="1:17" x14ac:dyDescent="0.25">
      <c r="A6" s="13" t="s">
        <v>675</v>
      </c>
      <c r="B6" s="14" t="s">
        <v>92</v>
      </c>
      <c r="C6" s="15" t="str">
        <f t="shared" ref="C6:C29" si="0">IFERROR(INDEX(Author_Code,MATCH($B6,Author_Name,0)),"")</f>
        <v>e</v>
      </c>
      <c r="D6" s="16"/>
      <c r="E6" s="15" t="str">
        <f t="shared" ref="E6:E29" si="1">IFERROR(INDEX(InPl_Code,MATCH($D6,InPl_Name,0)),"")</f>
        <v/>
      </c>
      <c r="F6" s="14" t="s">
        <v>335</v>
      </c>
      <c r="G6" s="15" t="str">
        <f t="shared" ref="G6:G29" si="2">IFERROR(INDEX(FS_Cat_Code,MATCH($F6,FS_Cat_Name,0)),"")</f>
        <v>FS</v>
      </c>
      <c r="H6" s="14" t="s">
        <v>94</v>
      </c>
      <c r="I6" s="15" t="str">
        <f t="shared" ref="I6:I29" si="3">IFERROR(INDEX(PR_G1_Code,MATCH($H6,PR_G1_Name,0)),"")</f>
        <v>CO</v>
      </c>
      <c r="J6" s="14" t="s">
        <v>337</v>
      </c>
      <c r="K6" s="15" t="str">
        <f t="shared" ref="K6:K29" si="4">IFERROR(INDEX(FS_G2_Code,MATCH($J6,FS_G2_Name,0)),"")</f>
        <v>WS</v>
      </c>
      <c r="L6" s="17" t="s">
        <v>772</v>
      </c>
      <c r="M6" s="17"/>
      <c r="N6" s="17"/>
      <c r="O6" s="15" t="str">
        <f t="shared" ref="O6:O29" si="5">$G6&amp;IF($I6&lt;&gt;"","."&amp;$I6,"")&amp;IF($K6&lt;&gt;"","."&amp;$K6,"")</f>
        <v>FS.CO.WS</v>
      </c>
      <c r="P6" s="18" t="str">
        <f t="shared" ref="P6:P29" si="6">IF(AND($F6&lt;&gt;"",$H6&lt;&gt;"",$J6&lt;&gt;""),$C6&amp;"_"&amp;$E6&amp;$O6&amp;IF($L6&lt;&gt;"","_"&amp;$L6,"")&amp;IF($M6&lt;&gt;"","_"&amp;$M6,"")&amp;IF($N6&lt;&gt;"","_"&amp;$N6,""),"")</f>
        <v>e_FS.CO.WS_Vitra</v>
      </c>
      <c r="Q6" s="19" t="str">
        <f>IFERROR(IF(OR($G6="",$J6=""),"",$K6&amp;"xx"&amp;"_{W}x{D}x{H}"),"")</f>
        <v>WSxx_{W}x{D}x{H}</v>
      </c>
    </row>
    <row r="7" spans="1:17" x14ac:dyDescent="0.25">
      <c r="A7" s="13" t="s">
        <v>676</v>
      </c>
      <c r="B7" s="14" t="s">
        <v>92</v>
      </c>
      <c r="C7" s="15" t="str">
        <f t="shared" si="0"/>
        <v>e</v>
      </c>
      <c r="D7" s="16"/>
      <c r="E7" s="15" t="str">
        <f t="shared" si="1"/>
        <v/>
      </c>
      <c r="F7" s="14" t="s">
        <v>335</v>
      </c>
      <c r="G7" s="15" t="str">
        <f t="shared" si="2"/>
        <v>FS</v>
      </c>
      <c r="H7" s="14" t="s">
        <v>94</v>
      </c>
      <c r="I7" s="15" t="str">
        <f t="shared" si="3"/>
        <v>CO</v>
      </c>
      <c r="J7" s="14" t="s">
        <v>316</v>
      </c>
      <c r="K7" s="15" t="str">
        <f t="shared" si="4"/>
        <v>PR</v>
      </c>
      <c r="L7" s="17" t="s">
        <v>772</v>
      </c>
      <c r="M7" s="17"/>
      <c r="N7" s="17"/>
      <c r="O7" s="15" t="str">
        <f t="shared" si="5"/>
        <v>FS.CO.PR</v>
      </c>
      <c r="P7" s="18" t="str">
        <f t="shared" si="6"/>
        <v>e_FS.CO.PR_Vitra</v>
      </c>
      <c r="Q7" s="19" t="str">
        <f t="shared" ref="Q7:Q29" si="7">IFERROR(IF(OR($G7="",$J7=""),"",$K7&amp;"xx"&amp;"_{W}x{D}x{H}"),"")</f>
        <v>PRxx_{W}x{D}x{H}</v>
      </c>
    </row>
    <row r="8" spans="1:17" x14ac:dyDescent="0.25">
      <c r="A8" s="13" t="s">
        <v>677</v>
      </c>
      <c r="B8" s="14" t="s">
        <v>92</v>
      </c>
      <c r="C8" s="15" t="str">
        <f t="shared" si="0"/>
        <v>e</v>
      </c>
      <c r="D8" s="16"/>
      <c r="E8" s="15" t="str">
        <f t="shared" si="1"/>
        <v/>
      </c>
      <c r="F8" s="14" t="s">
        <v>335</v>
      </c>
      <c r="G8" s="15" t="str">
        <f t="shared" si="2"/>
        <v>FS</v>
      </c>
      <c r="H8" s="14" t="s">
        <v>94</v>
      </c>
      <c r="I8" s="15" t="str">
        <f t="shared" si="3"/>
        <v>CO</v>
      </c>
      <c r="J8" s="14" t="s">
        <v>306</v>
      </c>
      <c r="K8" s="15" t="str">
        <f t="shared" si="4"/>
        <v>ST</v>
      </c>
      <c r="L8" s="17" t="s">
        <v>772</v>
      </c>
      <c r="M8" s="17"/>
      <c r="N8" s="17"/>
      <c r="O8" s="15" t="str">
        <f t="shared" si="5"/>
        <v>FS.CO.ST</v>
      </c>
      <c r="P8" s="18" t="str">
        <f t="shared" si="6"/>
        <v>e_FS.CO.ST_Vitra</v>
      </c>
      <c r="Q8" s="19" t="str">
        <f t="shared" si="7"/>
        <v>STxx_{W}x{D}x{H}</v>
      </c>
    </row>
    <row r="9" spans="1:17" x14ac:dyDescent="0.25">
      <c r="A9" s="13" t="s">
        <v>679</v>
      </c>
      <c r="B9" s="14" t="s">
        <v>92</v>
      </c>
      <c r="C9" s="15" t="str">
        <f t="shared" si="0"/>
        <v>e</v>
      </c>
      <c r="D9" s="16"/>
      <c r="E9" s="15" t="str">
        <f t="shared" si="1"/>
        <v/>
      </c>
      <c r="F9" s="14" t="s">
        <v>335</v>
      </c>
      <c r="G9" s="15" t="str">
        <f t="shared" si="2"/>
        <v>FS</v>
      </c>
      <c r="H9" s="14" t="s">
        <v>99</v>
      </c>
      <c r="I9" s="15" t="str">
        <f t="shared" si="3"/>
        <v>CT</v>
      </c>
      <c r="J9" s="14" t="s">
        <v>313</v>
      </c>
      <c r="K9" s="15" t="str">
        <f t="shared" si="4"/>
        <v>CN</v>
      </c>
      <c r="L9" s="17"/>
      <c r="M9" s="17"/>
      <c r="N9" s="17"/>
      <c r="O9" s="15" t="str">
        <f t="shared" si="5"/>
        <v>FS.CT.CN</v>
      </c>
      <c r="P9" s="18" t="str">
        <f t="shared" si="6"/>
        <v>e_FS.CT.CN</v>
      </c>
      <c r="Q9" s="19" t="str">
        <f t="shared" si="7"/>
        <v>CNxx_{W}x{D}x{H}</v>
      </c>
    </row>
    <row r="10" spans="1:17" x14ac:dyDescent="0.25">
      <c r="A10" s="13" t="s">
        <v>680</v>
      </c>
      <c r="B10" s="14" t="s">
        <v>92</v>
      </c>
      <c r="C10" s="15" t="str">
        <f t="shared" si="0"/>
        <v>e</v>
      </c>
      <c r="D10" s="16"/>
      <c r="E10" s="15" t="str">
        <f t="shared" si="1"/>
        <v/>
      </c>
      <c r="F10" s="14" t="s">
        <v>335</v>
      </c>
      <c r="G10" s="15" t="str">
        <f t="shared" si="2"/>
        <v>FS</v>
      </c>
      <c r="H10" s="14" t="s">
        <v>94</v>
      </c>
      <c r="I10" s="15" t="str">
        <f t="shared" si="3"/>
        <v>CO</v>
      </c>
      <c r="J10" s="14" t="s">
        <v>345</v>
      </c>
      <c r="K10" s="15" t="str">
        <f t="shared" si="4"/>
        <v>RL</v>
      </c>
      <c r="L10" s="17"/>
      <c r="M10" s="17"/>
      <c r="N10" s="17"/>
      <c r="O10" s="15" t="str">
        <f t="shared" si="5"/>
        <v>FS.CO.RL</v>
      </c>
      <c r="P10" s="18" t="str">
        <f t="shared" si="6"/>
        <v>e_FS.CO.RL</v>
      </c>
      <c r="Q10" s="19" t="str">
        <f t="shared" si="7"/>
        <v>RLxx_{W}x{D}x{H}</v>
      </c>
    </row>
    <row r="11" spans="1:17" x14ac:dyDescent="0.25">
      <c r="A11" s="13" t="s">
        <v>682</v>
      </c>
      <c r="B11" s="14" t="s">
        <v>92</v>
      </c>
      <c r="C11" s="15" t="str">
        <f t="shared" si="0"/>
        <v>e</v>
      </c>
      <c r="D11" s="16"/>
      <c r="E11" s="15" t="str">
        <f t="shared" si="1"/>
        <v/>
      </c>
      <c r="F11" s="14" t="s">
        <v>335</v>
      </c>
      <c r="G11" s="15" t="str">
        <f t="shared" si="2"/>
        <v>FS</v>
      </c>
      <c r="H11" s="14" t="s">
        <v>99</v>
      </c>
      <c r="I11" s="15" t="str">
        <f t="shared" si="3"/>
        <v>CT</v>
      </c>
      <c r="J11" s="14" t="s">
        <v>337</v>
      </c>
      <c r="K11" s="15" t="str">
        <f t="shared" si="4"/>
        <v>WS</v>
      </c>
      <c r="L11" s="17"/>
      <c r="M11" s="17" t="s">
        <v>255</v>
      </c>
      <c r="N11" s="17"/>
      <c r="O11" s="15" t="str">
        <f t="shared" si="5"/>
        <v>FS.CT.WS</v>
      </c>
      <c r="P11" s="18" t="str">
        <f t="shared" si="6"/>
        <v>e_FS.CT.WS_LV</v>
      </c>
      <c r="Q11" s="19" t="str">
        <f t="shared" si="7"/>
        <v>WSxx_{W}x{D}x{H}</v>
      </c>
    </row>
    <row r="12" spans="1:17" x14ac:dyDescent="0.25">
      <c r="A12" s="13" t="s">
        <v>685</v>
      </c>
      <c r="B12" s="14" t="s">
        <v>92</v>
      </c>
      <c r="C12" s="15" t="str">
        <f t="shared" si="0"/>
        <v>e</v>
      </c>
      <c r="D12" s="16"/>
      <c r="E12" s="15" t="str">
        <f t="shared" si="1"/>
        <v/>
      </c>
      <c r="F12" s="14" t="s">
        <v>335</v>
      </c>
      <c r="G12" s="15" t="str">
        <f t="shared" si="2"/>
        <v>FS</v>
      </c>
      <c r="H12" s="14" t="s">
        <v>94</v>
      </c>
      <c r="I12" s="15" t="str">
        <f t="shared" si="3"/>
        <v>CO</v>
      </c>
      <c r="J12" s="14" t="s">
        <v>300</v>
      </c>
      <c r="K12" s="15" t="str">
        <f t="shared" si="4"/>
        <v>SE</v>
      </c>
      <c r="L12" s="17"/>
      <c r="M12" s="17"/>
      <c r="N12" s="17"/>
      <c r="O12" s="15" t="str">
        <f t="shared" si="5"/>
        <v>FS.CO.SE</v>
      </c>
      <c r="P12" s="18" t="str">
        <f t="shared" si="6"/>
        <v>e_FS.CO.SE</v>
      </c>
      <c r="Q12" s="19" t="str">
        <f t="shared" si="7"/>
        <v>SExx_{W}x{D}x{H}</v>
      </c>
    </row>
    <row r="13" spans="1:17" x14ac:dyDescent="0.25">
      <c r="A13" s="13" t="s">
        <v>687</v>
      </c>
      <c r="B13" s="14" t="s">
        <v>92</v>
      </c>
      <c r="C13" s="15" t="str">
        <f t="shared" si="0"/>
        <v>e</v>
      </c>
      <c r="D13" s="16"/>
      <c r="E13" s="15" t="str">
        <f t="shared" si="1"/>
        <v/>
      </c>
      <c r="F13" s="14" t="s">
        <v>335</v>
      </c>
      <c r="G13" s="15" t="str">
        <f t="shared" si="2"/>
        <v>FS</v>
      </c>
      <c r="H13" s="14" t="s">
        <v>103</v>
      </c>
      <c r="I13" s="15" t="str">
        <f t="shared" si="3"/>
        <v>CM</v>
      </c>
      <c r="J13" s="14" t="s">
        <v>212</v>
      </c>
      <c r="K13" s="15" t="str">
        <f t="shared" si="4"/>
        <v>SD</v>
      </c>
      <c r="L13" s="17"/>
      <c r="M13" s="17"/>
      <c r="N13" s="17"/>
      <c r="O13" s="15" t="str">
        <f t="shared" si="5"/>
        <v>FS.CM.SD</v>
      </c>
      <c r="P13" s="18" t="str">
        <f t="shared" si="6"/>
        <v>e_FS.CM.SD</v>
      </c>
      <c r="Q13" s="19" t="str">
        <f t="shared" si="7"/>
        <v>SDxx_{W}x{D}x{H}</v>
      </c>
    </row>
    <row r="14" spans="1:17" x14ac:dyDescent="0.25">
      <c r="A14" s="13" t="s">
        <v>689</v>
      </c>
      <c r="B14" s="14" t="s">
        <v>92</v>
      </c>
      <c r="C14" s="15" t="str">
        <f t="shared" si="0"/>
        <v>e</v>
      </c>
      <c r="D14" s="16" t="s">
        <v>97</v>
      </c>
      <c r="E14" s="15" t="str">
        <f t="shared" si="1"/>
        <v>(I)</v>
      </c>
      <c r="F14" s="14" t="s">
        <v>335</v>
      </c>
      <c r="G14" s="15" t="str">
        <f t="shared" si="2"/>
        <v>FS</v>
      </c>
      <c r="H14" s="14" t="s">
        <v>94</v>
      </c>
      <c r="I14" s="15" t="str">
        <f t="shared" si="3"/>
        <v>CO</v>
      </c>
      <c r="J14" s="14" t="s">
        <v>337</v>
      </c>
      <c r="K14" s="15" t="str">
        <f t="shared" si="4"/>
        <v>WS</v>
      </c>
      <c r="L14" s="17" t="s">
        <v>772</v>
      </c>
      <c r="M14" s="17"/>
      <c r="N14" s="17"/>
      <c r="O14" s="15" t="str">
        <f t="shared" si="5"/>
        <v>FS.CO.WS</v>
      </c>
      <c r="P14" s="18" t="str">
        <f t="shared" si="6"/>
        <v>e_(I)FS.CO.WS_Vitra</v>
      </c>
      <c r="Q14" s="19" t="str">
        <f t="shared" si="7"/>
        <v>WSxx_{W}x{D}x{H}</v>
      </c>
    </row>
    <row r="15" spans="1:17" x14ac:dyDescent="0.25">
      <c r="A15" s="21">
        <v>1</v>
      </c>
      <c r="B15" s="22"/>
      <c r="C15" s="23" t="str">
        <f t="shared" si="0"/>
        <v/>
      </c>
      <c r="D15" s="24"/>
      <c r="E15" s="23" t="str">
        <f t="shared" si="1"/>
        <v/>
      </c>
      <c r="F15" s="22"/>
      <c r="G15" s="23" t="str">
        <f t="shared" si="2"/>
        <v/>
      </c>
      <c r="H15" s="22"/>
      <c r="I15" s="23" t="str">
        <f t="shared" si="3"/>
        <v/>
      </c>
      <c r="J15" s="22"/>
      <c r="K15" s="23" t="str">
        <f t="shared" si="4"/>
        <v/>
      </c>
      <c r="L15" s="25"/>
      <c r="M15" s="25"/>
      <c r="N15" s="25"/>
      <c r="O15" s="23" t="str">
        <f t="shared" si="5"/>
        <v/>
      </c>
      <c r="P15" s="26" t="str">
        <f t="shared" si="6"/>
        <v/>
      </c>
      <c r="Q15" s="19" t="str">
        <f t="shared" si="7"/>
        <v/>
      </c>
    </row>
    <row r="16" spans="1:17" x14ac:dyDescent="0.25">
      <c r="A16" s="21">
        <v>2</v>
      </c>
      <c r="B16" s="22"/>
      <c r="C16" s="23" t="str">
        <f t="shared" si="0"/>
        <v/>
      </c>
      <c r="D16" s="24"/>
      <c r="E16" s="23" t="str">
        <f t="shared" si="1"/>
        <v/>
      </c>
      <c r="F16" s="22"/>
      <c r="G16" s="23" t="str">
        <f t="shared" si="2"/>
        <v/>
      </c>
      <c r="H16" s="22"/>
      <c r="I16" s="23" t="str">
        <f t="shared" si="3"/>
        <v/>
      </c>
      <c r="J16" s="22"/>
      <c r="K16" s="23" t="str">
        <f t="shared" si="4"/>
        <v/>
      </c>
      <c r="L16" s="25"/>
      <c r="M16" s="25"/>
      <c r="N16" s="25"/>
      <c r="O16" s="23" t="str">
        <f t="shared" si="5"/>
        <v/>
      </c>
      <c r="P16" s="26" t="str">
        <f t="shared" si="6"/>
        <v/>
      </c>
      <c r="Q16" s="19" t="str">
        <f t="shared" si="7"/>
        <v/>
      </c>
    </row>
    <row r="17" spans="1:17" x14ac:dyDescent="0.25">
      <c r="A17" s="21">
        <v>3</v>
      </c>
      <c r="B17" s="22"/>
      <c r="C17" s="23" t="str">
        <f t="shared" si="0"/>
        <v/>
      </c>
      <c r="D17" s="24"/>
      <c r="E17" s="23" t="str">
        <f t="shared" si="1"/>
        <v/>
      </c>
      <c r="F17" s="22"/>
      <c r="G17" s="23" t="str">
        <f t="shared" si="2"/>
        <v/>
      </c>
      <c r="H17" s="22"/>
      <c r="I17" s="23" t="str">
        <f t="shared" si="3"/>
        <v/>
      </c>
      <c r="J17" s="22"/>
      <c r="K17" s="23" t="str">
        <f t="shared" si="4"/>
        <v/>
      </c>
      <c r="L17" s="25"/>
      <c r="M17" s="25"/>
      <c r="N17" s="25"/>
      <c r="O17" s="23" t="str">
        <f t="shared" si="5"/>
        <v/>
      </c>
      <c r="P17" s="26" t="str">
        <f t="shared" si="6"/>
        <v/>
      </c>
      <c r="Q17" s="19" t="str">
        <f t="shared" si="7"/>
        <v/>
      </c>
    </row>
    <row r="18" spans="1:17" x14ac:dyDescent="0.25">
      <c r="A18" s="21">
        <v>4</v>
      </c>
      <c r="B18" s="22"/>
      <c r="C18" s="23" t="str">
        <f t="shared" si="0"/>
        <v/>
      </c>
      <c r="D18" s="24"/>
      <c r="E18" s="23" t="str">
        <f t="shared" si="1"/>
        <v/>
      </c>
      <c r="F18" s="22"/>
      <c r="G18" s="23" t="str">
        <f t="shared" si="2"/>
        <v/>
      </c>
      <c r="H18" s="22"/>
      <c r="I18" s="23" t="str">
        <f t="shared" si="3"/>
        <v/>
      </c>
      <c r="J18" s="22"/>
      <c r="K18" s="23" t="str">
        <f t="shared" si="4"/>
        <v/>
      </c>
      <c r="L18" s="25"/>
      <c r="M18" s="25"/>
      <c r="N18" s="25"/>
      <c r="O18" s="23" t="str">
        <f t="shared" si="5"/>
        <v/>
      </c>
      <c r="P18" s="26" t="str">
        <f t="shared" si="6"/>
        <v/>
      </c>
      <c r="Q18" s="19" t="str">
        <f t="shared" si="7"/>
        <v/>
      </c>
    </row>
    <row r="19" spans="1:17" x14ac:dyDescent="0.25">
      <c r="A19" s="21">
        <v>5</v>
      </c>
      <c r="B19" s="22"/>
      <c r="C19" s="23" t="str">
        <f t="shared" si="0"/>
        <v/>
      </c>
      <c r="D19" s="24"/>
      <c r="E19" s="23" t="str">
        <f t="shared" si="1"/>
        <v/>
      </c>
      <c r="F19" s="22"/>
      <c r="G19" s="23" t="str">
        <f t="shared" si="2"/>
        <v/>
      </c>
      <c r="H19" s="22"/>
      <c r="I19" s="23" t="str">
        <f t="shared" si="3"/>
        <v/>
      </c>
      <c r="J19" s="22"/>
      <c r="K19" s="23" t="str">
        <f t="shared" si="4"/>
        <v/>
      </c>
      <c r="L19" s="25"/>
      <c r="M19" s="25"/>
      <c r="N19" s="25"/>
      <c r="O19" s="23" t="str">
        <f t="shared" si="5"/>
        <v/>
      </c>
      <c r="P19" s="26" t="str">
        <f t="shared" si="6"/>
        <v/>
      </c>
      <c r="Q19" s="19" t="str">
        <f t="shared" si="7"/>
        <v/>
      </c>
    </row>
    <row r="20" spans="1:17" x14ac:dyDescent="0.25">
      <c r="A20" s="21">
        <v>6</v>
      </c>
      <c r="B20" s="22"/>
      <c r="C20" s="23" t="str">
        <f t="shared" si="0"/>
        <v/>
      </c>
      <c r="D20" s="24"/>
      <c r="E20" s="23" t="str">
        <f t="shared" si="1"/>
        <v/>
      </c>
      <c r="F20" s="22"/>
      <c r="G20" s="23" t="str">
        <f t="shared" si="2"/>
        <v/>
      </c>
      <c r="H20" s="22"/>
      <c r="I20" s="23" t="str">
        <f t="shared" si="3"/>
        <v/>
      </c>
      <c r="J20" s="22"/>
      <c r="K20" s="23" t="str">
        <f t="shared" si="4"/>
        <v/>
      </c>
      <c r="L20" s="25"/>
      <c r="M20" s="25"/>
      <c r="N20" s="25"/>
      <c r="O20" s="23" t="str">
        <f t="shared" si="5"/>
        <v/>
      </c>
      <c r="P20" s="26" t="str">
        <f t="shared" si="6"/>
        <v/>
      </c>
      <c r="Q20" s="19" t="str">
        <f t="shared" si="7"/>
        <v/>
      </c>
    </row>
    <row r="21" spans="1:17" x14ac:dyDescent="0.25">
      <c r="A21" s="21">
        <v>7</v>
      </c>
      <c r="B21" s="22"/>
      <c r="C21" s="23" t="str">
        <f t="shared" si="0"/>
        <v/>
      </c>
      <c r="D21" s="24"/>
      <c r="E21" s="23" t="str">
        <f t="shared" si="1"/>
        <v/>
      </c>
      <c r="F21" s="22"/>
      <c r="G21" s="23" t="str">
        <f t="shared" si="2"/>
        <v/>
      </c>
      <c r="H21" s="22"/>
      <c r="I21" s="23" t="str">
        <f t="shared" si="3"/>
        <v/>
      </c>
      <c r="J21" s="22"/>
      <c r="K21" s="23" t="str">
        <f t="shared" si="4"/>
        <v/>
      </c>
      <c r="L21" s="25"/>
      <c r="M21" s="25"/>
      <c r="N21" s="25"/>
      <c r="O21" s="23" t="str">
        <f t="shared" si="5"/>
        <v/>
      </c>
      <c r="P21" s="26" t="str">
        <f t="shared" si="6"/>
        <v/>
      </c>
      <c r="Q21" s="19" t="str">
        <f t="shared" si="7"/>
        <v/>
      </c>
    </row>
    <row r="22" spans="1:17" x14ac:dyDescent="0.25">
      <c r="A22" s="21">
        <v>8</v>
      </c>
      <c r="B22" s="22"/>
      <c r="C22" s="23" t="str">
        <f t="shared" si="0"/>
        <v/>
      </c>
      <c r="D22" s="24"/>
      <c r="E22" s="23" t="str">
        <f t="shared" si="1"/>
        <v/>
      </c>
      <c r="F22" s="22"/>
      <c r="G22" s="23" t="str">
        <f t="shared" si="2"/>
        <v/>
      </c>
      <c r="H22" s="22"/>
      <c r="I22" s="23" t="str">
        <f t="shared" si="3"/>
        <v/>
      </c>
      <c r="J22" s="22"/>
      <c r="K22" s="23" t="str">
        <f t="shared" si="4"/>
        <v/>
      </c>
      <c r="L22" s="25"/>
      <c r="M22" s="25"/>
      <c r="N22" s="25"/>
      <c r="O22" s="23" t="str">
        <f t="shared" si="5"/>
        <v/>
      </c>
      <c r="P22" s="26" t="str">
        <f t="shared" si="6"/>
        <v/>
      </c>
      <c r="Q22" s="19" t="str">
        <f t="shared" si="7"/>
        <v/>
      </c>
    </row>
    <row r="23" spans="1:17" x14ac:dyDescent="0.25">
      <c r="A23" s="21">
        <v>9</v>
      </c>
      <c r="B23" s="22"/>
      <c r="C23" s="23" t="str">
        <f t="shared" si="0"/>
        <v/>
      </c>
      <c r="D23" s="24"/>
      <c r="E23" s="23" t="str">
        <f t="shared" si="1"/>
        <v/>
      </c>
      <c r="F23" s="22"/>
      <c r="G23" s="23" t="str">
        <f t="shared" si="2"/>
        <v/>
      </c>
      <c r="H23" s="22"/>
      <c r="I23" s="23" t="str">
        <f t="shared" si="3"/>
        <v/>
      </c>
      <c r="J23" s="22"/>
      <c r="K23" s="23" t="str">
        <f t="shared" si="4"/>
        <v/>
      </c>
      <c r="L23" s="25"/>
      <c r="M23" s="25"/>
      <c r="N23" s="25"/>
      <c r="O23" s="23" t="str">
        <f t="shared" si="5"/>
        <v/>
      </c>
      <c r="P23" s="26" t="str">
        <f t="shared" si="6"/>
        <v/>
      </c>
      <c r="Q23" s="19" t="str">
        <f t="shared" si="7"/>
        <v/>
      </c>
    </row>
    <row r="24" spans="1:17" x14ac:dyDescent="0.25">
      <c r="A24" s="21">
        <v>10</v>
      </c>
      <c r="B24" s="22"/>
      <c r="C24" s="23" t="str">
        <f t="shared" si="0"/>
        <v/>
      </c>
      <c r="D24" s="24"/>
      <c r="E24" s="23" t="str">
        <f t="shared" si="1"/>
        <v/>
      </c>
      <c r="F24" s="22"/>
      <c r="G24" s="23" t="str">
        <f t="shared" si="2"/>
        <v/>
      </c>
      <c r="H24" s="22"/>
      <c r="I24" s="23" t="str">
        <f t="shared" si="3"/>
        <v/>
      </c>
      <c r="J24" s="22"/>
      <c r="K24" s="23" t="str">
        <f t="shared" si="4"/>
        <v/>
      </c>
      <c r="L24" s="25"/>
      <c r="M24" s="25"/>
      <c r="N24" s="25"/>
      <c r="O24" s="23" t="str">
        <f t="shared" si="5"/>
        <v/>
      </c>
      <c r="P24" s="26" t="str">
        <f t="shared" si="6"/>
        <v/>
      </c>
      <c r="Q24" s="19" t="str">
        <f t="shared" si="7"/>
        <v/>
      </c>
    </row>
    <row r="25" spans="1:17" x14ac:dyDescent="0.25">
      <c r="A25" s="21">
        <v>11</v>
      </c>
      <c r="B25" s="22"/>
      <c r="C25" s="23" t="str">
        <f t="shared" si="0"/>
        <v/>
      </c>
      <c r="D25" s="24"/>
      <c r="E25" s="23" t="str">
        <f t="shared" si="1"/>
        <v/>
      </c>
      <c r="F25" s="22"/>
      <c r="G25" s="23" t="str">
        <f t="shared" si="2"/>
        <v/>
      </c>
      <c r="H25" s="22"/>
      <c r="I25" s="23" t="str">
        <f t="shared" si="3"/>
        <v/>
      </c>
      <c r="J25" s="22"/>
      <c r="K25" s="23" t="str">
        <f t="shared" si="4"/>
        <v/>
      </c>
      <c r="L25" s="25"/>
      <c r="M25" s="25"/>
      <c r="N25" s="25"/>
      <c r="O25" s="23" t="str">
        <f t="shared" si="5"/>
        <v/>
      </c>
      <c r="P25" s="26" t="str">
        <f t="shared" si="6"/>
        <v/>
      </c>
      <c r="Q25" s="19" t="str">
        <f t="shared" si="7"/>
        <v/>
      </c>
    </row>
    <row r="26" spans="1:17" x14ac:dyDescent="0.25">
      <c r="A26" s="21">
        <v>12</v>
      </c>
      <c r="B26" s="22"/>
      <c r="C26" s="23" t="str">
        <f t="shared" si="0"/>
        <v/>
      </c>
      <c r="D26" s="24"/>
      <c r="E26" s="23" t="str">
        <f t="shared" si="1"/>
        <v/>
      </c>
      <c r="F26" s="22"/>
      <c r="G26" s="23" t="str">
        <f t="shared" si="2"/>
        <v/>
      </c>
      <c r="H26" s="22"/>
      <c r="I26" s="23" t="str">
        <f t="shared" si="3"/>
        <v/>
      </c>
      <c r="J26" s="22"/>
      <c r="K26" s="23" t="str">
        <f t="shared" si="4"/>
        <v/>
      </c>
      <c r="L26" s="25"/>
      <c r="M26" s="25"/>
      <c r="N26" s="25"/>
      <c r="O26" s="23" t="str">
        <f t="shared" si="5"/>
        <v/>
      </c>
      <c r="P26" s="26" t="str">
        <f t="shared" si="6"/>
        <v/>
      </c>
      <c r="Q26" s="19" t="str">
        <f t="shared" si="7"/>
        <v/>
      </c>
    </row>
    <row r="27" spans="1:17" x14ac:dyDescent="0.25">
      <c r="A27" s="21">
        <v>13</v>
      </c>
      <c r="B27" s="22"/>
      <c r="C27" s="23" t="str">
        <f t="shared" si="0"/>
        <v/>
      </c>
      <c r="D27" s="24"/>
      <c r="E27" s="23" t="str">
        <f t="shared" si="1"/>
        <v/>
      </c>
      <c r="F27" s="22"/>
      <c r="G27" s="23" t="str">
        <f t="shared" si="2"/>
        <v/>
      </c>
      <c r="H27" s="22"/>
      <c r="I27" s="23" t="str">
        <f t="shared" si="3"/>
        <v/>
      </c>
      <c r="J27" s="22"/>
      <c r="K27" s="23" t="str">
        <f t="shared" si="4"/>
        <v/>
      </c>
      <c r="L27" s="25"/>
      <c r="M27" s="25"/>
      <c r="N27" s="25"/>
      <c r="O27" s="23" t="str">
        <f t="shared" si="5"/>
        <v/>
      </c>
      <c r="P27" s="26" t="str">
        <f t="shared" si="6"/>
        <v/>
      </c>
      <c r="Q27" s="19" t="str">
        <f t="shared" si="7"/>
        <v/>
      </c>
    </row>
    <row r="28" spans="1:17" x14ac:dyDescent="0.25">
      <c r="A28" s="21">
        <v>14</v>
      </c>
      <c r="B28" s="22"/>
      <c r="C28" s="23" t="str">
        <f t="shared" si="0"/>
        <v/>
      </c>
      <c r="D28" s="24"/>
      <c r="E28" s="23" t="str">
        <f t="shared" si="1"/>
        <v/>
      </c>
      <c r="F28" s="22"/>
      <c r="G28" s="23" t="str">
        <f t="shared" si="2"/>
        <v/>
      </c>
      <c r="H28" s="22"/>
      <c r="I28" s="23" t="str">
        <f t="shared" si="3"/>
        <v/>
      </c>
      <c r="J28" s="22"/>
      <c r="K28" s="23" t="str">
        <f t="shared" si="4"/>
        <v/>
      </c>
      <c r="L28" s="25"/>
      <c r="M28" s="25"/>
      <c r="N28" s="25"/>
      <c r="O28" s="23" t="str">
        <f t="shared" si="5"/>
        <v/>
      </c>
      <c r="P28" s="26" t="str">
        <f t="shared" si="6"/>
        <v/>
      </c>
      <c r="Q28" s="19" t="str">
        <f t="shared" si="7"/>
        <v/>
      </c>
    </row>
    <row r="29" spans="1:17" x14ac:dyDescent="0.25">
      <c r="A29" s="21">
        <v>15</v>
      </c>
      <c r="B29" s="22"/>
      <c r="C29" s="23" t="str">
        <f t="shared" si="0"/>
        <v/>
      </c>
      <c r="D29" s="24"/>
      <c r="E29" s="23" t="str">
        <f t="shared" si="1"/>
        <v/>
      </c>
      <c r="F29" s="22"/>
      <c r="G29" s="23" t="str">
        <f t="shared" si="2"/>
        <v/>
      </c>
      <c r="H29" s="22"/>
      <c r="I29" s="23" t="str">
        <f t="shared" si="3"/>
        <v/>
      </c>
      <c r="J29" s="22"/>
      <c r="K29" s="23" t="str">
        <f t="shared" si="4"/>
        <v/>
      </c>
      <c r="L29" s="25"/>
      <c r="M29" s="25"/>
      <c r="N29" s="25"/>
      <c r="O29" s="23" t="str">
        <f t="shared" si="5"/>
        <v/>
      </c>
      <c r="P29" s="26" t="str">
        <f t="shared" si="6"/>
        <v/>
      </c>
      <c r="Q29" s="19" t="str">
        <f t="shared" si="7"/>
        <v/>
      </c>
    </row>
    <row r="32" spans="1:17" ht="21.95" customHeight="1" x14ac:dyDescent="0.25">
      <c r="A32" s="41" t="s">
        <v>700</v>
      </c>
      <c r="B32" s="42"/>
      <c r="C32" s="42"/>
      <c r="D32" s="42"/>
      <c r="E32" s="42"/>
      <c r="F32" s="42"/>
      <c r="G32" s="42"/>
      <c r="H32" s="42"/>
      <c r="I32" s="42"/>
      <c r="J32" s="42"/>
      <c r="K32" s="42"/>
      <c r="L32" s="42"/>
      <c r="M32" s="42"/>
      <c r="N32" s="42"/>
      <c r="O32" s="42"/>
      <c r="P32" s="42"/>
      <c r="Q32" s="42"/>
    </row>
    <row r="34" spans="1:17" ht="24" customHeight="1" x14ac:dyDescent="0.25">
      <c r="A34" s="44" t="s">
        <v>792</v>
      </c>
      <c r="B34" s="33"/>
      <c r="C34" s="33"/>
      <c r="D34" s="33"/>
      <c r="E34" s="33"/>
      <c r="F34" s="33"/>
      <c r="G34" s="33"/>
      <c r="H34" s="33"/>
      <c r="I34" s="33"/>
      <c r="J34" s="33"/>
      <c r="K34" s="33"/>
      <c r="L34" s="33"/>
      <c r="M34" s="33"/>
      <c r="N34" s="33"/>
      <c r="O34" s="33"/>
      <c r="P34" s="33"/>
      <c r="Q34" s="33"/>
    </row>
    <row r="35" spans="1:17" ht="51" customHeight="1" x14ac:dyDescent="0.25">
      <c r="A35" s="40" t="s">
        <v>702</v>
      </c>
      <c r="B35" s="33"/>
      <c r="C35" s="33"/>
      <c r="D35" s="33"/>
      <c r="E35" s="33"/>
      <c r="F35" s="33"/>
      <c r="G35" s="33"/>
      <c r="H35" s="33"/>
      <c r="I35" s="33"/>
      <c r="J35" s="33"/>
      <c r="K35" s="33"/>
      <c r="L35" s="33"/>
      <c r="M35" s="33"/>
      <c r="N35" s="33"/>
      <c r="O35" s="33"/>
      <c r="P35" s="33"/>
      <c r="Q35" s="33"/>
    </row>
    <row r="37" spans="1:17" ht="18" customHeight="1" x14ac:dyDescent="0.25">
      <c r="A37" s="43" t="s">
        <v>777</v>
      </c>
      <c r="B37" s="33"/>
      <c r="C37" s="33"/>
      <c r="D37" s="33"/>
      <c r="E37" s="33"/>
      <c r="F37" s="33"/>
      <c r="G37" s="33"/>
      <c r="H37" s="33"/>
      <c r="I37" s="33"/>
      <c r="J37" s="33"/>
      <c r="K37" s="33"/>
      <c r="L37" s="33"/>
      <c r="M37" s="33"/>
      <c r="N37" s="33"/>
      <c r="O37" s="33"/>
      <c r="P37" s="33"/>
      <c r="Q37" s="33"/>
    </row>
    <row r="38" spans="1:17" ht="21" customHeight="1" x14ac:dyDescent="0.25">
      <c r="A38" s="40" t="s">
        <v>793</v>
      </c>
      <c r="B38" s="33"/>
      <c r="C38" s="33"/>
      <c r="D38" s="33"/>
      <c r="E38" s="33"/>
      <c r="F38" s="33"/>
      <c r="G38" s="33"/>
      <c r="H38" s="33"/>
      <c r="I38" s="33"/>
      <c r="J38" s="33"/>
      <c r="K38" s="33"/>
      <c r="L38" s="33"/>
      <c r="M38" s="33"/>
      <c r="N38" s="33"/>
      <c r="O38" s="33"/>
      <c r="P38" s="33"/>
      <c r="Q38" s="33"/>
    </row>
    <row r="41" spans="1:17" ht="21.95" customHeight="1" x14ac:dyDescent="0.25">
      <c r="A41" s="41" t="s">
        <v>794</v>
      </c>
      <c r="B41" s="42"/>
      <c r="C41" s="42"/>
      <c r="D41" s="42"/>
      <c r="E41" s="42"/>
      <c r="F41" s="42"/>
      <c r="G41" s="42"/>
      <c r="H41" s="42"/>
      <c r="I41" s="42"/>
      <c r="J41" s="42"/>
      <c r="K41" s="42"/>
      <c r="L41" s="42"/>
      <c r="M41" s="42"/>
      <c r="N41" s="42"/>
      <c r="O41" s="42"/>
      <c r="P41" s="42"/>
      <c r="Q41" s="42"/>
    </row>
    <row r="42" spans="1:17" ht="15.95" customHeight="1" x14ac:dyDescent="0.25">
      <c r="A42" s="39" t="s">
        <v>780</v>
      </c>
      <c r="B42" s="33"/>
      <c r="C42" s="33"/>
      <c r="D42" s="33"/>
      <c r="E42" s="33"/>
      <c r="F42" s="33"/>
      <c r="G42" s="33"/>
      <c r="H42" s="33"/>
      <c r="I42" s="33"/>
      <c r="J42" s="33"/>
      <c r="K42" s="33"/>
      <c r="L42" s="33"/>
      <c r="M42" s="33"/>
      <c r="N42" s="33"/>
      <c r="O42" s="33"/>
      <c r="P42" s="33"/>
      <c r="Q42" s="33"/>
    </row>
    <row r="44" spans="1:17" ht="18" customHeight="1" x14ac:dyDescent="0.25">
      <c r="A44" s="43" t="s">
        <v>795</v>
      </c>
      <c r="B44" s="33"/>
      <c r="C44" s="33"/>
      <c r="D44" s="33"/>
      <c r="E44" s="33"/>
      <c r="F44" s="33"/>
      <c r="G44" s="33"/>
      <c r="H44" s="33"/>
      <c r="I44" s="33"/>
      <c r="J44" s="33"/>
      <c r="K44" s="33"/>
      <c r="L44" s="33"/>
      <c r="M44" s="33"/>
      <c r="N44" s="33"/>
      <c r="O44" s="33"/>
      <c r="P44" s="33"/>
      <c r="Q44" s="33"/>
    </row>
    <row r="45" spans="1:17" ht="21" customHeight="1" x14ac:dyDescent="0.25">
      <c r="A45" s="40" t="s">
        <v>796</v>
      </c>
      <c r="B45" s="33"/>
      <c r="C45" s="33"/>
      <c r="D45" s="33"/>
      <c r="E45" s="33"/>
      <c r="F45" s="33"/>
      <c r="G45" s="33"/>
      <c r="H45" s="33"/>
      <c r="I45" s="33"/>
      <c r="J45" s="33"/>
      <c r="K45" s="33"/>
      <c r="L45" s="33"/>
      <c r="M45" s="33"/>
      <c r="N45" s="33"/>
      <c r="O45" s="33"/>
      <c r="P45" s="33"/>
      <c r="Q45" s="33"/>
    </row>
    <row r="46" spans="1:17" ht="6" customHeight="1" x14ac:dyDescent="0.25"/>
    <row r="47" spans="1:17" ht="18" customHeight="1" x14ac:dyDescent="0.25">
      <c r="A47" s="43" t="s">
        <v>711</v>
      </c>
      <c r="B47" s="33"/>
      <c r="C47" s="33"/>
      <c r="D47" s="33"/>
      <c r="E47" s="33"/>
      <c r="F47" s="33"/>
      <c r="G47" s="33"/>
      <c r="H47" s="33"/>
      <c r="I47" s="33"/>
      <c r="J47" s="33"/>
      <c r="K47" s="33"/>
      <c r="L47" s="33"/>
      <c r="M47" s="33"/>
      <c r="N47" s="33"/>
      <c r="O47" s="33"/>
      <c r="P47" s="33"/>
      <c r="Q47" s="33"/>
    </row>
    <row r="48" spans="1:17" ht="51" customHeight="1" x14ac:dyDescent="0.25">
      <c r="A48" s="40" t="s">
        <v>712</v>
      </c>
      <c r="B48" s="33"/>
      <c r="C48" s="33"/>
      <c r="D48" s="33"/>
      <c r="E48" s="33"/>
      <c r="F48" s="33"/>
      <c r="G48" s="33"/>
      <c r="H48" s="33"/>
      <c r="I48" s="33"/>
      <c r="J48" s="33"/>
      <c r="K48" s="33"/>
      <c r="L48" s="33"/>
      <c r="M48" s="33"/>
      <c r="N48" s="33"/>
      <c r="O48" s="33"/>
      <c r="P48" s="33"/>
      <c r="Q48" s="33"/>
    </row>
    <row r="49" spans="1:17" ht="6" customHeight="1" x14ac:dyDescent="0.25"/>
    <row r="50" spans="1:17" ht="18" customHeight="1" x14ac:dyDescent="0.25">
      <c r="A50" s="43" t="s">
        <v>659</v>
      </c>
      <c r="B50" s="33"/>
      <c r="C50" s="33"/>
      <c r="D50" s="33"/>
      <c r="E50" s="33"/>
      <c r="F50" s="33"/>
      <c r="G50" s="33"/>
      <c r="H50" s="33"/>
      <c r="I50" s="33"/>
      <c r="J50" s="33"/>
      <c r="K50" s="33"/>
      <c r="L50" s="33"/>
      <c r="M50" s="33"/>
      <c r="N50" s="33"/>
      <c r="O50" s="33"/>
      <c r="P50" s="33"/>
      <c r="Q50" s="33"/>
    </row>
    <row r="51" spans="1:17" ht="36" customHeight="1" x14ac:dyDescent="0.25">
      <c r="A51" s="40" t="s">
        <v>787</v>
      </c>
      <c r="B51" s="33"/>
      <c r="C51" s="33"/>
      <c r="D51" s="33"/>
      <c r="E51" s="33"/>
      <c r="F51" s="33"/>
      <c r="G51" s="33"/>
      <c r="H51" s="33"/>
      <c r="I51" s="33"/>
      <c r="J51" s="33"/>
      <c r="K51" s="33"/>
      <c r="L51" s="33"/>
      <c r="M51" s="33"/>
      <c r="N51" s="33"/>
      <c r="O51" s="33"/>
      <c r="P51" s="33"/>
      <c r="Q51" s="33"/>
    </row>
    <row r="52" spans="1:17" ht="6" customHeight="1" x14ac:dyDescent="0.25"/>
    <row r="53" spans="1:17" ht="18" customHeight="1" x14ac:dyDescent="0.25">
      <c r="A53" s="43" t="s">
        <v>62</v>
      </c>
      <c r="B53" s="33"/>
      <c r="C53" s="33"/>
      <c r="D53" s="33"/>
      <c r="E53" s="33"/>
      <c r="F53" s="33"/>
      <c r="G53" s="33"/>
      <c r="H53" s="33"/>
      <c r="I53" s="33"/>
      <c r="J53" s="33"/>
      <c r="K53" s="33"/>
      <c r="L53" s="33"/>
      <c r="M53" s="33"/>
      <c r="N53" s="33"/>
      <c r="O53" s="33"/>
      <c r="P53" s="33"/>
      <c r="Q53" s="33"/>
    </row>
    <row r="54" spans="1:17" ht="51" customHeight="1" x14ac:dyDescent="0.25">
      <c r="A54" s="40" t="s">
        <v>788</v>
      </c>
      <c r="B54" s="33"/>
      <c r="C54" s="33"/>
      <c r="D54" s="33"/>
      <c r="E54" s="33"/>
      <c r="F54" s="33"/>
      <c r="G54" s="33"/>
      <c r="H54" s="33"/>
      <c r="I54" s="33"/>
      <c r="J54" s="33"/>
      <c r="K54" s="33"/>
      <c r="L54" s="33"/>
      <c r="M54" s="33"/>
      <c r="N54" s="33"/>
      <c r="O54" s="33"/>
      <c r="P54" s="33"/>
      <c r="Q54" s="33"/>
    </row>
    <row r="55" spans="1:17" ht="6" customHeight="1" x14ac:dyDescent="0.25"/>
    <row r="58" spans="1:17" ht="21.95" customHeight="1" x14ac:dyDescent="0.25">
      <c r="A58" s="41" t="s">
        <v>715</v>
      </c>
      <c r="B58" s="42"/>
      <c r="C58" s="42"/>
      <c r="D58" s="42"/>
      <c r="E58" s="42"/>
      <c r="F58" s="42"/>
      <c r="G58" s="42"/>
      <c r="H58" s="42"/>
      <c r="I58" s="42"/>
      <c r="J58" s="42"/>
      <c r="K58" s="42"/>
      <c r="L58" s="42"/>
      <c r="M58" s="42"/>
      <c r="N58" s="42"/>
      <c r="O58" s="42"/>
      <c r="P58" s="42"/>
      <c r="Q58" s="42"/>
    </row>
    <row r="60" spans="1:17" ht="18" customHeight="1" x14ac:dyDescent="0.25">
      <c r="A60" s="43" t="s">
        <v>85</v>
      </c>
      <c r="B60" s="33"/>
      <c r="C60" s="33"/>
      <c r="D60" s="33"/>
      <c r="E60" s="33"/>
      <c r="F60" s="33"/>
      <c r="G60" s="33"/>
      <c r="H60" s="33"/>
      <c r="I60" s="33"/>
      <c r="J60" s="33"/>
      <c r="K60" s="33"/>
      <c r="L60" s="33"/>
      <c r="M60" s="33"/>
      <c r="N60" s="33"/>
      <c r="O60" s="33"/>
      <c r="P60" s="33"/>
      <c r="Q60" s="33"/>
    </row>
    <row r="61" spans="1:17" ht="21" customHeight="1" x14ac:dyDescent="0.25">
      <c r="A61" s="40" t="s">
        <v>716</v>
      </c>
      <c r="B61" s="33"/>
      <c r="C61" s="33"/>
      <c r="D61" s="33"/>
      <c r="E61" s="33"/>
      <c r="F61" s="33"/>
      <c r="G61" s="33"/>
      <c r="H61" s="33"/>
      <c r="I61" s="33"/>
      <c r="J61" s="33"/>
      <c r="K61" s="33"/>
      <c r="L61" s="33"/>
      <c r="M61" s="33"/>
      <c r="N61" s="33"/>
      <c r="O61" s="33"/>
      <c r="P61" s="33"/>
      <c r="Q61" s="33"/>
    </row>
    <row r="62" spans="1:17" ht="6" customHeight="1" x14ac:dyDescent="0.25"/>
    <row r="63" spans="1:17" ht="18" customHeight="1" x14ac:dyDescent="0.25">
      <c r="A63" s="43" t="s">
        <v>97</v>
      </c>
      <c r="B63" s="33"/>
      <c r="C63" s="33"/>
      <c r="D63" s="33"/>
      <c r="E63" s="33"/>
      <c r="F63" s="33"/>
      <c r="G63" s="33"/>
      <c r="H63" s="33"/>
      <c r="I63" s="33"/>
      <c r="J63" s="33"/>
      <c r="K63" s="33"/>
      <c r="L63" s="33"/>
      <c r="M63" s="33"/>
      <c r="N63" s="33"/>
      <c r="O63" s="33"/>
      <c r="P63" s="33"/>
      <c r="Q63" s="33"/>
    </row>
    <row r="64" spans="1:17" ht="36" customHeight="1" x14ac:dyDescent="0.25">
      <c r="A64" s="40" t="s">
        <v>717</v>
      </c>
      <c r="B64" s="33"/>
      <c r="C64" s="33"/>
      <c r="D64" s="33"/>
      <c r="E64" s="33"/>
      <c r="F64" s="33"/>
      <c r="G64" s="33"/>
      <c r="H64" s="33"/>
      <c r="I64" s="33"/>
      <c r="J64" s="33"/>
      <c r="K64" s="33"/>
      <c r="L64" s="33"/>
      <c r="M64" s="33"/>
      <c r="N64" s="33"/>
      <c r="O64" s="33"/>
      <c r="P64" s="33"/>
      <c r="Q64" s="33"/>
    </row>
    <row r="65" spans="1:17" ht="6" customHeight="1" x14ac:dyDescent="0.25"/>
    <row r="66" spans="1:17" ht="18" customHeight="1" x14ac:dyDescent="0.25">
      <c r="A66" s="43" t="s">
        <v>657</v>
      </c>
      <c r="B66" s="33"/>
      <c r="C66" s="33"/>
      <c r="D66" s="33"/>
      <c r="E66" s="33"/>
      <c r="F66" s="33"/>
      <c r="G66" s="33"/>
      <c r="H66" s="33"/>
      <c r="I66" s="33"/>
      <c r="J66" s="33"/>
      <c r="K66" s="33"/>
      <c r="L66" s="33"/>
      <c r="M66" s="33"/>
      <c r="N66" s="33"/>
      <c r="O66" s="33"/>
      <c r="P66" s="33"/>
      <c r="Q66" s="33"/>
    </row>
    <row r="67" spans="1:17" ht="21" customHeight="1" x14ac:dyDescent="0.25">
      <c r="A67" s="40" t="s">
        <v>718</v>
      </c>
      <c r="B67" s="33"/>
      <c r="C67" s="33"/>
      <c r="D67" s="33"/>
      <c r="E67" s="33"/>
      <c r="F67" s="33"/>
      <c r="G67" s="33"/>
      <c r="H67" s="33"/>
      <c r="I67" s="33"/>
      <c r="J67" s="33"/>
      <c r="K67" s="33"/>
      <c r="L67" s="33"/>
      <c r="M67" s="33"/>
      <c r="N67" s="33"/>
      <c r="O67" s="33"/>
      <c r="P67" s="33"/>
      <c r="Q67" s="33"/>
    </row>
    <row r="68" spans="1:17" ht="6" customHeight="1" x14ac:dyDescent="0.25"/>
    <row r="69" spans="1:17" ht="18" customHeight="1" x14ac:dyDescent="0.25">
      <c r="A69" s="43" t="s">
        <v>659</v>
      </c>
      <c r="B69" s="33"/>
      <c r="C69" s="33"/>
      <c r="D69" s="33"/>
      <c r="E69" s="33"/>
      <c r="F69" s="33"/>
      <c r="G69" s="33"/>
      <c r="H69" s="33"/>
      <c r="I69" s="33"/>
      <c r="J69" s="33"/>
      <c r="K69" s="33"/>
      <c r="L69" s="33"/>
      <c r="M69" s="33"/>
      <c r="N69" s="33"/>
      <c r="O69" s="33"/>
      <c r="P69" s="33"/>
      <c r="Q69" s="33"/>
    </row>
    <row r="70" spans="1:17" ht="36" customHeight="1" x14ac:dyDescent="0.25">
      <c r="A70" s="40" t="s">
        <v>789</v>
      </c>
      <c r="B70" s="33"/>
      <c r="C70" s="33"/>
      <c r="D70" s="33"/>
      <c r="E70" s="33"/>
      <c r="F70" s="33"/>
      <c r="G70" s="33"/>
      <c r="H70" s="33"/>
      <c r="I70" s="33"/>
      <c r="J70" s="33"/>
      <c r="K70" s="33"/>
      <c r="L70" s="33"/>
      <c r="M70" s="33"/>
      <c r="N70" s="33"/>
      <c r="O70" s="33"/>
      <c r="P70" s="33"/>
      <c r="Q70" s="33"/>
    </row>
    <row r="71" spans="1:17" ht="6" customHeight="1" x14ac:dyDescent="0.25"/>
    <row r="72" spans="1:17" ht="18" customHeight="1" x14ac:dyDescent="0.25">
      <c r="A72" s="43" t="s">
        <v>661</v>
      </c>
      <c r="B72" s="33"/>
      <c r="C72" s="33"/>
      <c r="D72" s="33"/>
      <c r="E72" s="33"/>
      <c r="F72" s="33"/>
      <c r="G72" s="33"/>
      <c r="H72" s="33"/>
      <c r="I72" s="33"/>
      <c r="J72" s="33"/>
      <c r="K72" s="33"/>
      <c r="L72" s="33"/>
      <c r="M72" s="33"/>
      <c r="N72" s="33"/>
      <c r="O72" s="33"/>
      <c r="P72" s="33"/>
      <c r="Q72" s="33"/>
    </row>
    <row r="73" spans="1:17" ht="21" customHeight="1" x14ac:dyDescent="0.25">
      <c r="A73" s="40" t="s">
        <v>797</v>
      </c>
      <c r="B73" s="33"/>
      <c r="C73" s="33"/>
      <c r="D73" s="33"/>
      <c r="E73" s="33"/>
      <c r="F73" s="33"/>
      <c r="G73" s="33"/>
      <c r="H73" s="33"/>
      <c r="I73" s="33"/>
      <c r="J73" s="33"/>
      <c r="K73" s="33"/>
      <c r="L73" s="33"/>
      <c r="M73" s="33"/>
      <c r="N73" s="33"/>
      <c r="O73" s="33"/>
      <c r="P73" s="33"/>
      <c r="Q73" s="33"/>
    </row>
    <row r="74" spans="1:17" ht="6" customHeight="1" x14ac:dyDescent="0.25"/>
    <row r="75" spans="1:17" ht="18" customHeight="1" x14ac:dyDescent="0.25">
      <c r="A75" s="43" t="s">
        <v>668</v>
      </c>
      <c r="B75" s="33"/>
      <c r="C75" s="33"/>
      <c r="D75" s="33"/>
      <c r="E75" s="33"/>
      <c r="F75" s="33"/>
      <c r="G75" s="33"/>
      <c r="H75" s="33"/>
      <c r="I75" s="33"/>
      <c r="J75" s="33"/>
      <c r="K75" s="33"/>
      <c r="L75" s="33"/>
      <c r="M75" s="33"/>
      <c r="N75" s="33"/>
      <c r="O75" s="33"/>
      <c r="P75" s="33"/>
      <c r="Q75" s="33"/>
    </row>
    <row r="76" spans="1:17" ht="21" customHeight="1" x14ac:dyDescent="0.25">
      <c r="A76" s="40" t="s">
        <v>725</v>
      </c>
      <c r="B76" s="33"/>
      <c r="C76" s="33"/>
      <c r="D76" s="33"/>
      <c r="E76" s="33"/>
      <c r="F76" s="33"/>
      <c r="G76" s="33"/>
      <c r="H76" s="33"/>
      <c r="I76" s="33"/>
      <c r="J76" s="33"/>
      <c r="K76" s="33"/>
      <c r="L76" s="33"/>
      <c r="M76" s="33"/>
      <c r="N76" s="33"/>
      <c r="O76" s="33"/>
      <c r="P76" s="33"/>
      <c r="Q76" s="33"/>
    </row>
    <row r="77" spans="1:17" ht="6" customHeight="1" x14ac:dyDescent="0.25"/>
    <row r="78" spans="1:17" ht="18" customHeight="1" x14ac:dyDescent="0.25">
      <c r="A78" s="43" t="s">
        <v>669</v>
      </c>
      <c r="B78" s="33"/>
      <c r="C78" s="33"/>
      <c r="D78" s="33"/>
      <c r="E78" s="33"/>
      <c r="F78" s="33"/>
      <c r="G78" s="33"/>
      <c r="H78" s="33"/>
      <c r="I78" s="33"/>
      <c r="J78" s="33"/>
      <c r="K78" s="33"/>
      <c r="L78" s="33"/>
      <c r="M78" s="33"/>
      <c r="N78" s="33"/>
      <c r="O78" s="33"/>
      <c r="P78" s="33"/>
      <c r="Q78" s="33"/>
    </row>
    <row r="79" spans="1:17" ht="36" customHeight="1" x14ac:dyDescent="0.25">
      <c r="A79" s="40" t="s">
        <v>726</v>
      </c>
      <c r="B79" s="33"/>
      <c r="C79" s="33"/>
      <c r="D79" s="33"/>
      <c r="E79" s="33"/>
      <c r="F79" s="33"/>
      <c r="G79" s="33"/>
      <c r="H79" s="33"/>
      <c r="I79" s="33"/>
      <c r="J79" s="33"/>
      <c r="K79" s="33"/>
      <c r="L79" s="33"/>
      <c r="M79" s="33"/>
      <c r="N79" s="33"/>
      <c r="O79" s="33"/>
      <c r="P79" s="33"/>
      <c r="Q79" s="33"/>
    </row>
    <row r="80" spans="1:17" ht="6" customHeight="1" x14ac:dyDescent="0.25"/>
    <row r="81" spans="1:17" ht="18" customHeight="1" x14ac:dyDescent="0.25">
      <c r="A81" s="43" t="s">
        <v>670</v>
      </c>
      <c r="B81" s="33"/>
      <c r="C81" s="33"/>
      <c r="D81" s="33"/>
      <c r="E81" s="33"/>
      <c r="F81" s="33"/>
      <c r="G81" s="33"/>
      <c r="H81" s="33"/>
      <c r="I81" s="33"/>
      <c r="J81" s="33"/>
      <c r="K81" s="33"/>
      <c r="L81" s="33"/>
      <c r="M81" s="33"/>
      <c r="N81" s="33"/>
      <c r="O81" s="33"/>
      <c r="P81" s="33"/>
      <c r="Q81" s="33"/>
    </row>
    <row r="82" spans="1:17" ht="36" customHeight="1" x14ac:dyDescent="0.25">
      <c r="A82" s="40" t="s">
        <v>727</v>
      </c>
      <c r="B82" s="33"/>
      <c r="C82" s="33"/>
      <c r="D82" s="33"/>
      <c r="E82" s="33"/>
      <c r="F82" s="33"/>
      <c r="G82" s="33"/>
      <c r="H82" s="33"/>
      <c r="I82" s="33"/>
      <c r="J82" s="33"/>
      <c r="K82" s="33"/>
      <c r="L82" s="33"/>
      <c r="M82" s="33"/>
      <c r="N82" s="33"/>
      <c r="O82" s="33"/>
      <c r="P82" s="33"/>
      <c r="Q82" s="33"/>
    </row>
    <row r="83" spans="1:17" ht="6" customHeight="1" x14ac:dyDescent="0.25"/>
    <row r="86" spans="1:17" x14ac:dyDescent="0.25">
      <c r="A86" s="39" t="s">
        <v>728</v>
      </c>
      <c r="B86" s="33"/>
      <c r="C86" s="33"/>
      <c r="D86" s="33"/>
      <c r="E86" s="33"/>
      <c r="F86" s="33"/>
      <c r="G86" s="33"/>
      <c r="H86" s="33"/>
      <c r="I86" s="33"/>
      <c r="J86" s="33"/>
      <c r="K86" s="33"/>
      <c r="L86" s="33"/>
      <c r="M86" s="33"/>
      <c r="N86" s="33"/>
      <c r="O86" s="33"/>
      <c r="P86" s="33"/>
      <c r="Q86" s="33"/>
    </row>
  </sheetData>
  <mergeCells count="33">
    <mergeCell ref="A34:Q34"/>
    <mergeCell ref="A48:Q48"/>
    <mergeCell ref="A45:Q45"/>
    <mergeCell ref="A41:Q41"/>
    <mergeCell ref="A37:Q37"/>
    <mergeCell ref="A54:Q54"/>
    <mergeCell ref="A66:Q66"/>
    <mergeCell ref="A75:Q75"/>
    <mergeCell ref="A44:Q44"/>
    <mergeCell ref="A58:Q58"/>
    <mergeCell ref="A67:Q67"/>
    <mergeCell ref="A50:Q50"/>
    <mergeCell ref="A79:Q79"/>
    <mergeCell ref="A61:Q61"/>
    <mergeCell ref="A70:Q70"/>
    <mergeCell ref="A69:Q69"/>
    <mergeCell ref="A78:Q78"/>
    <mergeCell ref="A86:Q86"/>
    <mergeCell ref="A42:Q42"/>
    <mergeCell ref="A76:Q76"/>
    <mergeCell ref="A47:Q47"/>
    <mergeCell ref="A32:Q32"/>
    <mergeCell ref="A53:Q53"/>
    <mergeCell ref="A35:Q35"/>
    <mergeCell ref="A81:Q81"/>
    <mergeCell ref="A38:Q38"/>
    <mergeCell ref="A72:Q72"/>
    <mergeCell ref="A63:Q63"/>
    <mergeCell ref="A73:Q73"/>
    <mergeCell ref="A64:Q64"/>
    <mergeCell ref="A82:Q82"/>
    <mergeCell ref="A60:Q60"/>
    <mergeCell ref="A51:Q51"/>
  </mergeCells>
  <dataValidations count="8">
    <dataValidation type="list" allowBlank="1" errorTitle="Valore non valido" error="Selezionare dalla lista." promptTitle="Author" prompt="Autore della codifica." sqref="B6:B29" xr:uid="{00000000-0002-0000-0700-000000000000}">
      <formula1>Author_Name</formula1>
    </dataValidation>
    <dataValidation type="list" allowBlank="1" errorTitle="Valore non valido" error="Selezionare dalla lista, oppure lasciare vuoto." promptTitle="In Place" sqref="D6:D29" xr:uid="{00000000-0002-0000-0700-000001000000}">
      <formula1>InPl_Name</formula1>
    </dataValidation>
    <dataValidation type="list" allowBlank="1" errorTitle="Valore non valido" error="Selezionare dalla lista." promptTitle="Categoria" prompt="Categoria Revit della famiglia." sqref="F6:F29" xr:uid="{00000000-0002-0000-0700-000002000000}">
      <formula1>FS_Cat_Name</formula1>
    </dataValidation>
    <dataValidation type="list" allowBlank="1" errorTitle="Valore non valido" error="Selezionare dalla lista." promptTitle="Group1 — provenienza" sqref="H6:H29" xr:uid="{00000000-0002-0000-0700-000003000000}">
      <formula1>PR_G1_Name</formula1>
    </dataValidation>
    <dataValidation type="list" allowBlank="1" errorTitle="Valore non valido" error="Selezionare dalla lista." promptTitle="Group2 — tipo di sistema" prompt="Tipo di sistema componibile." sqref="J6:J29" xr:uid="{00000000-0002-0000-0700-000004000000}">
      <formula1>FS_G2_Name</formula1>
    </dataValidation>
    <dataValidation type="custom" allowBlank="1" errorTitle="Non valido" error="Massimo 24 caratteri, senza spazi, e non compatibile con Group1 = Custom." promptTitle="Manufacturer" prompt="Facoltativo. Azienda produttrice. Campo libero: senza spazi, iniziali maiuscole. Non compatibile con Group1 = Custom." sqref="L6:L29" xr:uid="{00000000-0002-0000-0700-000005000000}">
      <formula1>AND(LEN($L6)&lt;=24,ISERROR(FIND(" ",$L6)),OR($L6="",$I6&lt;&gt;"CT"))</formula1>
    </dataValidation>
    <dataValidation type="custom" allowBlank="1" errorTitle="Non valido" error="Massimo 24 caratteri, senza spazi." promptTitle="Brand" sqref="M6:M29" xr:uid="{00000000-0002-0000-0700-000006000000}">
      <formula1>AND(LEN($M6)&lt;=24,ISERROR(FIND(" ",$M6)))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N6:N29" xr:uid="{00000000-0002-0000-0700-000007000000}">
      <formula1>40</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88"/>
  <sheetViews>
    <sheetView showGridLines="0" workbookViewId="0">
      <pane ySplit="5" topLeftCell="A6" activePane="bottomLeft" state="frozen"/>
      <selection pane="bottomLeft" activeCell="Q6" sqref="Q6:Q31"/>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15" customWidth="1"/>
    <col min="13" max="13" width="13" customWidth="1"/>
    <col min="14" max="14" width="20" customWidth="1"/>
    <col min="15" max="15" width="12" customWidth="1"/>
    <col min="16" max="16" width="36" customWidth="1"/>
    <col min="17" max="17" width="24" customWidth="1"/>
  </cols>
  <sheetData>
    <row r="1" spans="1:17" ht="19.5" x14ac:dyDescent="0.3">
      <c r="A1" s="6" t="s">
        <v>798</v>
      </c>
    </row>
    <row r="2" spans="1:17" x14ac:dyDescent="0.25">
      <c r="A2" s="7" t="s">
        <v>652</v>
      </c>
    </row>
    <row r="3" spans="1:17" x14ac:dyDescent="0.25">
      <c r="A3" s="8" t="s">
        <v>745</v>
      </c>
    </row>
    <row r="4" spans="1:17" ht="17.100000000000001" customHeight="1" x14ac:dyDescent="0.25">
      <c r="A4" s="9" t="s">
        <v>771</v>
      </c>
      <c r="B4" s="10"/>
      <c r="C4" s="10"/>
      <c r="D4" s="10"/>
      <c r="E4" s="10"/>
      <c r="F4" s="10"/>
      <c r="G4" s="10"/>
      <c r="H4" s="10"/>
      <c r="I4" s="10"/>
      <c r="J4" s="10"/>
      <c r="K4" s="10"/>
      <c r="L4" s="10"/>
      <c r="M4" s="10"/>
      <c r="N4" s="10"/>
      <c r="O4" s="10"/>
      <c r="P4" s="10"/>
      <c r="Q4" s="10"/>
    </row>
    <row r="5" spans="1:17" ht="30" customHeight="1" x14ac:dyDescent="0.25">
      <c r="A5" s="11" t="s">
        <v>655</v>
      </c>
      <c r="B5" s="11" t="s">
        <v>85</v>
      </c>
      <c r="C5" s="11" t="s">
        <v>656</v>
      </c>
      <c r="D5" s="12" t="s">
        <v>97</v>
      </c>
      <c r="E5" s="11" t="s">
        <v>96</v>
      </c>
      <c r="F5" s="11" t="s">
        <v>657</v>
      </c>
      <c r="G5" s="11" t="s">
        <v>658</v>
      </c>
      <c r="H5" s="11" t="s">
        <v>659</v>
      </c>
      <c r="I5" s="11" t="s">
        <v>660</v>
      </c>
      <c r="J5" s="11" t="s">
        <v>661</v>
      </c>
      <c r="K5" s="11" t="s">
        <v>662</v>
      </c>
      <c r="L5" s="12" t="s">
        <v>668</v>
      </c>
      <c r="M5" s="12" t="s">
        <v>669</v>
      </c>
      <c r="N5" s="12" t="s">
        <v>670</v>
      </c>
      <c r="O5" s="11" t="s">
        <v>671</v>
      </c>
      <c r="P5" s="11" t="s">
        <v>672</v>
      </c>
      <c r="Q5" s="11" t="s">
        <v>673</v>
      </c>
    </row>
    <row r="6" spans="1:17" x14ac:dyDescent="0.25">
      <c r="A6" s="13" t="s">
        <v>675</v>
      </c>
      <c r="B6" s="14" t="s">
        <v>92</v>
      </c>
      <c r="C6" s="15" t="str">
        <f t="shared" ref="C6:C31" si="0">IFERROR(INDEX(Author_Code,MATCH($B6,Author_Name,0)),"")</f>
        <v>e</v>
      </c>
      <c r="D6" s="16"/>
      <c r="E6" s="15" t="str">
        <f t="shared" ref="E6:E31" si="1">IFERROR(INDEX(InPl_Code,MATCH($D6,InPl_Name,0)),"")</f>
        <v/>
      </c>
      <c r="F6" s="14" t="s">
        <v>355</v>
      </c>
      <c r="G6" s="15" t="str">
        <f t="shared" ref="G6:G31" si="2">IFERROR(INDEX(CK_Cat_Code,MATCH($F6,CK_Cat_Name,0)),"")</f>
        <v>CK</v>
      </c>
      <c r="H6" s="14" t="s">
        <v>99</v>
      </c>
      <c r="I6" s="15" t="str">
        <f t="shared" ref="I6:I31" si="3">IFERROR(INDEX(PR_G1_Code,MATCH($H6,PR_G1_Name,0)),"")</f>
        <v>CT</v>
      </c>
      <c r="J6" s="14" t="s">
        <v>357</v>
      </c>
      <c r="K6" s="15" t="str">
        <f t="shared" ref="K6:K31" si="4">IFERROR(INDEX(CK_G2_Code,MATCH($J6,CK_G2_Name,0)),"")</f>
        <v>KT</v>
      </c>
      <c r="L6" s="17"/>
      <c r="M6" s="17"/>
      <c r="N6" s="17" t="s">
        <v>799</v>
      </c>
      <c r="O6" s="15" t="str">
        <f t="shared" ref="O6:O31" si="5">$G6&amp;IF($I6&lt;&gt;"","."&amp;$I6,"")&amp;IF($K6&lt;&gt;"","."&amp;$K6,"")</f>
        <v>CK.CT.KT</v>
      </c>
      <c r="P6" s="18" t="str">
        <f t="shared" ref="P6:P31" si="6">IF(AND($F6&lt;&gt;"",$H6&lt;&gt;"",$J6&lt;&gt;""),$C6&amp;"_"&amp;$E6&amp;$O6&amp;IF($L6&lt;&gt;"","_"&amp;$L6,"")&amp;IF($M6&lt;&gt;"","_"&amp;$M6,"")&amp;IF($N6&lt;&gt;"","_"&amp;$N6,""),"")</f>
        <v>e_CK.CT.KT_BaseUnit</v>
      </c>
      <c r="Q6" s="19" t="str">
        <f>IFERROR(IF(OR($G6="",$J6=""),"",$K6&amp;"xx"&amp;"_{W}x{D}x{H}"),"")</f>
        <v>KTxx_{W}x{D}x{H}</v>
      </c>
    </row>
    <row r="7" spans="1:17" x14ac:dyDescent="0.25">
      <c r="A7" s="13" t="s">
        <v>676</v>
      </c>
      <c r="B7" s="14" t="s">
        <v>92</v>
      </c>
      <c r="C7" s="15" t="str">
        <f t="shared" si="0"/>
        <v>e</v>
      </c>
      <c r="D7" s="16"/>
      <c r="E7" s="15" t="str">
        <f t="shared" si="1"/>
        <v/>
      </c>
      <c r="F7" s="14" t="s">
        <v>355</v>
      </c>
      <c r="G7" s="15" t="str">
        <f t="shared" si="2"/>
        <v>CK</v>
      </c>
      <c r="H7" s="14" t="s">
        <v>99</v>
      </c>
      <c r="I7" s="15" t="str">
        <f t="shared" si="3"/>
        <v>CT</v>
      </c>
      <c r="J7" s="14" t="s">
        <v>357</v>
      </c>
      <c r="K7" s="15" t="str">
        <f t="shared" si="4"/>
        <v>KT</v>
      </c>
      <c r="L7" s="17"/>
      <c r="M7" s="17"/>
      <c r="N7" s="17" t="s">
        <v>800</v>
      </c>
      <c r="O7" s="15" t="str">
        <f t="shared" si="5"/>
        <v>CK.CT.KT</v>
      </c>
      <c r="P7" s="18" t="str">
        <f t="shared" si="6"/>
        <v>e_CK.CT.KT_WallUnit</v>
      </c>
      <c r="Q7" s="19" t="str">
        <f t="shared" ref="Q7:Q31" si="7">IFERROR(IF(OR($G7="",$J7=""),"",$K7&amp;"xx"&amp;"_{W}x{D}x{H}"),"")</f>
        <v>KTxx_{W}x{D}x{H}</v>
      </c>
    </row>
    <row r="8" spans="1:17" x14ac:dyDescent="0.25">
      <c r="A8" s="13" t="s">
        <v>677</v>
      </c>
      <c r="B8" s="14" t="s">
        <v>92</v>
      </c>
      <c r="C8" s="15" t="str">
        <f t="shared" si="0"/>
        <v>e</v>
      </c>
      <c r="D8" s="16"/>
      <c r="E8" s="15" t="str">
        <f t="shared" si="1"/>
        <v/>
      </c>
      <c r="F8" s="14" t="s">
        <v>355</v>
      </c>
      <c r="G8" s="15" t="str">
        <f t="shared" si="2"/>
        <v>CK</v>
      </c>
      <c r="H8" s="14" t="s">
        <v>99</v>
      </c>
      <c r="I8" s="15" t="str">
        <f t="shared" si="3"/>
        <v>CT</v>
      </c>
      <c r="J8" s="14" t="s">
        <v>313</v>
      </c>
      <c r="K8" s="15" t="str">
        <f t="shared" si="4"/>
        <v>CN</v>
      </c>
      <c r="L8" s="17"/>
      <c r="M8" s="17" t="s">
        <v>255</v>
      </c>
      <c r="N8" s="17"/>
      <c r="O8" s="15" t="str">
        <f t="shared" si="5"/>
        <v>CK.CT.CN</v>
      </c>
      <c r="P8" s="18" t="str">
        <f t="shared" si="6"/>
        <v>e_CK.CT.CN_LV</v>
      </c>
      <c r="Q8" s="19" t="str">
        <f t="shared" si="7"/>
        <v>CNxx_{W}x{D}x{H}</v>
      </c>
    </row>
    <row r="9" spans="1:17" x14ac:dyDescent="0.25">
      <c r="A9" s="13" t="s">
        <v>679</v>
      </c>
      <c r="B9" s="14" t="s">
        <v>92</v>
      </c>
      <c r="C9" s="15" t="str">
        <f t="shared" si="0"/>
        <v>e</v>
      </c>
      <c r="D9" s="16"/>
      <c r="E9" s="15" t="str">
        <f t="shared" si="1"/>
        <v/>
      </c>
      <c r="F9" s="14" t="s">
        <v>355</v>
      </c>
      <c r="G9" s="15" t="str">
        <f t="shared" si="2"/>
        <v>CK</v>
      </c>
      <c r="H9" s="14" t="s">
        <v>94</v>
      </c>
      <c r="I9" s="15" t="str">
        <f t="shared" si="3"/>
        <v>CO</v>
      </c>
      <c r="J9" s="14" t="s">
        <v>360</v>
      </c>
      <c r="K9" s="15" t="str">
        <f t="shared" si="4"/>
        <v>BF</v>
      </c>
      <c r="L9" s="17"/>
      <c r="M9" s="17"/>
      <c r="N9" s="17"/>
      <c r="O9" s="15" t="str">
        <f t="shared" si="5"/>
        <v>CK.CO.BF</v>
      </c>
      <c r="P9" s="18" t="str">
        <f t="shared" si="6"/>
        <v>e_CK.CO.BF</v>
      </c>
      <c r="Q9" s="19" t="str">
        <f t="shared" si="7"/>
        <v>BFxx_{W}x{D}x{H}</v>
      </c>
    </row>
    <row r="10" spans="1:17" x14ac:dyDescent="0.25">
      <c r="A10" s="13" t="s">
        <v>680</v>
      </c>
      <c r="B10" s="14" t="s">
        <v>92</v>
      </c>
      <c r="C10" s="15" t="str">
        <f t="shared" si="0"/>
        <v>e</v>
      </c>
      <c r="D10" s="16"/>
      <c r="E10" s="15" t="str">
        <f t="shared" si="1"/>
        <v/>
      </c>
      <c r="F10" s="14" t="s">
        <v>355</v>
      </c>
      <c r="G10" s="15" t="str">
        <f t="shared" si="2"/>
        <v>CK</v>
      </c>
      <c r="H10" s="14" t="s">
        <v>99</v>
      </c>
      <c r="I10" s="15" t="str">
        <f t="shared" si="3"/>
        <v>CT</v>
      </c>
      <c r="J10" s="14" t="s">
        <v>363</v>
      </c>
      <c r="K10" s="15" t="str">
        <f t="shared" si="4"/>
        <v>WD</v>
      </c>
      <c r="L10" s="17"/>
      <c r="M10" s="17"/>
      <c r="N10" s="17"/>
      <c r="O10" s="15" t="str">
        <f t="shared" si="5"/>
        <v>CK.CT.WD</v>
      </c>
      <c r="P10" s="18" t="str">
        <f t="shared" si="6"/>
        <v>e_CK.CT.WD</v>
      </c>
      <c r="Q10" s="19" t="str">
        <f t="shared" si="7"/>
        <v>WDxx_{W}x{D}x{H}</v>
      </c>
    </row>
    <row r="11" spans="1:17" x14ac:dyDescent="0.25">
      <c r="A11" s="13" t="s">
        <v>682</v>
      </c>
      <c r="B11" s="14" t="s">
        <v>92</v>
      </c>
      <c r="C11" s="15" t="str">
        <f t="shared" si="0"/>
        <v>e</v>
      </c>
      <c r="D11" s="16"/>
      <c r="E11" s="15" t="str">
        <f t="shared" si="1"/>
        <v/>
      </c>
      <c r="F11" s="14" t="s">
        <v>355</v>
      </c>
      <c r="G11" s="15" t="str">
        <f t="shared" si="2"/>
        <v>CK</v>
      </c>
      <c r="H11" s="14" t="s">
        <v>99</v>
      </c>
      <c r="I11" s="15" t="str">
        <f t="shared" si="3"/>
        <v>CT</v>
      </c>
      <c r="J11" s="14" t="s">
        <v>369</v>
      </c>
      <c r="K11" s="15" t="str">
        <f t="shared" si="4"/>
        <v>CD</v>
      </c>
      <c r="L11" s="17"/>
      <c r="M11" s="17"/>
      <c r="N11" s="17"/>
      <c r="O11" s="15" t="str">
        <f t="shared" si="5"/>
        <v>CK.CT.CD</v>
      </c>
      <c r="P11" s="18" t="str">
        <f t="shared" si="6"/>
        <v>e_CK.CT.CD</v>
      </c>
      <c r="Q11" s="19" t="str">
        <f t="shared" si="7"/>
        <v>CDxx_{W}x{D}x{H}</v>
      </c>
    </row>
    <row r="12" spans="1:17" x14ac:dyDescent="0.25">
      <c r="A12" s="13" t="s">
        <v>685</v>
      </c>
      <c r="B12" s="14" t="s">
        <v>92</v>
      </c>
      <c r="C12" s="15" t="str">
        <f t="shared" si="0"/>
        <v>e</v>
      </c>
      <c r="D12" s="16"/>
      <c r="E12" s="15" t="str">
        <f t="shared" si="1"/>
        <v/>
      </c>
      <c r="F12" s="14" t="s">
        <v>355</v>
      </c>
      <c r="G12" s="15" t="str">
        <f t="shared" si="2"/>
        <v>CK</v>
      </c>
      <c r="H12" s="14" t="s">
        <v>99</v>
      </c>
      <c r="I12" s="15" t="str">
        <f t="shared" si="3"/>
        <v>CT</v>
      </c>
      <c r="J12" s="14" t="s">
        <v>372</v>
      </c>
      <c r="K12" s="15" t="str">
        <f t="shared" si="4"/>
        <v>NC</v>
      </c>
      <c r="L12" s="17"/>
      <c r="M12" s="17"/>
      <c r="N12" s="17"/>
      <c r="O12" s="15" t="str">
        <f t="shared" si="5"/>
        <v>CK.CT.NC</v>
      </c>
      <c r="P12" s="18" t="str">
        <f t="shared" si="6"/>
        <v>e_CK.CT.NC</v>
      </c>
      <c r="Q12" s="19" t="str">
        <f t="shared" si="7"/>
        <v>NCxx_{W}x{D}x{H}</v>
      </c>
    </row>
    <row r="13" spans="1:17" x14ac:dyDescent="0.25">
      <c r="A13" s="13" t="s">
        <v>687</v>
      </c>
      <c r="B13" s="14" t="s">
        <v>92</v>
      </c>
      <c r="C13" s="15" t="str">
        <f t="shared" si="0"/>
        <v>e</v>
      </c>
      <c r="D13" s="16"/>
      <c r="E13" s="15" t="str">
        <f t="shared" si="1"/>
        <v/>
      </c>
      <c r="F13" s="14" t="s">
        <v>355</v>
      </c>
      <c r="G13" s="15" t="str">
        <f t="shared" si="2"/>
        <v>CK</v>
      </c>
      <c r="H13" s="14" t="s">
        <v>94</v>
      </c>
      <c r="I13" s="15" t="str">
        <f t="shared" si="3"/>
        <v>CO</v>
      </c>
      <c r="J13" s="14" t="s">
        <v>375</v>
      </c>
      <c r="K13" s="15" t="str">
        <f t="shared" si="4"/>
        <v>LB</v>
      </c>
      <c r="L13" s="17" t="s">
        <v>801</v>
      </c>
      <c r="M13" s="17"/>
      <c r="N13" s="17"/>
      <c r="O13" s="15" t="str">
        <f t="shared" si="5"/>
        <v>CK.CO.LB</v>
      </c>
      <c r="P13" s="18" t="str">
        <f t="shared" si="6"/>
        <v>e_CK.CO.LB_Waldner</v>
      </c>
      <c r="Q13" s="19" t="str">
        <f t="shared" si="7"/>
        <v>LBxx_{W}x{D}x{H}</v>
      </c>
    </row>
    <row r="14" spans="1:17" x14ac:dyDescent="0.25">
      <c r="A14" s="13" t="s">
        <v>689</v>
      </c>
      <c r="B14" s="14" t="s">
        <v>92</v>
      </c>
      <c r="C14" s="15" t="str">
        <f t="shared" si="0"/>
        <v>e</v>
      </c>
      <c r="D14" s="16"/>
      <c r="E14" s="15" t="str">
        <f t="shared" si="1"/>
        <v/>
      </c>
      <c r="F14" s="14" t="s">
        <v>355</v>
      </c>
      <c r="G14" s="15" t="str">
        <f t="shared" si="2"/>
        <v>CK</v>
      </c>
      <c r="H14" s="14" t="s">
        <v>94</v>
      </c>
      <c r="I14" s="15" t="str">
        <f t="shared" si="3"/>
        <v>CO</v>
      </c>
      <c r="J14" s="14" t="s">
        <v>308</v>
      </c>
      <c r="K14" s="15" t="str">
        <f t="shared" si="4"/>
        <v>SV</v>
      </c>
      <c r="L14" s="17"/>
      <c r="M14" s="17"/>
      <c r="N14" s="17"/>
      <c r="O14" s="15" t="str">
        <f t="shared" si="5"/>
        <v>CK.CO.SV</v>
      </c>
      <c r="P14" s="18" t="str">
        <f t="shared" si="6"/>
        <v>e_CK.CO.SV</v>
      </c>
      <c r="Q14" s="19" t="str">
        <f t="shared" si="7"/>
        <v>SVxx_{W}x{D}x{H}</v>
      </c>
    </row>
    <row r="15" spans="1:17" x14ac:dyDescent="0.25">
      <c r="A15" s="13" t="s">
        <v>691</v>
      </c>
      <c r="B15" s="14" t="s">
        <v>92</v>
      </c>
      <c r="C15" s="15" t="str">
        <f t="shared" si="0"/>
        <v>e</v>
      </c>
      <c r="D15" s="16"/>
      <c r="E15" s="15" t="str">
        <f t="shared" si="1"/>
        <v/>
      </c>
      <c r="F15" s="14" t="s">
        <v>355</v>
      </c>
      <c r="G15" s="15" t="str">
        <f t="shared" si="2"/>
        <v>CK</v>
      </c>
      <c r="H15" s="14" t="s">
        <v>94</v>
      </c>
      <c r="I15" s="15" t="str">
        <f t="shared" si="3"/>
        <v>CO</v>
      </c>
      <c r="J15" s="14" t="s">
        <v>378</v>
      </c>
      <c r="K15" s="15" t="str">
        <f t="shared" si="4"/>
        <v>MC</v>
      </c>
      <c r="L15" s="17" t="s">
        <v>802</v>
      </c>
      <c r="M15" s="17"/>
      <c r="N15" s="17"/>
      <c r="O15" s="15" t="str">
        <f t="shared" si="5"/>
        <v>CK.CO.MC</v>
      </c>
      <c r="P15" s="18" t="str">
        <f t="shared" si="6"/>
        <v>e_CK.CO.MC_Malvestio</v>
      </c>
      <c r="Q15" s="19" t="str">
        <f t="shared" si="7"/>
        <v>MCxx_{W}x{D}x{H}</v>
      </c>
    </row>
    <row r="16" spans="1:17" x14ac:dyDescent="0.25">
      <c r="A16" s="13" t="s">
        <v>693</v>
      </c>
      <c r="B16" s="14" t="s">
        <v>92</v>
      </c>
      <c r="C16" s="15" t="str">
        <f t="shared" si="0"/>
        <v>e</v>
      </c>
      <c r="D16" s="16" t="s">
        <v>97</v>
      </c>
      <c r="E16" s="15" t="str">
        <f t="shared" si="1"/>
        <v>(I)</v>
      </c>
      <c r="F16" s="14" t="s">
        <v>355</v>
      </c>
      <c r="G16" s="15" t="str">
        <f t="shared" si="2"/>
        <v>CK</v>
      </c>
      <c r="H16" s="14" t="s">
        <v>99</v>
      </c>
      <c r="I16" s="15" t="str">
        <f t="shared" si="3"/>
        <v>CT</v>
      </c>
      <c r="J16" s="14" t="s">
        <v>357</v>
      </c>
      <c r="K16" s="15" t="str">
        <f t="shared" si="4"/>
        <v>KT</v>
      </c>
      <c r="L16" s="17"/>
      <c r="M16" s="17"/>
      <c r="N16" s="17" t="s">
        <v>799</v>
      </c>
      <c r="O16" s="15" t="str">
        <f t="shared" si="5"/>
        <v>CK.CT.KT</v>
      </c>
      <c r="P16" s="18" t="str">
        <f t="shared" si="6"/>
        <v>e_(I)CK.CT.KT_BaseUnit</v>
      </c>
      <c r="Q16" s="19" t="str">
        <f t="shared" si="7"/>
        <v>KTxx_{W}x{D}x{H}</v>
      </c>
    </row>
    <row r="17" spans="1:17" x14ac:dyDescent="0.25">
      <c r="A17" s="21">
        <v>1</v>
      </c>
      <c r="B17" s="22"/>
      <c r="C17" s="23" t="str">
        <f t="shared" si="0"/>
        <v/>
      </c>
      <c r="D17" s="24"/>
      <c r="E17" s="23" t="str">
        <f t="shared" si="1"/>
        <v/>
      </c>
      <c r="F17" s="22"/>
      <c r="G17" s="23" t="str">
        <f t="shared" si="2"/>
        <v/>
      </c>
      <c r="H17" s="22"/>
      <c r="I17" s="23" t="str">
        <f t="shared" si="3"/>
        <v/>
      </c>
      <c r="J17" s="22"/>
      <c r="K17" s="23" t="str">
        <f t="shared" si="4"/>
        <v/>
      </c>
      <c r="L17" s="25"/>
      <c r="M17" s="25"/>
      <c r="N17" s="25"/>
      <c r="O17" s="23" t="str">
        <f t="shared" si="5"/>
        <v/>
      </c>
      <c r="P17" s="26" t="str">
        <f t="shared" si="6"/>
        <v/>
      </c>
      <c r="Q17" s="19" t="str">
        <f t="shared" si="7"/>
        <v/>
      </c>
    </row>
    <row r="18" spans="1:17" x14ac:dyDescent="0.25">
      <c r="A18" s="21">
        <v>2</v>
      </c>
      <c r="B18" s="22"/>
      <c r="C18" s="23" t="str">
        <f t="shared" si="0"/>
        <v/>
      </c>
      <c r="D18" s="24"/>
      <c r="E18" s="23" t="str">
        <f t="shared" si="1"/>
        <v/>
      </c>
      <c r="F18" s="22"/>
      <c r="G18" s="23" t="str">
        <f t="shared" si="2"/>
        <v/>
      </c>
      <c r="H18" s="22"/>
      <c r="I18" s="23" t="str">
        <f t="shared" si="3"/>
        <v/>
      </c>
      <c r="J18" s="22"/>
      <c r="K18" s="23" t="str">
        <f t="shared" si="4"/>
        <v/>
      </c>
      <c r="L18" s="25"/>
      <c r="M18" s="25"/>
      <c r="N18" s="25"/>
      <c r="O18" s="23" t="str">
        <f t="shared" si="5"/>
        <v/>
      </c>
      <c r="P18" s="26" t="str">
        <f t="shared" si="6"/>
        <v/>
      </c>
      <c r="Q18" s="19" t="str">
        <f t="shared" si="7"/>
        <v/>
      </c>
    </row>
    <row r="19" spans="1:17" x14ac:dyDescent="0.25">
      <c r="A19" s="21">
        <v>3</v>
      </c>
      <c r="B19" s="22"/>
      <c r="C19" s="23" t="str">
        <f t="shared" si="0"/>
        <v/>
      </c>
      <c r="D19" s="24"/>
      <c r="E19" s="23" t="str">
        <f t="shared" si="1"/>
        <v/>
      </c>
      <c r="F19" s="22"/>
      <c r="G19" s="23" t="str">
        <f t="shared" si="2"/>
        <v/>
      </c>
      <c r="H19" s="22"/>
      <c r="I19" s="23" t="str">
        <f t="shared" si="3"/>
        <v/>
      </c>
      <c r="J19" s="22"/>
      <c r="K19" s="23" t="str">
        <f t="shared" si="4"/>
        <v/>
      </c>
      <c r="L19" s="25"/>
      <c r="M19" s="25"/>
      <c r="N19" s="25"/>
      <c r="O19" s="23" t="str">
        <f t="shared" si="5"/>
        <v/>
      </c>
      <c r="P19" s="26" t="str">
        <f t="shared" si="6"/>
        <v/>
      </c>
      <c r="Q19" s="19" t="str">
        <f t="shared" si="7"/>
        <v/>
      </c>
    </row>
    <row r="20" spans="1:17" x14ac:dyDescent="0.25">
      <c r="A20" s="21">
        <v>4</v>
      </c>
      <c r="B20" s="22"/>
      <c r="C20" s="23" t="str">
        <f t="shared" si="0"/>
        <v/>
      </c>
      <c r="D20" s="24"/>
      <c r="E20" s="23" t="str">
        <f t="shared" si="1"/>
        <v/>
      </c>
      <c r="F20" s="22"/>
      <c r="G20" s="23" t="str">
        <f t="shared" si="2"/>
        <v/>
      </c>
      <c r="H20" s="22"/>
      <c r="I20" s="23" t="str">
        <f t="shared" si="3"/>
        <v/>
      </c>
      <c r="J20" s="22"/>
      <c r="K20" s="23" t="str">
        <f t="shared" si="4"/>
        <v/>
      </c>
      <c r="L20" s="25"/>
      <c r="M20" s="25"/>
      <c r="N20" s="25"/>
      <c r="O20" s="23" t="str">
        <f t="shared" si="5"/>
        <v/>
      </c>
      <c r="P20" s="26" t="str">
        <f t="shared" si="6"/>
        <v/>
      </c>
      <c r="Q20" s="19" t="str">
        <f t="shared" si="7"/>
        <v/>
      </c>
    </row>
    <row r="21" spans="1:17" x14ac:dyDescent="0.25">
      <c r="A21" s="21">
        <v>5</v>
      </c>
      <c r="B21" s="22"/>
      <c r="C21" s="23" t="str">
        <f t="shared" si="0"/>
        <v/>
      </c>
      <c r="D21" s="24"/>
      <c r="E21" s="23" t="str">
        <f t="shared" si="1"/>
        <v/>
      </c>
      <c r="F21" s="22"/>
      <c r="G21" s="23" t="str">
        <f t="shared" si="2"/>
        <v/>
      </c>
      <c r="H21" s="22"/>
      <c r="I21" s="23" t="str">
        <f t="shared" si="3"/>
        <v/>
      </c>
      <c r="J21" s="22"/>
      <c r="K21" s="23" t="str">
        <f t="shared" si="4"/>
        <v/>
      </c>
      <c r="L21" s="25"/>
      <c r="M21" s="25"/>
      <c r="N21" s="25"/>
      <c r="O21" s="23" t="str">
        <f t="shared" si="5"/>
        <v/>
      </c>
      <c r="P21" s="26" t="str">
        <f t="shared" si="6"/>
        <v/>
      </c>
      <c r="Q21" s="19" t="str">
        <f t="shared" si="7"/>
        <v/>
      </c>
    </row>
    <row r="22" spans="1:17" x14ac:dyDescent="0.25">
      <c r="A22" s="21">
        <v>6</v>
      </c>
      <c r="B22" s="22"/>
      <c r="C22" s="23" t="str">
        <f t="shared" si="0"/>
        <v/>
      </c>
      <c r="D22" s="24"/>
      <c r="E22" s="23" t="str">
        <f t="shared" si="1"/>
        <v/>
      </c>
      <c r="F22" s="22"/>
      <c r="G22" s="23" t="str">
        <f t="shared" si="2"/>
        <v/>
      </c>
      <c r="H22" s="22"/>
      <c r="I22" s="23" t="str">
        <f t="shared" si="3"/>
        <v/>
      </c>
      <c r="J22" s="22"/>
      <c r="K22" s="23" t="str">
        <f t="shared" si="4"/>
        <v/>
      </c>
      <c r="L22" s="25"/>
      <c r="M22" s="25"/>
      <c r="N22" s="25"/>
      <c r="O22" s="23" t="str">
        <f t="shared" si="5"/>
        <v/>
      </c>
      <c r="P22" s="26" t="str">
        <f t="shared" si="6"/>
        <v/>
      </c>
      <c r="Q22" s="19" t="str">
        <f t="shared" si="7"/>
        <v/>
      </c>
    </row>
    <row r="23" spans="1:17" x14ac:dyDescent="0.25">
      <c r="A23" s="21">
        <v>7</v>
      </c>
      <c r="B23" s="22"/>
      <c r="C23" s="23" t="str">
        <f t="shared" si="0"/>
        <v/>
      </c>
      <c r="D23" s="24"/>
      <c r="E23" s="23" t="str">
        <f t="shared" si="1"/>
        <v/>
      </c>
      <c r="F23" s="22"/>
      <c r="G23" s="23" t="str">
        <f t="shared" si="2"/>
        <v/>
      </c>
      <c r="H23" s="22"/>
      <c r="I23" s="23" t="str">
        <f t="shared" si="3"/>
        <v/>
      </c>
      <c r="J23" s="22"/>
      <c r="K23" s="23" t="str">
        <f t="shared" si="4"/>
        <v/>
      </c>
      <c r="L23" s="25"/>
      <c r="M23" s="25"/>
      <c r="N23" s="25"/>
      <c r="O23" s="23" t="str">
        <f t="shared" si="5"/>
        <v/>
      </c>
      <c r="P23" s="26" t="str">
        <f t="shared" si="6"/>
        <v/>
      </c>
      <c r="Q23" s="19" t="str">
        <f t="shared" si="7"/>
        <v/>
      </c>
    </row>
    <row r="24" spans="1:17" x14ac:dyDescent="0.25">
      <c r="A24" s="21">
        <v>8</v>
      </c>
      <c r="B24" s="22"/>
      <c r="C24" s="23" t="str">
        <f t="shared" si="0"/>
        <v/>
      </c>
      <c r="D24" s="24"/>
      <c r="E24" s="23" t="str">
        <f t="shared" si="1"/>
        <v/>
      </c>
      <c r="F24" s="22"/>
      <c r="G24" s="23" t="str">
        <f t="shared" si="2"/>
        <v/>
      </c>
      <c r="H24" s="22"/>
      <c r="I24" s="23" t="str">
        <f t="shared" si="3"/>
        <v/>
      </c>
      <c r="J24" s="22"/>
      <c r="K24" s="23" t="str">
        <f t="shared" si="4"/>
        <v/>
      </c>
      <c r="L24" s="25"/>
      <c r="M24" s="25"/>
      <c r="N24" s="25"/>
      <c r="O24" s="23" t="str">
        <f t="shared" si="5"/>
        <v/>
      </c>
      <c r="P24" s="26" t="str">
        <f t="shared" si="6"/>
        <v/>
      </c>
      <c r="Q24" s="19" t="str">
        <f t="shared" si="7"/>
        <v/>
      </c>
    </row>
    <row r="25" spans="1:17" x14ac:dyDescent="0.25">
      <c r="A25" s="21">
        <v>9</v>
      </c>
      <c r="B25" s="22"/>
      <c r="C25" s="23" t="str">
        <f t="shared" si="0"/>
        <v/>
      </c>
      <c r="D25" s="24"/>
      <c r="E25" s="23" t="str">
        <f t="shared" si="1"/>
        <v/>
      </c>
      <c r="F25" s="22"/>
      <c r="G25" s="23" t="str">
        <f t="shared" si="2"/>
        <v/>
      </c>
      <c r="H25" s="22"/>
      <c r="I25" s="23" t="str">
        <f t="shared" si="3"/>
        <v/>
      </c>
      <c r="J25" s="22"/>
      <c r="K25" s="23" t="str">
        <f t="shared" si="4"/>
        <v/>
      </c>
      <c r="L25" s="25"/>
      <c r="M25" s="25"/>
      <c r="N25" s="25"/>
      <c r="O25" s="23" t="str">
        <f t="shared" si="5"/>
        <v/>
      </c>
      <c r="P25" s="26" t="str">
        <f t="shared" si="6"/>
        <v/>
      </c>
      <c r="Q25" s="19" t="str">
        <f t="shared" si="7"/>
        <v/>
      </c>
    </row>
    <row r="26" spans="1:17" x14ac:dyDescent="0.25">
      <c r="A26" s="21">
        <v>10</v>
      </c>
      <c r="B26" s="22"/>
      <c r="C26" s="23" t="str">
        <f t="shared" si="0"/>
        <v/>
      </c>
      <c r="D26" s="24"/>
      <c r="E26" s="23" t="str">
        <f t="shared" si="1"/>
        <v/>
      </c>
      <c r="F26" s="22"/>
      <c r="G26" s="23" t="str">
        <f t="shared" si="2"/>
        <v/>
      </c>
      <c r="H26" s="22"/>
      <c r="I26" s="23" t="str">
        <f t="shared" si="3"/>
        <v/>
      </c>
      <c r="J26" s="22"/>
      <c r="K26" s="23" t="str">
        <f t="shared" si="4"/>
        <v/>
      </c>
      <c r="L26" s="25"/>
      <c r="M26" s="25"/>
      <c r="N26" s="25"/>
      <c r="O26" s="23" t="str">
        <f t="shared" si="5"/>
        <v/>
      </c>
      <c r="P26" s="26" t="str">
        <f t="shared" si="6"/>
        <v/>
      </c>
      <c r="Q26" s="19" t="str">
        <f t="shared" si="7"/>
        <v/>
      </c>
    </row>
    <row r="27" spans="1:17" x14ac:dyDescent="0.25">
      <c r="A27" s="21">
        <v>11</v>
      </c>
      <c r="B27" s="22"/>
      <c r="C27" s="23" t="str">
        <f t="shared" si="0"/>
        <v/>
      </c>
      <c r="D27" s="24"/>
      <c r="E27" s="23" t="str">
        <f t="shared" si="1"/>
        <v/>
      </c>
      <c r="F27" s="22"/>
      <c r="G27" s="23" t="str">
        <f t="shared" si="2"/>
        <v/>
      </c>
      <c r="H27" s="22"/>
      <c r="I27" s="23" t="str">
        <f t="shared" si="3"/>
        <v/>
      </c>
      <c r="J27" s="22"/>
      <c r="K27" s="23" t="str">
        <f t="shared" si="4"/>
        <v/>
      </c>
      <c r="L27" s="25"/>
      <c r="M27" s="25"/>
      <c r="N27" s="25"/>
      <c r="O27" s="23" t="str">
        <f t="shared" si="5"/>
        <v/>
      </c>
      <c r="P27" s="26" t="str">
        <f t="shared" si="6"/>
        <v/>
      </c>
      <c r="Q27" s="19" t="str">
        <f t="shared" si="7"/>
        <v/>
      </c>
    </row>
    <row r="28" spans="1:17" x14ac:dyDescent="0.25">
      <c r="A28" s="21">
        <v>12</v>
      </c>
      <c r="B28" s="22"/>
      <c r="C28" s="23" t="str">
        <f t="shared" si="0"/>
        <v/>
      </c>
      <c r="D28" s="24"/>
      <c r="E28" s="23" t="str">
        <f t="shared" si="1"/>
        <v/>
      </c>
      <c r="F28" s="22"/>
      <c r="G28" s="23" t="str">
        <f t="shared" si="2"/>
        <v/>
      </c>
      <c r="H28" s="22"/>
      <c r="I28" s="23" t="str">
        <f t="shared" si="3"/>
        <v/>
      </c>
      <c r="J28" s="22"/>
      <c r="K28" s="23" t="str">
        <f t="shared" si="4"/>
        <v/>
      </c>
      <c r="L28" s="25"/>
      <c r="M28" s="25"/>
      <c r="N28" s="25"/>
      <c r="O28" s="23" t="str">
        <f t="shared" si="5"/>
        <v/>
      </c>
      <c r="P28" s="26" t="str">
        <f t="shared" si="6"/>
        <v/>
      </c>
      <c r="Q28" s="19" t="str">
        <f t="shared" si="7"/>
        <v/>
      </c>
    </row>
    <row r="29" spans="1:17" x14ac:dyDescent="0.25">
      <c r="A29" s="21">
        <v>13</v>
      </c>
      <c r="B29" s="22"/>
      <c r="C29" s="23" t="str">
        <f t="shared" si="0"/>
        <v/>
      </c>
      <c r="D29" s="24"/>
      <c r="E29" s="23" t="str">
        <f t="shared" si="1"/>
        <v/>
      </c>
      <c r="F29" s="22"/>
      <c r="G29" s="23" t="str">
        <f t="shared" si="2"/>
        <v/>
      </c>
      <c r="H29" s="22"/>
      <c r="I29" s="23" t="str">
        <f t="shared" si="3"/>
        <v/>
      </c>
      <c r="J29" s="22"/>
      <c r="K29" s="23" t="str">
        <f t="shared" si="4"/>
        <v/>
      </c>
      <c r="L29" s="25"/>
      <c r="M29" s="25"/>
      <c r="N29" s="25"/>
      <c r="O29" s="23" t="str">
        <f t="shared" si="5"/>
        <v/>
      </c>
      <c r="P29" s="26" t="str">
        <f t="shared" si="6"/>
        <v/>
      </c>
      <c r="Q29" s="19" t="str">
        <f t="shared" si="7"/>
        <v/>
      </c>
    </row>
    <row r="30" spans="1:17" x14ac:dyDescent="0.25">
      <c r="A30" s="21">
        <v>14</v>
      </c>
      <c r="B30" s="22"/>
      <c r="C30" s="23" t="str">
        <f t="shared" si="0"/>
        <v/>
      </c>
      <c r="D30" s="24"/>
      <c r="E30" s="23" t="str">
        <f t="shared" si="1"/>
        <v/>
      </c>
      <c r="F30" s="22"/>
      <c r="G30" s="23" t="str">
        <f t="shared" si="2"/>
        <v/>
      </c>
      <c r="H30" s="22"/>
      <c r="I30" s="23" t="str">
        <f t="shared" si="3"/>
        <v/>
      </c>
      <c r="J30" s="22"/>
      <c r="K30" s="23" t="str">
        <f t="shared" si="4"/>
        <v/>
      </c>
      <c r="L30" s="25"/>
      <c r="M30" s="25"/>
      <c r="N30" s="25"/>
      <c r="O30" s="23" t="str">
        <f t="shared" si="5"/>
        <v/>
      </c>
      <c r="P30" s="26" t="str">
        <f t="shared" si="6"/>
        <v/>
      </c>
      <c r="Q30" s="19" t="str">
        <f t="shared" si="7"/>
        <v/>
      </c>
    </row>
    <row r="31" spans="1:17" x14ac:dyDescent="0.25">
      <c r="A31" s="21">
        <v>15</v>
      </c>
      <c r="B31" s="22"/>
      <c r="C31" s="23" t="str">
        <f t="shared" si="0"/>
        <v/>
      </c>
      <c r="D31" s="24"/>
      <c r="E31" s="23" t="str">
        <f t="shared" si="1"/>
        <v/>
      </c>
      <c r="F31" s="22"/>
      <c r="G31" s="23" t="str">
        <f t="shared" si="2"/>
        <v/>
      </c>
      <c r="H31" s="22"/>
      <c r="I31" s="23" t="str">
        <f t="shared" si="3"/>
        <v/>
      </c>
      <c r="J31" s="22"/>
      <c r="K31" s="23" t="str">
        <f t="shared" si="4"/>
        <v/>
      </c>
      <c r="L31" s="25"/>
      <c r="M31" s="25"/>
      <c r="N31" s="25"/>
      <c r="O31" s="23" t="str">
        <f t="shared" si="5"/>
        <v/>
      </c>
      <c r="P31" s="26" t="str">
        <f t="shared" si="6"/>
        <v/>
      </c>
      <c r="Q31" s="19" t="str">
        <f t="shared" si="7"/>
        <v/>
      </c>
    </row>
    <row r="34" spans="1:17" ht="21.95" customHeight="1" x14ac:dyDescent="0.25">
      <c r="A34" s="41" t="s">
        <v>700</v>
      </c>
      <c r="B34" s="42"/>
      <c r="C34" s="42"/>
      <c r="D34" s="42"/>
      <c r="E34" s="42"/>
      <c r="F34" s="42"/>
      <c r="G34" s="42"/>
      <c r="H34" s="42"/>
      <c r="I34" s="42"/>
      <c r="J34" s="42"/>
      <c r="K34" s="42"/>
      <c r="L34" s="42"/>
      <c r="M34" s="42"/>
      <c r="N34" s="42"/>
      <c r="O34" s="42"/>
      <c r="P34" s="42"/>
      <c r="Q34" s="42"/>
    </row>
    <row r="36" spans="1:17" ht="24" customHeight="1" x14ac:dyDescent="0.25">
      <c r="A36" s="44" t="s">
        <v>803</v>
      </c>
      <c r="B36" s="33"/>
      <c r="C36" s="33"/>
      <c r="D36" s="33"/>
      <c r="E36" s="33"/>
      <c r="F36" s="33"/>
      <c r="G36" s="33"/>
      <c r="H36" s="33"/>
      <c r="I36" s="33"/>
      <c r="J36" s="33"/>
      <c r="K36" s="33"/>
      <c r="L36" s="33"/>
      <c r="M36" s="33"/>
      <c r="N36" s="33"/>
      <c r="O36" s="33"/>
      <c r="P36" s="33"/>
      <c r="Q36" s="33"/>
    </row>
    <row r="37" spans="1:17" ht="51" customHeight="1" x14ac:dyDescent="0.25">
      <c r="A37" s="40" t="s">
        <v>702</v>
      </c>
      <c r="B37" s="33"/>
      <c r="C37" s="33"/>
      <c r="D37" s="33"/>
      <c r="E37" s="33"/>
      <c r="F37" s="33"/>
      <c r="G37" s="33"/>
      <c r="H37" s="33"/>
      <c r="I37" s="33"/>
      <c r="J37" s="33"/>
      <c r="K37" s="33"/>
      <c r="L37" s="33"/>
      <c r="M37" s="33"/>
      <c r="N37" s="33"/>
      <c r="O37" s="33"/>
      <c r="P37" s="33"/>
      <c r="Q37" s="33"/>
    </row>
    <row r="39" spans="1:17" ht="18" customHeight="1" x14ac:dyDescent="0.25">
      <c r="A39" s="43" t="s">
        <v>777</v>
      </c>
      <c r="B39" s="33"/>
      <c r="C39" s="33"/>
      <c r="D39" s="33"/>
      <c r="E39" s="33"/>
      <c r="F39" s="33"/>
      <c r="G39" s="33"/>
      <c r="H39" s="33"/>
      <c r="I39" s="33"/>
      <c r="J39" s="33"/>
      <c r="K39" s="33"/>
      <c r="L39" s="33"/>
      <c r="M39" s="33"/>
      <c r="N39" s="33"/>
      <c r="O39" s="33"/>
      <c r="P39" s="33"/>
      <c r="Q39" s="33"/>
    </row>
    <row r="40" spans="1:17" ht="21" customHeight="1" x14ac:dyDescent="0.25">
      <c r="A40" s="40" t="s">
        <v>804</v>
      </c>
      <c r="B40" s="33"/>
      <c r="C40" s="33"/>
      <c r="D40" s="33"/>
      <c r="E40" s="33"/>
      <c r="F40" s="33"/>
      <c r="G40" s="33"/>
      <c r="H40" s="33"/>
      <c r="I40" s="33"/>
      <c r="J40" s="33"/>
      <c r="K40" s="33"/>
      <c r="L40" s="33"/>
      <c r="M40" s="33"/>
      <c r="N40" s="33"/>
      <c r="O40" s="33"/>
      <c r="P40" s="33"/>
      <c r="Q40" s="33"/>
    </row>
    <row r="43" spans="1:17" ht="21.95" customHeight="1" x14ac:dyDescent="0.25">
      <c r="A43" s="41" t="s">
        <v>805</v>
      </c>
      <c r="B43" s="42"/>
      <c r="C43" s="42"/>
      <c r="D43" s="42"/>
      <c r="E43" s="42"/>
      <c r="F43" s="42"/>
      <c r="G43" s="42"/>
      <c r="H43" s="42"/>
      <c r="I43" s="42"/>
      <c r="J43" s="42"/>
      <c r="K43" s="42"/>
      <c r="L43" s="42"/>
      <c r="M43" s="42"/>
      <c r="N43" s="42"/>
      <c r="O43" s="42"/>
      <c r="P43" s="42"/>
      <c r="Q43" s="42"/>
    </row>
    <row r="44" spans="1:17" ht="15.95" customHeight="1" x14ac:dyDescent="0.25">
      <c r="A44" s="39" t="s">
        <v>780</v>
      </c>
      <c r="B44" s="33"/>
      <c r="C44" s="33"/>
      <c r="D44" s="33"/>
      <c r="E44" s="33"/>
      <c r="F44" s="33"/>
      <c r="G44" s="33"/>
      <c r="H44" s="33"/>
      <c r="I44" s="33"/>
      <c r="J44" s="33"/>
      <c r="K44" s="33"/>
      <c r="L44" s="33"/>
      <c r="M44" s="33"/>
      <c r="N44" s="33"/>
      <c r="O44" s="33"/>
      <c r="P44" s="33"/>
      <c r="Q44" s="33"/>
    </row>
    <row r="46" spans="1:17" ht="18" customHeight="1" x14ac:dyDescent="0.25">
      <c r="A46" s="43" t="s">
        <v>806</v>
      </c>
      <c r="B46" s="33"/>
      <c r="C46" s="33"/>
      <c r="D46" s="33"/>
      <c r="E46" s="33"/>
      <c r="F46" s="33"/>
      <c r="G46" s="33"/>
      <c r="H46" s="33"/>
      <c r="I46" s="33"/>
      <c r="J46" s="33"/>
      <c r="K46" s="33"/>
      <c r="L46" s="33"/>
      <c r="M46" s="33"/>
      <c r="N46" s="33"/>
      <c r="O46" s="33"/>
      <c r="P46" s="33"/>
      <c r="Q46" s="33"/>
    </row>
    <row r="47" spans="1:17" ht="21" customHeight="1" x14ac:dyDescent="0.25">
      <c r="A47" s="40" t="s">
        <v>807</v>
      </c>
      <c r="B47" s="33"/>
      <c r="C47" s="33"/>
      <c r="D47" s="33"/>
      <c r="E47" s="33"/>
      <c r="F47" s="33"/>
      <c r="G47" s="33"/>
      <c r="H47" s="33"/>
      <c r="I47" s="33"/>
      <c r="J47" s="33"/>
      <c r="K47" s="33"/>
      <c r="L47" s="33"/>
      <c r="M47" s="33"/>
      <c r="N47" s="33"/>
      <c r="O47" s="33"/>
      <c r="P47" s="33"/>
      <c r="Q47" s="33"/>
    </row>
    <row r="48" spans="1:17" ht="6" customHeight="1" x14ac:dyDescent="0.25"/>
    <row r="49" spans="1:17" ht="18" customHeight="1" x14ac:dyDescent="0.25">
      <c r="A49" s="43" t="s">
        <v>711</v>
      </c>
      <c r="B49" s="33"/>
      <c r="C49" s="33"/>
      <c r="D49" s="33"/>
      <c r="E49" s="33"/>
      <c r="F49" s="33"/>
      <c r="G49" s="33"/>
      <c r="H49" s="33"/>
      <c r="I49" s="33"/>
      <c r="J49" s="33"/>
      <c r="K49" s="33"/>
      <c r="L49" s="33"/>
      <c r="M49" s="33"/>
      <c r="N49" s="33"/>
      <c r="O49" s="33"/>
      <c r="P49" s="33"/>
      <c r="Q49" s="33"/>
    </row>
    <row r="50" spans="1:17" ht="51" customHeight="1" x14ac:dyDescent="0.25">
      <c r="A50" s="40" t="s">
        <v>712</v>
      </c>
      <c r="B50" s="33"/>
      <c r="C50" s="33"/>
      <c r="D50" s="33"/>
      <c r="E50" s="33"/>
      <c r="F50" s="33"/>
      <c r="G50" s="33"/>
      <c r="H50" s="33"/>
      <c r="I50" s="33"/>
      <c r="J50" s="33"/>
      <c r="K50" s="33"/>
      <c r="L50" s="33"/>
      <c r="M50" s="33"/>
      <c r="N50" s="33"/>
      <c r="O50" s="33"/>
      <c r="P50" s="33"/>
      <c r="Q50" s="33"/>
    </row>
    <row r="51" spans="1:17" ht="6" customHeight="1" x14ac:dyDescent="0.25"/>
    <row r="52" spans="1:17" ht="18" customHeight="1" x14ac:dyDescent="0.25">
      <c r="A52" s="43" t="s">
        <v>659</v>
      </c>
      <c r="B52" s="33"/>
      <c r="C52" s="33"/>
      <c r="D52" s="33"/>
      <c r="E52" s="33"/>
      <c r="F52" s="33"/>
      <c r="G52" s="33"/>
      <c r="H52" s="33"/>
      <c r="I52" s="33"/>
      <c r="J52" s="33"/>
      <c r="K52" s="33"/>
      <c r="L52" s="33"/>
      <c r="M52" s="33"/>
      <c r="N52" s="33"/>
      <c r="O52" s="33"/>
      <c r="P52" s="33"/>
      <c r="Q52" s="33"/>
    </row>
    <row r="53" spans="1:17" ht="36" customHeight="1" x14ac:dyDescent="0.25">
      <c r="A53" s="40" t="s">
        <v>787</v>
      </c>
      <c r="B53" s="33"/>
      <c r="C53" s="33"/>
      <c r="D53" s="33"/>
      <c r="E53" s="33"/>
      <c r="F53" s="33"/>
      <c r="G53" s="33"/>
      <c r="H53" s="33"/>
      <c r="I53" s="33"/>
      <c r="J53" s="33"/>
      <c r="K53" s="33"/>
      <c r="L53" s="33"/>
      <c r="M53" s="33"/>
      <c r="N53" s="33"/>
      <c r="O53" s="33"/>
      <c r="P53" s="33"/>
      <c r="Q53" s="33"/>
    </row>
    <row r="54" spans="1:17" ht="6" customHeight="1" x14ac:dyDescent="0.25"/>
    <row r="55" spans="1:17" ht="18" customHeight="1" x14ac:dyDescent="0.25">
      <c r="A55" s="43" t="s">
        <v>62</v>
      </c>
      <c r="B55" s="33"/>
      <c r="C55" s="33"/>
      <c r="D55" s="33"/>
      <c r="E55" s="33"/>
      <c r="F55" s="33"/>
      <c r="G55" s="33"/>
      <c r="H55" s="33"/>
      <c r="I55" s="33"/>
      <c r="J55" s="33"/>
      <c r="K55" s="33"/>
      <c r="L55" s="33"/>
      <c r="M55" s="33"/>
      <c r="N55" s="33"/>
      <c r="O55" s="33"/>
      <c r="P55" s="33"/>
      <c r="Q55" s="33"/>
    </row>
    <row r="56" spans="1:17" ht="51" customHeight="1" x14ac:dyDescent="0.25">
      <c r="A56" s="40" t="s">
        <v>788</v>
      </c>
      <c r="B56" s="33"/>
      <c r="C56" s="33"/>
      <c r="D56" s="33"/>
      <c r="E56" s="33"/>
      <c r="F56" s="33"/>
      <c r="G56" s="33"/>
      <c r="H56" s="33"/>
      <c r="I56" s="33"/>
      <c r="J56" s="33"/>
      <c r="K56" s="33"/>
      <c r="L56" s="33"/>
      <c r="M56" s="33"/>
      <c r="N56" s="33"/>
      <c r="O56" s="33"/>
      <c r="P56" s="33"/>
      <c r="Q56" s="33"/>
    </row>
    <row r="57" spans="1:17" ht="6" customHeight="1" x14ac:dyDescent="0.25"/>
    <row r="60" spans="1:17" ht="21.95" customHeight="1" x14ac:dyDescent="0.25">
      <c r="A60" s="41" t="s">
        <v>715</v>
      </c>
      <c r="B60" s="42"/>
      <c r="C60" s="42"/>
      <c r="D60" s="42"/>
      <c r="E60" s="42"/>
      <c r="F60" s="42"/>
      <c r="G60" s="42"/>
      <c r="H60" s="42"/>
      <c r="I60" s="42"/>
      <c r="J60" s="42"/>
      <c r="K60" s="42"/>
      <c r="L60" s="42"/>
      <c r="M60" s="42"/>
      <c r="N60" s="42"/>
      <c r="O60" s="42"/>
      <c r="P60" s="42"/>
      <c r="Q60" s="42"/>
    </row>
    <row r="62" spans="1:17" ht="18" customHeight="1" x14ac:dyDescent="0.25">
      <c r="A62" s="43" t="s">
        <v>85</v>
      </c>
      <c r="B62" s="33"/>
      <c r="C62" s="33"/>
      <c r="D62" s="33"/>
      <c r="E62" s="33"/>
      <c r="F62" s="33"/>
      <c r="G62" s="33"/>
      <c r="H62" s="33"/>
      <c r="I62" s="33"/>
      <c r="J62" s="33"/>
      <c r="K62" s="33"/>
      <c r="L62" s="33"/>
      <c r="M62" s="33"/>
      <c r="N62" s="33"/>
      <c r="O62" s="33"/>
      <c r="P62" s="33"/>
      <c r="Q62" s="33"/>
    </row>
    <row r="63" spans="1:17" ht="21" customHeight="1" x14ac:dyDescent="0.25">
      <c r="A63" s="40" t="s">
        <v>716</v>
      </c>
      <c r="B63" s="33"/>
      <c r="C63" s="33"/>
      <c r="D63" s="33"/>
      <c r="E63" s="33"/>
      <c r="F63" s="33"/>
      <c r="G63" s="33"/>
      <c r="H63" s="33"/>
      <c r="I63" s="33"/>
      <c r="J63" s="33"/>
      <c r="K63" s="33"/>
      <c r="L63" s="33"/>
      <c r="M63" s="33"/>
      <c r="N63" s="33"/>
      <c r="O63" s="33"/>
      <c r="P63" s="33"/>
      <c r="Q63" s="33"/>
    </row>
    <row r="64" spans="1:17" ht="6" customHeight="1" x14ac:dyDescent="0.25"/>
    <row r="65" spans="1:17" ht="18" customHeight="1" x14ac:dyDescent="0.25">
      <c r="A65" s="43" t="s">
        <v>97</v>
      </c>
      <c r="B65" s="33"/>
      <c r="C65" s="33"/>
      <c r="D65" s="33"/>
      <c r="E65" s="33"/>
      <c r="F65" s="33"/>
      <c r="G65" s="33"/>
      <c r="H65" s="33"/>
      <c r="I65" s="33"/>
      <c r="J65" s="33"/>
      <c r="K65" s="33"/>
      <c r="L65" s="33"/>
      <c r="M65" s="33"/>
      <c r="N65" s="33"/>
      <c r="O65" s="33"/>
      <c r="P65" s="33"/>
      <c r="Q65" s="33"/>
    </row>
    <row r="66" spans="1:17" ht="36" customHeight="1" x14ac:dyDescent="0.25">
      <c r="A66" s="40" t="s">
        <v>717</v>
      </c>
      <c r="B66" s="33"/>
      <c r="C66" s="33"/>
      <c r="D66" s="33"/>
      <c r="E66" s="33"/>
      <c r="F66" s="33"/>
      <c r="G66" s="33"/>
      <c r="H66" s="33"/>
      <c r="I66" s="33"/>
      <c r="J66" s="33"/>
      <c r="K66" s="33"/>
      <c r="L66" s="33"/>
      <c r="M66" s="33"/>
      <c r="N66" s="33"/>
      <c r="O66" s="33"/>
      <c r="P66" s="33"/>
      <c r="Q66" s="33"/>
    </row>
    <row r="67" spans="1:17" ht="6" customHeight="1" x14ac:dyDescent="0.25"/>
    <row r="68" spans="1:17" ht="18" customHeight="1" x14ac:dyDescent="0.25">
      <c r="A68" s="43" t="s">
        <v>657</v>
      </c>
      <c r="B68" s="33"/>
      <c r="C68" s="33"/>
      <c r="D68" s="33"/>
      <c r="E68" s="33"/>
      <c r="F68" s="33"/>
      <c r="G68" s="33"/>
      <c r="H68" s="33"/>
      <c r="I68" s="33"/>
      <c r="J68" s="33"/>
      <c r="K68" s="33"/>
      <c r="L68" s="33"/>
      <c r="M68" s="33"/>
      <c r="N68" s="33"/>
      <c r="O68" s="33"/>
      <c r="P68" s="33"/>
      <c r="Q68" s="33"/>
    </row>
    <row r="69" spans="1:17" ht="21" customHeight="1" x14ac:dyDescent="0.25">
      <c r="A69" s="40" t="s">
        <v>718</v>
      </c>
      <c r="B69" s="33"/>
      <c r="C69" s="33"/>
      <c r="D69" s="33"/>
      <c r="E69" s="33"/>
      <c r="F69" s="33"/>
      <c r="G69" s="33"/>
      <c r="H69" s="33"/>
      <c r="I69" s="33"/>
      <c r="J69" s="33"/>
      <c r="K69" s="33"/>
      <c r="L69" s="33"/>
      <c r="M69" s="33"/>
      <c r="N69" s="33"/>
      <c r="O69" s="33"/>
      <c r="P69" s="33"/>
      <c r="Q69" s="33"/>
    </row>
    <row r="70" spans="1:17" ht="6" customHeight="1" x14ac:dyDescent="0.25"/>
    <row r="71" spans="1:17" ht="18" customHeight="1" x14ac:dyDescent="0.25">
      <c r="A71" s="43" t="s">
        <v>659</v>
      </c>
      <c r="B71" s="33"/>
      <c r="C71" s="33"/>
      <c r="D71" s="33"/>
      <c r="E71" s="33"/>
      <c r="F71" s="33"/>
      <c r="G71" s="33"/>
      <c r="H71" s="33"/>
      <c r="I71" s="33"/>
      <c r="J71" s="33"/>
      <c r="K71" s="33"/>
      <c r="L71" s="33"/>
      <c r="M71" s="33"/>
      <c r="N71" s="33"/>
      <c r="O71" s="33"/>
      <c r="P71" s="33"/>
      <c r="Q71" s="33"/>
    </row>
    <row r="72" spans="1:17" ht="36" customHeight="1" x14ac:dyDescent="0.25">
      <c r="A72" s="40" t="s">
        <v>789</v>
      </c>
      <c r="B72" s="33"/>
      <c r="C72" s="33"/>
      <c r="D72" s="33"/>
      <c r="E72" s="33"/>
      <c r="F72" s="33"/>
      <c r="G72" s="33"/>
      <c r="H72" s="33"/>
      <c r="I72" s="33"/>
      <c r="J72" s="33"/>
      <c r="K72" s="33"/>
      <c r="L72" s="33"/>
      <c r="M72" s="33"/>
      <c r="N72" s="33"/>
      <c r="O72" s="33"/>
      <c r="P72" s="33"/>
      <c r="Q72" s="33"/>
    </row>
    <row r="73" spans="1:17" ht="6" customHeight="1" x14ac:dyDescent="0.25"/>
    <row r="74" spans="1:17" ht="18" customHeight="1" x14ac:dyDescent="0.25">
      <c r="A74" s="43" t="s">
        <v>661</v>
      </c>
      <c r="B74" s="33"/>
      <c r="C74" s="33"/>
      <c r="D74" s="33"/>
      <c r="E74" s="33"/>
      <c r="F74" s="33"/>
      <c r="G74" s="33"/>
      <c r="H74" s="33"/>
      <c r="I74" s="33"/>
      <c r="J74" s="33"/>
      <c r="K74" s="33"/>
      <c r="L74" s="33"/>
      <c r="M74" s="33"/>
      <c r="N74" s="33"/>
      <c r="O74" s="33"/>
      <c r="P74" s="33"/>
      <c r="Q74" s="33"/>
    </row>
    <row r="75" spans="1:17" ht="21" customHeight="1" x14ac:dyDescent="0.25">
      <c r="A75" s="40" t="s">
        <v>808</v>
      </c>
      <c r="B75" s="33"/>
      <c r="C75" s="33"/>
      <c r="D75" s="33"/>
      <c r="E75" s="33"/>
      <c r="F75" s="33"/>
      <c r="G75" s="33"/>
      <c r="H75" s="33"/>
      <c r="I75" s="33"/>
      <c r="J75" s="33"/>
      <c r="K75" s="33"/>
      <c r="L75" s="33"/>
      <c r="M75" s="33"/>
      <c r="N75" s="33"/>
      <c r="O75" s="33"/>
      <c r="P75" s="33"/>
      <c r="Q75" s="33"/>
    </row>
    <row r="76" spans="1:17" ht="6" customHeight="1" x14ac:dyDescent="0.25"/>
    <row r="77" spans="1:17" ht="18" customHeight="1" x14ac:dyDescent="0.25">
      <c r="A77" s="43" t="s">
        <v>668</v>
      </c>
      <c r="B77" s="33"/>
      <c r="C77" s="33"/>
      <c r="D77" s="33"/>
      <c r="E77" s="33"/>
      <c r="F77" s="33"/>
      <c r="G77" s="33"/>
      <c r="H77" s="33"/>
      <c r="I77" s="33"/>
      <c r="J77" s="33"/>
      <c r="K77" s="33"/>
      <c r="L77" s="33"/>
      <c r="M77" s="33"/>
      <c r="N77" s="33"/>
      <c r="O77" s="33"/>
      <c r="P77" s="33"/>
      <c r="Q77" s="33"/>
    </row>
    <row r="78" spans="1:17" ht="21" customHeight="1" x14ac:dyDescent="0.25">
      <c r="A78" s="40" t="s">
        <v>725</v>
      </c>
      <c r="B78" s="33"/>
      <c r="C78" s="33"/>
      <c r="D78" s="33"/>
      <c r="E78" s="33"/>
      <c r="F78" s="33"/>
      <c r="G78" s="33"/>
      <c r="H78" s="33"/>
      <c r="I78" s="33"/>
      <c r="J78" s="33"/>
      <c r="K78" s="33"/>
      <c r="L78" s="33"/>
      <c r="M78" s="33"/>
      <c r="N78" s="33"/>
      <c r="O78" s="33"/>
      <c r="P78" s="33"/>
      <c r="Q78" s="33"/>
    </row>
    <row r="79" spans="1:17" ht="6" customHeight="1" x14ac:dyDescent="0.25"/>
    <row r="80" spans="1:17" ht="18" customHeight="1" x14ac:dyDescent="0.25">
      <c r="A80" s="43" t="s">
        <v>669</v>
      </c>
      <c r="B80" s="33"/>
      <c r="C80" s="33"/>
      <c r="D80" s="33"/>
      <c r="E80" s="33"/>
      <c r="F80" s="33"/>
      <c r="G80" s="33"/>
      <c r="H80" s="33"/>
      <c r="I80" s="33"/>
      <c r="J80" s="33"/>
      <c r="K80" s="33"/>
      <c r="L80" s="33"/>
      <c r="M80" s="33"/>
      <c r="N80" s="33"/>
      <c r="O80" s="33"/>
      <c r="P80" s="33"/>
      <c r="Q80" s="33"/>
    </row>
    <row r="81" spans="1:17" ht="36" customHeight="1" x14ac:dyDescent="0.25">
      <c r="A81" s="40" t="s">
        <v>726</v>
      </c>
      <c r="B81" s="33"/>
      <c r="C81" s="33"/>
      <c r="D81" s="33"/>
      <c r="E81" s="33"/>
      <c r="F81" s="33"/>
      <c r="G81" s="33"/>
      <c r="H81" s="33"/>
      <c r="I81" s="33"/>
      <c r="J81" s="33"/>
      <c r="K81" s="33"/>
      <c r="L81" s="33"/>
      <c r="M81" s="33"/>
      <c r="N81" s="33"/>
      <c r="O81" s="33"/>
      <c r="P81" s="33"/>
      <c r="Q81" s="33"/>
    </row>
    <row r="82" spans="1:17" ht="6" customHeight="1" x14ac:dyDescent="0.25"/>
    <row r="83" spans="1:17" ht="18" customHeight="1" x14ac:dyDescent="0.25">
      <c r="A83" s="43" t="s">
        <v>670</v>
      </c>
      <c r="B83" s="33"/>
      <c r="C83" s="33"/>
      <c r="D83" s="33"/>
      <c r="E83" s="33"/>
      <c r="F83" s="33"/>
      <c r="G83" s="33"/>
      <c r="H83" s="33"/>
      <c r="I83" s="33"/>
      <c r="J83" s="33"/>
      <c r="K83" s="33"/>
      <c r="L83" s="33"/>
      <c r="M83" s="33"/>
      <c r="N83" s="33"/>
      <c r="O83" s="33"/>
      <c r="P83" s="33"/>
      <c r="Q83" s="33"/>
    </row>
    <row r="84" spans="1:17" ht="36" customHeight="1" x14ac:dyDescent="0.25">
      <c r="A84" s="40" t="s">
        <v>727</v>
      </c>
      <c r="B84" s="33"/>
      <c r="C84" s="33"/>
      <c r="D84" s="33"/>
      <c r="E84" s="33"/>
      <c r="F84" s="33"/>
      <c r="G84" s="33"/>
      <c r="H84" s="33"/>
      <c r="I84" s="33"/>
      <c r="J84" s="33"/>
      <c r="K84" s="33"/>
      <c r="L84" s="33"/>
      <c r="M84" s="33"/>
      <c r="N84" s="33"/>
      <c r="O84" s="33"/>
      <c r="P84" s="33"/>
      <c r="Q84" s="33"/>
    </row>
    <row r="85" spans="1:17" ht="6" customHeight="1" x14ac:dyDescent="0.25"/>
    <row r="88" spans="1:17" x14ac:dyDescent="0.25">
      <c r="A88" s="39" t="s">
        <v>728</v>
      </c>
      <c r="B88" s="33"/>
      <c r="C88" s="33"/>
      <c r="D88" s="33"/>
      <c r="E88" s="33"/>
      <c r="F88" s="33"/>
      <c r="G88" s="33"/>
      <c r="H88" s="33"/>
      <c r="I88" s="33"/>
      <c r="J88" s="33"/>
      <c r="K88" s="33"/>
      <c r="L88" s="33"/>
      <c r="M88" s="33"/>
      <c r="N88" s="33"/>
      <c r="O88" s="33"/>
      <c r="P88" s="33"/>
      <c r="Q88" s="33"/>
    </row>
  </sheetData>
  <mergeCells count="33">
    <mergeCell ref="A44:Q44"/>
    <mergeCell ref="A40:Q40"/>
    <mergeCell ref="A39:Q39"/>
    <mergeCell ref="A34:Q34"/>
    <mergeCell ref="A77:Q77"/>
    <mergeCell ref="A55:Q55"/>
    <mergeCell ref="A50:Q50"/>
    <mergeCell ref="A71:Q71"/>
    <mergeCell ref="A47:Q47"/>
    <mergeCell ref="A53:Q53"/>
    <mergeCell ref="A62:Q62"/>
    <mergeCell ref="A43:Q43"/>
    <mergeCell ref="A83:Q83"/>
    <mergeCell ref="A60:Q60"/>
    <mergeCell ref="A49:Q49"/>
    <mergeCell ref="A36:Q36"/>
    <mergeCell ref="A88:Q88"/>
    <mergeCell ref="A69:Q69"/>
    <mergeCell ref="A65:Q65"/>
    <mergeCell ref="A78:Q78"/>
    <mergeCell ref="A66:Q66"/>
    <mergeCell ref="A80:Q80"/>
    <mergeCell ref="A37:Q37"/>
    <mergeCell ref="A46:Q46"/>
    <mergeCell ref="A75:Q75"/>
    <mergeCell ref="A84:Q84"/>
    <mergeCell ref="A74:Q74"/>
    <mergeCell ref="A56:Q56"/>
    <mergeCell ref="A81:Q81"/>
    <mergeCell ref="A72:Q72"/>
    <mergeCell ref="A52:Q52"/>
    <mergeCell ref="A68:Q68"/>
    <mergeCell ref="A63:Q63"/>
  </mergeCells>
  <dataValidations count="8">
    <dataValidation type="list" allowBlank="1" errorTitle="Valore non valido" error="Selezionare dalla lista." promptTitle="Author" prompt="Autore della codifica." sqref="B6:B31" xr:uid="{00000000-0002-0000-0800-000000000000}">
      <formula1>Author_Name</formula1>
    </dataValidation>
    <dataValidation type="list" allowBlank="1" errorTitle="Valore non valido" error="Selezionare dalla lista, oppure lasciare vuoto." promptTitle="In Place" sqref="D6:D31" xr:uid="{00000000-0002-0000-0800-000001000000}">
      <formula1>InPl_Name</formula1>
    </dataValidation>
    <dataValidation type="list" allowBlank="1" errorTitle="Valore non valido" error="Selezionare dalla lista." promptTitle="Categoria" prompt="Categoria Revit della famiglia." sqref="F6:F31" xr:uid="{00000000-0002-0000-0800-000002000000}">
      <formula1>CK_Cat_Name</formula1>
    </dataValidation>
    <dataValidation type="list" allowBlank="1" errorTitle="Valore non valido" error="Selezionare dalla lista." promptTitle="Group1 — provenienza" sqref="H6:H31" xr:uid="{00000000-0002-0000-0800-000003000000}">
      <formula1>PR_G1_Name</formula1>
    </dataValidation>
    <dataValidation type="list" allowBlank="1" errorTitle="Valore non valido" error="Selezionare dalla lista." promptTitle="Group2 — destinazione" prompt="Destinazione: il locale o l’uso che il mobile serve. Cassetti e ante sono dettagli interni, non categorie." sqref="J6:J31" xr:uid="{00000000-0002-0000-0800-000004000000}">
      <formula1>CK_G2_Name</formula1>
    </dataValidation>
    <dataValidation type="custom" allowBlank="1" errorTitle="Non valido" error="Massimo 24 caratteri, senza spazi, e non compatibile con Group1 = Custom." promptTitle="Manufacturer" prompt="Facoltativo. Azienda produttrice. Campo libero: senza spazi, iniziali maiuscole. Non compatibile con Group1 = Custom." sqref="L6:L31" xr:uid="{00000000-0002-0000-0800-000005000000}">
      <formula1>AND(LEN($L6)&lt;=24,ISERROR(FIND(" ",$L6)),OR($L6="",$I6&lt;&gt;"CT"))</formula1>
    </dataValidation>
    <dataValidation type="custom" allowBlank="1" errorTitle="Non valido" error="Massimo 24 caratteri, senza spazi." promptTitle="Brand" sqref="M6:M31" xr:uid="{00000000-0002-0000-0800-000006000000}">
      <formula1>AND(LEN($M6)&lt;=24,ISERROR(FIND(" ",$M6)))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N6:N31" xr:uid="{00000000-0002-0000-0800-000007000000}">
      <formula1>40</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95"/>
  <sheetViews>
    <sheetView showGridLines="0" workbookViewId="0">
      <pane ySplit="5" topLeftCell="A6" activePane="bottomLeft" state="frozen"/>
      <selection pane="bottomLeft" activeCell="Q6" sqref="Q6:Q32"/>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15" customWidth="1"/>
    <col min="13" max="13" width="13" customWidth="1"/>
    <col min="14" max="14" width="20" customWidth="1"/>
    <col min="15" max="15" width="12" customWidth="1"/>
    <col min="16" max="16" width="36" customWidth="1"/>
    <col min="17" max="17" width="24" customWidth="1"/>
  </cols>
  <sheetData>
    <row r="1" spans="1:17" ht="19.5" x14ac:dyDescent="0.3">
      <c r="A1" s="6" t="s">
        <v>809</v>
      </c>
    </row>
    <row r="2" spans="1:17" x14ac:dyDescent="0.25">
      <c r="A2" s="7" t="s">
        <v>652</v>
      </c>
    </row>
    <row r="3" spans="1:17" x14ac:dyDescent="0.25">
      <c r="A3" s="8" t="s">
        <v>745</v>
      </c>
    </row>
    <row r="4" spans="1:17" ht="17.100000000000001" customHeight="1" x14ac:dyDescent="0.25">
      <c r="A4" s="9" t="s">
        <v>771</v>
      </c>
      <c r="B4" s="10"/>
      <c r="C4" s="10"/>
      <c r="D4" s="10"/>
      <c r="E4" s="10"/>
      <c r="F4" s="10"/>
      <c r="G4" s="10"/>
      <c r="H4" s="10"/>
      <c r="I4" s="10"/>
      <c r="J4" s="10"/>
      <c r="K4" s="10"/>
      <c r="L4" s="10"/>
      <c r="M4" s="10"/>
      <c r="N4" s="10"/>
      <c r="O4" s="10"/>
      <c r="P4" s="10"/>
      <c r="Q4" s="10"/>
    </row>
    <row r="5" spans="1:17" ht="30" customHeight="1" x14ac:dyDescent="0.25">
      <c r="A5" s="11" t="s">
        <v>655</v>
      </c>
      <c r="B5" s="11" t="s">
        <v>85</v>
      </c>
      <c r="C5" s="11" t="s">
        <v>656</v>
      </c>
      <c r="D5" s="12" t="s">
        <v>97</v>
      </c>
      <c r="E5" s="11" t="s">
        <v>96</v>
      </c>
      <c r="F5" s="11" t="s">
        <v>657</v>
      </c>
      <c r="G5" s="11" t="s">
        <v>658</v>
      </c>
      <c r="H5" s="11" t="s">
        <v>659</v>
      </c>
      <c r="I5" s="11" t="s">
        <v>660</v>
      </c>
      <c r="J5" s="11" t="s">
        <v>661</v>
      </c>
      <c r="K5" s="11" t="s">
        <v>662</v>
      </c>
      <c r="L5" s="12" t="s">
        <v>668</v>
      </c>
      <c r="M5" s="12" t="s">
        <v>669</v>
      </c>
      <c r="N5" s="12" t="s">
        <v>670</v>
      </c>
      <c r="O5" s="11" t="s">
        <v>671</v>
      </c>
      <c r="P5" s="11" t="s">
        <v>672</v>
      </c>
      <c r="Q5" s="11" t="s">
        <v>673</v>
      </c>
    </row>
    <row r="6" spans="1:17" x14ac:dyDescent="0.25">
      <c r="A6" s="13" t="s">
        <v>675</v>
      </c>
      <c r="B6" s="14" t="s">
        <v>92</v>
      </c>
      <c r="C6" s="15" t="str">
        <f t="shared" ref="C6:C32" si="0">IFERROR(INDEX(Author_Code,MATCH($B6,Author_Name,0)),"")</f>
        <v>e</v>
      </c>
      <c r="D6" s="16"/>
      <c r="E6" s="15" t="str">
        <f t="shared" ref="E6:E32" si="1">IFERROR(INDEX(InPl_Code,MATCH($D6,InPl_Name,0)),"")</f>
        <v/>
      </c>
      <c r="F6" s="14" t="s">
        <v>387</v>
      </c>
      <c r="G6" s="15" t="str">
        <f t="shared" ref="G6:G32" si="2">IFERROR(INDEX(PF_Cat_Code,MATCH($F6,PF_Cat_Name,0)),"")</f>
        <v>PF</v>
      </c>
      <c r="H6" s="14" t="s">
        <v>94</v>
      </c>
      <c r="I6" s="15" t="str">
        <f t="shared" ref="I6:I32" si="3">IFERROR(INDEX(PR_G1_Code,MATCH($H6,PR_G1_Name,0)),"")</f>
        <v>CO</v>
      </c>
      <c r="J6" s="14" t="s">
        <v>389</v>
      </c>
      <c r="K6" s="15" t="str">
        <f t="shared" ref="K6:K32" si="4">IFERROR(INDEX(PF_G2_Code,MATCH($J6,PF_G2_Name,0)),"")</f>
        <v>WC</v>
      </c>
      <c r="L6" s="17" t="s">
        <v>810</v>
      </c>
      <c r="M6" s="17"/>
      <c r="N6" s="17" t="s">
        <v>811</v>
      </c>
      <c r="O6" s="15" t="str">
        <f t="shared" ref="O6:O32" si="5">$G6&amp;IF($I6&lt;&gt;"","."&amp;$I6,"")&amp;IF($K6&lt;&gt;"","."&amp;$K6,"")</f>
        <v>PF.CO.WC</v>
      </c>
      <c r="P6" s="18" t="str">
        <f t="shared" ref="P6:P32" si="6">IF(AND($F6&lt;&gt;"",$H6&lt;&gt;"",$J6&lt;&gt;""),$C6&amp;"_"&amp;$E6&amp;$O6&amp;IF($L6&lt;&gt;"","_"&amp;$L6,"")&amp;IF($M6&lt;&gt;"","_"&amp;$M6,"")&amp;IF($N6&lt;&gt;"","_"&amp;$N6,""),"")</f>
        <v>e_PF.CO.WC_IdealStandard_Sospeso</v>
      </c>
      <c r="Q6" s="19" t="str">
        <f>IFERROR(IF(OR($G6="",$J6=""),"",$K6&amp;"xx"&amp;"_{W}x{D}"),"")</f>
        <v>WCxx_{W}x{D}</v>
      </c>
    </row>
    <row r="7" spans="1:17" x14ac:dyDescent="0.25">
      <c r="A7" s="13" t="s">
        <v>676</v>
      </c>
      <c r="B7" s="14" t="s">
        <v>92</v>
      </c>
      <c r="C7" s="15" t="str">
        <f t="shared" si="0"/>
        <v>e</v>
      </c>
      <c r="D7" s="16"/>
      <c r="E7" s="15" t="str">
        <f t="shared" si="1"/>
        <v/>
      </c>
      <c r="F7" s="14" t="s">
        <v>387</v>
      </c>
      <c r="G7" s="15" t="str">
        <f t="shared" si="2"/>
        <v>PF</v>
      </c>
      <c r="H7" s="14" t="s">
        <v>94</v>
      </c>
      <c r="I7" s="15" t="str">
        <f t="shared" si="3"/>
        <v>CO</v>
      </c>
      <c r="J7" s="14" t="s">
        <v>389</v>
      </c>
      <c r="K7" s="15" t="str">
        <f t="shared" si="4"/>
        <v>WC</v>
      </c>
      <c r="L7" s="17" t="s">
        <v>810</v>
      </c>
      <c r="M7" s="17"/>
      <c r="N7" s="17" t="s">
        <v>812</v>
      </c>
      <c r="O7" s="15" t="str">
        <f t="shared" si="5"/>
        <v>PF.CO.WC</v>
      </c>
      <c r="P7" s="18" t="str">
        <f t="shared" si="6"/>
        <v>e_PF.CO.WC_IdealStandard_ATerra</v>
      </c>
      <c r="Q7" s="19" t="str">
        <f t="shared" ref="Q7:Q32" si="7">IFERROR(IF(OR($G7="",$J7=""),"",$K7&amp;"xx"&amp;"_{W}x{D}"),"")</f>
        <v>WCxx_{W}x{D}</v>
      </c>
    </row>
    <row r="8" spans="1:17" x14ac:dyDescent="0.25">
      <c r="A8" s="13" t="s">
        <v>677</v>
      </c>
      <c r="B8" s="14" t="s">
        <v>92</v>
      </c>
      <c r="C8" s="15" t="str">
        <f t="shared" si="0"/>
        <v>e</v>
      </c>
      <c r="D8" s="16"/>
      <c r="E8" s="15" t="str">
        <f t="shared" si="1"/>
        <v/>
      </c>
      <c r="F8" s="14" t="s">
        <v>387</v>
      </c>
      <c r="G8" s="15" t="str">
        <f t="shared" si="2"/>
        <v>PF</v>
      </c>
      <c r="H8" s="14" t="s">
        <v>94</v>
      </c>
      <c r="I8" s="15" t="str">
        <f t="shared" si="3"/>
        <v>CO</v>
      </c>
      <c r="J8" s="14" t="s">
        <v>397</v>
      </c>
      <c r="K8" s="15" t="str">
        <f t="shared" si="4"/>
        <v>BA</v>
      </c>
      <c r="L8" s="17" t="s">
        <v>813</v>
      </c>
      <c r="M8" s="17"/>
      <c r="N8" s="17"/>
      <c r="O8" s="15" t="str">
        <f t="shared" si="5"/>
        <v>PF.CO.BA</v>
      </c>
      <c r="P8" s="18" t="str">
        <f t="shared" si="6"/>
        <v>e_PF.CO.BA_Duravit</v>
      </c>
      <c r="Q8" s="19" t="str">
        <f t="shared" si="7"/>
        <v>BAxx_{W}x{D}</v>
      </c>
    </row>
    <row r="9" spans="1:17" x14ac:dyDescent="0.25">
      <c r="A9" s="13" t="s">
        <v>679</v>
      </c>
      <c r="B9" s="14" t="s">
        <v>92</v>
      </c>
      <c r="C9" s="15" t="str">
        <f t="shared" si="0"/>
        <v>e</v>
      </c>
      <c r="D9" s="16"/>
      <c r="E9" s="15" t="str">
        <f t="shared" si="1"/>
        <v/>
      </c>
      <c r="F9" s="14" t="s">
        <v>387</v>
      </c>
      <c r="G9" s="15" t="str">
        <f t="shared" si="2"/>
        <v>PF</v>
      </c>
      <c r="H9" s="14" t="s">
        <v>99</v>
      </c>
      <c r="I9" s="15" t="str">
        <f t="shared" si="3"/>
        <v>CT</v>
      </c>
      <c r="J9" s="14" t="s">
        <v>397</v>
      </c>
      <c r="K9" s="15" t="str">
        <f t="shared" si="4"/>
        <v>BA</v>
      </c>
      <c r="L9" s="17"/>
      <c r="M9" s="17"/>
      <c r="N9" s="17"/>
      <c r="O9" s="15" t="str">
        <f t="shared" si="5"/>
        <v>PF.CT.BA</v>
      </c>
      <c r="P9" s="18" t="str">
        <f t="shared" si="6"/>
        <v>e_PF.CT.BA</v>
      </c>
      <c r="Q9" s="19" t="str">
        <f t="shared" si="7"/>
        <v>BAxx_{W}x{D}</v>
      </c>
    </row>
    <row r="10" spans="1:17" x14ac:dyDescent="0.25">
      <c r="A10" s="13" t="s">
        <v>680</v>
      </c>
      <c r="B10" s="14" t="s">
        <v>92</v>
      </c>
      <c r="C10" s="15" t="str">
        <f t="shared" si="0"/>
        <v>e</v>
      </c>
      <c r="D10" s="16"/>
      <c r="E10" s="15" t="str">
        <f t="shared" si="1"/>
        <v/>
      </c>
      <c r="F10" s="14" t="s">
        <v>387</v>
      </c>
      <c r="G10" s="15" t="str">
        <f t="shared" si="2"/>
        <v>PF</v>
      </c>
      <c r="H10" s="14" t="s">
        <v>94</v>
      </c>
      <c r="I10" s="15" t="str">
        <f t="shared" si="3"/>
        <v>CO</v>
      </c>
      <c r="J10" s="14" t="s">
        <v>392</v>
      </c>
      <c r="K10" s="15" t="str">
        <f t="shared" si="4"/>
        <v>UR</v>
      </c>
      <c r="L10" s="17" t="s">
        <v>814</v>
      </c>
      <c r="M10" s="17"/>
      <c r="N10" s="17"/>
      <c r="O10" s="15" t="str">
        <f t="shared" si="5"/>
        <v>PF.CO.UR</v>
      </c>
      <c r="P10" s="18" t="str">
        <f t="shared" si="6"/>
        <v>e_PF.CO.UR_Catalano</v>
      </c>
      <c r="Q10" s="19" t="str">
        <f t="shared" si="7"/>
        <v>URxx_{W}x{D}</v>
      </c>
    </row>
    <row r="11" spans="1:17" x14ac:dyDescent="0.25">
      <c r="A11" s="13" t="s">
        <v>682</v>
      </c>
      <c r="B11" s="14" t="s">
        <v>92</v>
      </c>
      <c r="C11" s="15" t="str">
        <f t="shared" si="0"/>
        <v>e</v>
      </c>
      <c r="D11" s="16"/>
      <c r="E11" s="15" t="str">
        <f t="shared" si="1"/>
        <v/>
      </c>
      <c r="F11" s="14" t="s">
        <v>387</v>
      </c>
      <c r="G11" s="15" t="str">
        <f t="shared" si="2"/>
        <v>PF</v>
      </c>
      <c r="H11" s="14" t="s">
        <v>94</v>
      </c>
      <c r="I11" s="15" t="str">
        <f t="shared" si="3"/>
        <v>CO</v>
      </c>
      <c r="J11" s="14" t="s">
        <v>402</v>
      </c>
      <c r="K11" s="15" t="str">
        <f t="shared" si="4"/>
        <v>SR</v>
      </c>
      <c r="L11" s="17"/>
      <c r="M11" s="17"/>
      <c r="N11" s="17"/>
      <c r="O11" s="15" t="str">
        <f t="shared" si="5"/>
        <v>PF.CO.SR</v>
      </c>
      <c r="P11" s="18" t="str">
        <f t="shared" si="6"/>
        <v>e_PF.CO.SR</v>
      </c>
      <c r="Q11" s="19" t="str">
        <f t="shared" si="7"/>
        <v>SRxx_{W}x{D}</v>
      </c>
    </row>
    <row r="12" spans="1:17" x14ac:dyDescent="0.25">
      <c r="A12" s="13" t="s">
        <v>685</v>
      </c>
      <c r="B12" s="14" t="s">
        <v>92</v>
      </c>
      <c r="C12" s="15" t="str">
        <f t="shared" si="0"/>
        <v>e</v>
      </c>
      <c r="D12" s="16"/>
      <c r="E12" s="15" t="str">
        <f t="shared" si="1"/>
        <v/>
      </c>
      <c r="F12" s="14" t="s">
        <v>387</v>
      </c>
      <c r="G12" s="15" t="str">
        <f t="shared" si="2"/>
        <v>PF</v>
      </c>
      <c r="H12" s="14" t="s">
        <v>94</v>
      </c>
      <c r="I12" s="15" t="str">
        <f t="shared" si="3"/>
        <v>CO</v>
      </c>
      <c r="J12" s="14" t="s">
        <v>406</v>
      </c>
      <c r="K12" s="15" t="str">
        <f t="shared" si="4"/>
        <v>FD</v>
      </c>
      <c r="L12" s="17"/>
      <c r="M12" s="17"/>
      <c r="N12" s="17"/>
      <c r="O12" s="15" t="str">
        <f t="shared" si="5"/>
        <v>PF.CO.FD</v>
      </c>
      <c r="P12" s="18" t="str">
        <f t="shared" si="6"/>
        <v>e_PF.CO.FD</v>
      </c>
      <c r="Q12" s="19" t="str">
        <f t="shared" si="7"/>
        <v>FDxx_{W}x{D}</v>
      </c>
    </row>
    <row r="13" spans="1:17" x14ac:dyDescent="0.25">
      <c r="A13" s="13" t="s">
        <v>687</v>
      </c>
      <c r="B13" s="14" t="s">
        <v>92</v>
      </c>
      <c r="C13" s="15" t="str">
        <f t="shared" si="0"/>
        <v>e</v>
      </c>
      <c r="D13" s="16"/>
      <c r="E13" s="15" t="str">
        <f t="shared" si="1"/>
        <v/>
      </c>
      <c r="F13" s="14" t="s">
        <v>387</v>
      </c>
      <c r="G13" s="15" t="str">
        <f t="shared" si="2"/>
        <v>PF</v>
      </c>
      <c r="H13" s="14" t="s">
        <v>103</v>
      </c>
      <c r="I13" s="15" t="str">
        <f t="shared" si="3"/>
        <v>CM</v>
      </c>
      <c r="J13" s="14" t="s">
        <v>409</v>
      </c>
      <c r="K13" s="15" t="str">
        <f t="shared" si="4"/>
        <v>FC</v>
      </c>
      <c r="L13" s="17" t="s">
        <v>815</v>
      </c>
      <c r="M13" s="17"/>
      <c r="N13" s="17"/>
      <c r="O13" s="15" t="str">
        <f t="shared" si="5"/>
        <v>PF.CM.FC</v>
      </c>
      <c r="P13" s="18" t="str">
        <f t="shared" si="6"/>
        <v>e_PF.CM.FC_Grohe</v>
      </c>
      <c r="Q13" s="19" t="str">
        <f t="shared" si="7"/>
        <v>FCxx_{W}x{D}</v>
      </c>
    </row>
    <row r="14" spans="1:17" x14ac:dyDescent="0.25">
      <c r="A14" s="13" t="s">
        <v>689</v>
      </c>
      <c r="B14" s="14" t="s">
        <v>92</v>
      </c>
      <c r="C14" s="15" t="str">
        <f t="shared" si="0"/>
        <v>e</v>
      </c>
      <c r="D14" s="16"/>
      <c r="E14" s="15" t="str">
        <f t="shared" si="1"/>
        <v/>
      </c>
      <c r="F14" s="14" t="s">
        <v>387</v>
      </c>
      <c r="G14" s="15" t="str">
        <f t="shared" si="2"/>
        <v>PF</v>
      </c>
      <c r="H14" s="14" t="s">
        <v>103</v>
      </c>
      <c r="I14" s="15" t="str">
        <f t="shared" si="3"/>
        <v>CM</v>
      </c>
      <c r="J14" s="14" t="s">
        <v>412</v>
      </c>
      <c r="K14" s="15" t="str">
        <f t="shared" si="4"/>
        <v>FL</v>
      </c>
      <c r="L14" s="17" t="s">
        <v>816</v>
      </c>
      <c r="M14" s="17"/>
      <c r="N14" s="17"/>
      <c r="O14" s="15" t="str">
        <f t="shared" si="5"/>
        <v>PF.CM.FL</v>
      </c>
      <c r="P14" s="18" t="str">
        <f t="shared" si="6"/>
        <v>e_PF.CM.FL_Geberit</v>
      </c>
      <c r="Q14" s="19" t="str">
        <f t="shared" si="7"/>
        <v>FLxx_{W}x{D}</v>
      </c>
    </row>
    <row r="15" spans="1:17" x14ac:dyDescent="0.25">
      <c r="A15" s="13" t="s">
        <v>691</v>
      </c>
      <c r="B15" s="14" t="s">
        <v>92</v>
      </c>
      <c r="C15" s="15" t="str">
        <f t="shared" si="0"/>
        <v>e</v>
      </c>
      <c r="D15" s="16"/>
      <c r="E15" s="15" t="str">
        <f t="shared" si="1"/>
        <v/>
      </c>
      <c r="F15" s="14" t="s">
        <v>387</v>
      </c>
      <c r="G15" s="15" t="str">
        <f t="shared" si="2"/>
        <v>PF</v>
      </c>
      <c r="H15" s="14" t="s">
        <v>94</v>
      </c>
      <c r="I15" s="15" t="str">
        <f t="shared" si="3"/>
        <v>CO</v>
      </c>
      <c r="J15" s="14" t="s">
        <v>415</v>
      </c>
      <c r="K15" s="15" t="str">
        <f t="shared" si="4"/>
        <v>DF</v>
      </c>
      <c r="L15" s="17"/>
      <c r="M15" s="17"/>
      <c r="N15" s="17"/>
      <c r="O15" s="15" t="str">
        <f t="shared" si="5"/>
        <v>PF.CO.DF</v>
      </c>
      <c r="P15" s="18" t="str">
        <f t="shared" si="6"/>
        <v>e_PF.CO.DF</v>
      </c>
      <c r="Q15" s="19" t="str">
        <f t="shared" si="7"/>
        <v>DFxx_{W}x{D}</v>
      </c>
    </row>
    <row r="16" spans="1:17" x14ac:dyDescent="0.25">
      <c r="A16" s="13" t="s">
        <v>693</v>
      </c>
      <c r="B16" s="14" t="s">
        <v>92</v>
      </c>
      <c r="C16" s="15" t="str">
        <f t="shared" si="0"/>
        <v>e</v>
      </c>
      <c r="D16" s="16"/>
      <c r="E16" s="15" t="str">
        <f t="shared" si="1"/>
        <v/>
      </c>
      <c r="F16" s="14" t="s">
        <v>387</v>
      </c>
      <c r="G16" s="15" t="str">
        <f t="shared" si="2"/>
        <v>PF</v>
      </c>
      <c r="H16" s="14" t="s">
        <v>94</v>
      </c>
      <c r="I16" s="15" t="str">
        <f t="shared" si="3"/>
        <v>CO</v>
      </c>
      <c r="J16" s="14" t="s">
        <v>389</v>
      </c>
      <c r="K16" s="15" t="str">
        <f t="shared" si="4"/>
        <v>WC</v>
      </c>
      <c r="L16" s="17" t="s">
        <v>816</v>
      </c>
      <c r="M16" s="17" t="s">
        <v>775</v>
      </c>
      <c r="N16" s="17"/>
      <c r="O16" s="15" t="str">
        <f t="shared" si="5"/>
        <v>PF.CO.WC</v>
      </c>
      <c r="P16" s="18" t="str">
        <f t="shared" si="6"/>
        <v>e_PF.CO.WC_Geberit_Dior</v>
      </c>
      <c r="Q16" s="19" t="str">
        <f t="shared" si="7"/>
        <v>WCxx_{W}x{D}</v>
      </c>
    </row>
    <row r="17" spans="1:17" x14ac:dyDescent="0.25">
      <c r="A17" s="13" t="s">
        <v>695</v>
      </c>
      <c r="B17" s="14" t="s">
        <v>92</v>
      </c>
      <c r="C17" s="15" t="str">
        <f t="shared" si="0"/>
        <v>e</v>
      </c>
      <c r="D17" s="16" t="s">
        <v>97</v>
      </c>
      <c r="E17" s="15" t="str">
        <f t="shared" si="1"/>
        <v>(I)</v>
      </c>
      <c r="F17" s="14" t="s">
        <v>387</v>
      </c>
      <c r="G17" s="15" t="str">
        <f t="shared" si="2"/>
        <v>PF</v>
      </c>
      <c r="H17" s="14" t="s">
        <v>94</v>
      </c>
      <c r="I17" s="15" t="str">
        <f t="shared" si="3"/>
        <v>CO</v>
      </c>
      <c r="J17" s="14" t="s">
        <v>389</v>
      </c>
      <c r="K17" s="15" t="str">
        <f t="shared" si="4"/>
        <v>WC</v>
      </c>
      <c r="L17" s="17" t="s">
        <v>810</v>
      </c>
      <c r="M17" s="17"/>
      <c r="N17" s="17" t="s">
        <v>811</v>
      </c>
      <c r="O17" s="15" t="str">
        <f t="shared" si="5"/>
        <v>PF.CO.WC</v>
      </c>
      <c r="P17" s="18" t="str">
        <f t="shared" si="6"/>
        <v>e_(I)PF.CO.WC_IdealStandard_Sospeso</v>
      </c>
      <c r="Q17" s="19" t="str">
        <f t="shared" si="7"/>
        <v>WCxx_{W}x{D}</v>
      </c>
    </row>
    <row r="18" spans="1:17" x14ac:dyDescent="0.25">
      <c r="A18" s="21">
        <v>1</v>
      </c>
      <c r="B18" s="22"/>
      <c r="C18" s="23" t="str">
        <f t="shared" si="0"/>
        <v/>
      </c>
      <c r="D18" s="24"/>
      <c r="E18" s="23" t="str">
        <f t="shared" si="1"/>
        <v/>
      </c>
      <c r="F18" s="22"/>
      <c r="G18" s="23" t="str">
        <f t="shared" si="2"/>
        <v/>
      </c>
      <c r="H18" s="22"/>
      <c r="I18" s="23" t="str">
        <f t="shared" si="3"/>
        <v/>
      </c>
      <c r="J18" s="22"/>
      <c r="K18" s="23" t="str">
        <f t="shared" si="4"/>
        <v/>
      </c>
      <c r="L18" s="25"/>
      <c r="M18" s="25"/>
      <c r="N18" s="25"/>
      <c r="O18" s="23" t="str">
        <f t="shared" si="5"/>
        <v/>
      </c>
      <c r="P18" s="26" t="str">
        <f t="shared" si="6"/>
        <v/>
      </c>
      <c r="Q18" s="19" t="str">
        <f t="shared" si="7"/>
        <v/>
      </c>
    </row>
    <row r="19" spans="1:17" x14ac:dyDescent="0.25">
      <c r="A19" s="21">
        <v>2</v>
      </c>
      <c r="B19" s="22"/>
      <c r="C19" s="23" t="str">
        <f t="shared" si="0"/>
        <v/>
      </c>
      <c r="D19" s="24"/>
      <c r="E19" s="23" t="str">
        <f t="shared" si="1"/>
        <v/>
      </c>
      <c r="F19" s="22"/>
      <c r="G19" s="23" t="str">
        <f t="shared" si="2"/>
        <v/>
      </c>
      <c r="H19" s="22"/>
      <c r="I19" s="23" t="str">
        <f t="shared" si="3"/>
        <v/>
      </c>
      <c r="J19" s="22"/>
      <c r="K19" s="23" t="str">
        <f t="shared" si="4"/>
        <v/>
      </c>
      <c r="L19" s="25"/>
      <c r="M19" s="25"/>
      <c r="N19" s="25"/>
      <c r="O19" s="23" t="str">
        <f t="shared" si="5"/>
        <v/>
      </c>
      <c r="P19" s="26" t="str">
        <f t="shared" si="6"/>
        <v/>
      </c>
      <c r="Q19" s="19" t="str">
        <f t="shared" si="7"/>
        <v/>
      </c>
    </row>
    <row r="20" spans="1:17" x14ac:dyDescent="0.25">
      <c r="A20" s="21">
        <v>3</v>
      </c>
      <c r="B20" s="22"/>
      <c r="C20" s="23" t="str">
        <f t="shared" si="0"/>
        <v/>
      </c>
      <c r="D20" s="24"/>
      <c r="E20" s="23" t="str">
        <f t="shared" si="1"/>
        <v/>
      </c>
      <c r="F20" s="22"/>
      <c r="G20" s="23" t="str">
        <f t="shared" si="2"/>
        <v/>
      </c>
      <c r="H20" s="22"/>
      <c r="I20" s="23" t="str">
        <f t="shared" si="3"/>
        <v/>
      </c>
      <c r="J20" s="22"/>
      <c r="K20" s="23" t="str">
        <f t="shared" si="4"/>
        <v/>
      </c>
      <c r="L20" s="25"/>
      <c r="M20" s="25"/>
      <c r="N20" s="25"/>
      <c r="O20" s="23" t="str">
        <f t="shared" si="5"/>
        <v/>
      </c>
      <c r="P20" s="26" t="str">
        <f t="shared" si="6"/>
        <v/>
      </c>
      <c r="Q20" s="19" t="str">
        <f t="shared" si="7"/>
        <v/>
      </c>
    </row>
    <row r="21" spans="1:17" x14ac:dyDescent="0.25">
      <c r="A21" s="21">
        <v>4</v>
      </c>
      <c r="B21" s="22"/>
      <c r="C21" s="23" t="str">
        <f t="shared" si="0"/>
        <v/>
      </c>
      <c r="D21" s="24"/>
      <c r="E21" s="23" t="str">
        <f t="shared" si="1"/>
        <v/>
      </c>
      <c r="F21" s="22"/>
      <c r="G21" s="23" t="str">
        <f t="shared" si="2"/>
        <v/>
      </c>
      <c r="H21" s="22"/>
      <c r="I21" s="23" t="str">
        <f t="shared" si="3"/>
        <v/>
      </c>
      <c r="J21" s="22"/>
      <c r="K21" s="23" t="str">
        <f t="shared" si="4"/>
        <v/>
      </c>
      <c r="L21" s="25"/>
      <c r="M21" s="25"/>
      <c r="N21" s="25"/>
      <c r="O21" s="23" t="str">
        <f t="shared" si="5"/>
        <v/>
      </c>
      <c r="P21" s="26" t="str">
        <f t="shared" si="6"/>
        <v/>
      </c>
      <c r="Q21" s="19" t="str">
        <f t="shared" si="7"/>
        <v/>
      </c>
    </row>
    <row r="22" spans="1:17" x14ac:dyDescent="0.25">
      <c r="A22" s="21">
        <v>5</v>
      </c>
      <c r="B22" s="22"/>
      <c r="C22" s="23" t="str">
        <f t="shared" si="0"/>
        <v/>
      </c>
      <c r="D22" s="24"/>
      <c r="E22" s="23" t="str">
        <f t="shared" si="1"/>
        <v/>
      </c>
      <c r="F22" s="22"/>
      <c r="G22" s="23" t="str">
        <f t="shared" si="2"/>
        <v/>
      </c>
      <c r="H22" s="22"/>
      <c r="I22" s="23" t="str">
        <f t="shared" si="3"/>
        <v/>
      </c>
      <c r="J22" s="22"/>
      <c r="K22" s="23" t="str">
        <f t="shared" si="4"/>
        <v/>
      </c>
      <c r="L22" s="25"/>
      <c r="M22" s="25"/>
      <c r="N22" s="25"/>
      <c r="O22" s="23" t="str">
        <f t="shared" si="5"/>
        <v/>
      </c>
      <c r="P22" s="26" t="str">
        <f t="shared" si="6"/>
        <v/>
      </c>
      <c r="Q22" s="19" t="str">
        <f t="shared" si="7"/>
        <v/>
      </c>
    </row>
    <row r="23" spans="1:17" x14ac:dyDescent="0.25">
      <c r="A23" s="21">
        <v>6</v>
      </c>
      <c r="B23" s="22"/>
      <c r="C23" s="23" t="str">
        <f t="shared" si="0"/>
        <v/>
      </c>
      <c r="D23" s="24"/>
      <c r="E23" s="23" t="str">
        <f t="shared" si="1"/>
        <v/>
      </c>
      <c r="F23" s="22"/>
      <c r="G23" s="23" t="str">
        <f t="shared" si="2"/>
        <v/>
      </c>
      <c r="H23" s="22"/>
      <c r="I23" s="23" t="str">
        <f t="shared" si="3"/>
        <v/>
      </c>
      <c r="J23" s="22"/>
      <c r="K23" s="23" t="str">
        <f t="shared" si="4"/>
        <v/>
      </c>
      <c r="L23" s="25"/>
      <c r="M23" s="25"/>
      <c r="N23" s="25"/>
      <c r="O23" s="23" t="str">
        <f t="shared" si="5"/>
        <v/>
      </c>
      <c r="P23" s="26" t="str">
        <f t="shared" si="6"/>
        <v/>
      </c>
      <c r="Q23" s="19" t="str">
        <f t="shared" si="7"/>
        <v/>
      </c>
    </row>
    <row r="24" spans="1:17" x14ac:dyDescent="0.25">
      <c r="A24" s="21">
        <v>7</v>
      </c>
      <c r="B24" s="22"/>
      <c r="C24" s="23" t="str">
        <f t="shared" si="0"/>
        <v/>
      </c>
      <c r="D24" s="24"/>
      <c r="E24" s="23" t="str">
        <f t="shared" si="1"/>
        <v/>
      </c>
      <c r="F24" s="22"/>
      <c r="G24" s="23" t="str">
        <f t="shared" si="2"/>
        <v/>
      </c>
      <c r="H24" s="22"/>
      <c r="I24" s="23" t="str">
        <f t="shared" si="3"/>
        <v/>
      </c>
      <c r="J24" s="22"/>
      <c r="K24" s="23" t="str">
        <f t="shared" si="4"/>
        <v/>
      </c>
      <c r="L24" s="25"/>
      <c r="M24" s="25"/>
      <c r="N24" s="25"/>
      <c r="O24" s="23" t="str">
        <f t="shared" si="5"/>
        <v/>
      </c>
      <c r="P24" s="26" t="str">
        <f t="shared" si="6"/>
        <v/>
      </c>
      <c r="Q24" s="19" t="str">
        <f t="shared" si="7"/>
        <v/>
      </c>
    </row>
    <row r="25" spans="1:17" x14ac:dyDescent="0.25">
      <c r="A25" s="21">
        <v>8</v>
      </c>
      <c r="B25" s="22"/>
      <c r="C25" s="23" t="str">
        <f t="shared" si="0"/>
        <v/>
      </c>
      <c r="D25" s="24"/>
      <c r="E25" s="23" t="str">
        <f t="shared" si="1"/>
        <v/>
      </c>
      <c r="F25" s="22"/>
      <c r="G25" s="23" t="str">
        <f t="shared" si="2"/>
        <v/>
      </c>
      <c r="H25" s="22"/>
      <c r="I25" s="23" t="str">
        <f t="shared" si="3"/>
        <v/>
      </c>
      <c r="J25" s="22"/>
      <c r="K25" s="23" t="str">
        <f t="shared" si="4"/>
        <v/>
      </c>
      <c r="L25" s="25"/>
      <c r="M25" s="25"/>
      <c r="N25" s="25"/>
      <c r="O25" s="23" t="str">
        <f t="shared" si="5"/>
        <v/>
      </c>
      <c r="P25" s="26" t="str">
        <f t="shared" si="6"/>
        <v/>
      </c>
      <c r="Q25" s="19" t="str">
        <f t="shared" si="7"/>
        <v/>
      </c>
    </row>
    <row r="26" spans="1:17" x14ac:dyDescent="0.25">
      <c r="A26" s="21">
        <v>9</v>
      </c>
      <c r="B26" s="22"/>
      <c r="C26" s="23" t="str">
        <f t="shared" si="0"/>
        <v/>
      </c>
      <c r="D26" s="24"/>
      <c r="E26" s="23" t="str">
        <f t="shared" si="1"/>
        <v/>
      </c>
      <c r="F26" s="22"/>
      <c r="G26" s="23" t="str">
        <f t="shared" si="2"/>
        <v/>
      </c>
      <c r="H26" s="22"/>
      <c r="I26" s="23" t="str">
        <f t="shared" si="3"/>
        <v/>
      </c>
      <c r="J26" s="22"/>
      <c r="K26" s="23" t="str">
        <f t="shared" si="4"/>
        <v/>
      </c>
      <c r="L26" s="25"/>
      <c r="M26" s="25"/>
      <c r="N26" s="25"/>
      <c r="O26" s="23" t="str">
        <f t="shared" si="5"/>
        <v/>
      </c>
      <c r="P26" s="26" t="str">
        <f t="shared" si="6"/>
        <v/>
      </c>
      <c r="Q26" s="19" t="str">
        <f t="shared" si="7"/>
        <v/>
      </c>
    </row>
    <row r="27" spans="1:17" x14ac:dyDescent="0.25">
      <c r="A27" s="21">
        <v>10</v>
      </c>
      <c r="B27" s="22"/>
      <c r="C27" s="23" t="str">
        <f t="shared" si="0"/>
        <v/>
      </c>
      <c r="D27" s="24"/>
      <c r="E27" s="23" t="str">
        <f t="shared" si="1"/>
        <v/>
      </c>
      <c r="F27" s="22"/>
      <c r="G27" s="23" t="str">
        <f t="shared" si="2"/>
        <v/>
      </c>
      <c r="H27" s="22"/>
      <c r="I27" s="23" t="str">
        <f t="shared" si="3"/>
        <v/>
      </c>
      <c r="J27" s="22"/>
      <c r="K27" s="23" t="str">
        <f t="shared" si="4"/>
        <v/>
      </c>
      <c r="L27" s="25"/>
      <c r="M27" s="25"/>
      <c r="N27" s="25"/>
      <c r="O27" s="23" t="str">
        <f t="shared" si="5"/>
        <v/>
      </c>
      <c r="P27" s="26" t="str">
        <f t="shared" si="6"/>
        <v/>
      </c>
      <c r="Q27" s="19" t="str">
        <f t="shared" si="7"/>
        <v/>
      </c>
    </row>
    <row r="28" spans="1:17" x14ac:dyDescent="0.25">
      <c r="A28" s="21">
        <v>11</v>
      </c>
      <c r="B28" s="22"/>
      <c r="C28" s="23" t="str">
        <f t="shared" si="0"/>
        <v/>
      </c>
      <c r="D28" s="24"/>
      <c r="E28" s="23" t="str">
        <f t="shared" si="1"/>
        <v/>
      </c>
      <c r="F28" s="22"/>
      <c r="G28" s="23" t="str">
        <f t="shared" si="2"/>
        <v/>
      </c>
      <c r="H28" s="22"/>
      <c r="I28" s="23" t="str">
        <f t="shared" si="3"/>
        <v/>
      </c>
      <c r="J28" s="22"/>
      <c r="K28" s="23" t="str">
        <f t="shared" si="4"/>
        <v/>
      </c>
      <c r="L28" s="25"/>
      <c r="M28" s="25"/>
      <c r="N28" s="25"/>
      <c r="O28" s="23" t="str">
        <f t="shared" si="5"/>
        <v/>
      </c>
      <c r="P28" s="26" t="str">
        <f t="shared" si="6"/>
        <v/>
      </c>
      <c r="Q28" s="19" t="str">
        <f t="shared" si="7"/>
        <v/>
      </c>
    </row>
    <row r="29" spans="1:17" x14ac:dyDescent="0.25">
      <c r="A29" s="21">
        <v>12</v>
      </c>
      <c r="B29" s="22"/>
      <c r="C29" s="23" t="str">
        <f t="shared" si="0"/>
        <v/>
      </c>
      <c r="D29" s="24"/>
      <c r="E29" s="23" t="str">
        <f t="shared" si="1"/>
        <v/>
      </c>
      <c r="F29" s="22"/>
      <c r="G29" s="23" t="str">
        <f t="shared" si="2"/>
        <v/>
      </c>
      <c r="H29" s="22"/>
      <c r="I29" s="23" t="str">
        <f t="shared" si="3"/>
        <v/>
      </c>
      <c r="J29" s="22"/>
      <c r="K29" s="23" t="str">
        <f t="shared" si="4"/>
        <v/>
      </c>
      <c r="L29" s="25"/>
      <c r="M29" s="25"/>
      <c r="N29" s="25"/>
      <c r="O29" s="23" t="str">
        <f t="shared" si="5"/>
        <v/>
      </c>
      <c r="P29" s="26" t="str">
        <f t="shared" si="6"/>
        <v/>
      </c>
      <c r="Q29" s="19" t="str">
        <f t="shared" si="7"/>
        <v/>
      </c>
    </row>
    <row r="30" spans="1:17" x14ac:dyDescent="0.25">
      <c r="A30" s="21">
        <v>13</v>
      </c>
      <c r="B30" s="22"/>
      <c r="C30" s="23" t="str">
        <f t="shared" si="0"/>
        <v/>
      </c>
      <c r="D30" s="24"/>
      <c r="E30" s="23" t="str">
        <f t="shared" si="1"/>
        <v/>
      </c>
      <c r="F30" s="22"/>
      <c r="G30" s="23" t="str">
        <f t="shared" si="2"/>
        <v/>
      </c>
      <c r="H30" s="22"/>
      <c r="I30" s="23" t="str">
        <f t="shared" si="3"/>
        <v/>
      </c>
      <c r="J30" s="22"/>
      <c r="K30" s="23" t="str">
        <f t="shared" si="4"/>
        <v/>
      </c>
      <c r="L30" s="25"/>
      <c r="M30" s="25"/>
      <c r="N30" s="25"/>
      <c r="O30" s="23" t="str">
        <f t="shared" si="5"/>
        <v/>
      </c>
      <c r="P30" s="26" t="str">
        <f t="shared" si="6"/>
        <v/>
      </c>
      <c r="Q30" s="19" t="str">
        <f t="shared" si="7"/>
        <v/>
      </c>
    </row>
    <row r="31" spans="1:17" x14ac:dyDescent="0.25">
      <c r="A31" s="21">
        <v>14</v>
      </c>
      <c r="B31" s="22"/>
      <c r="C31" s="23" t="str">
        <f t="shared" si="0"/>
        <v/>
      </c>
      <c r="D31" s="24"/>
      <c r="E31" s="23" t="str">
        <f t="shared" si="1"/>
        <v/>
      </c>
      <c r="F31" s="22"/>
      <c r="G31" s="23" t="str">
        <f t="shared" si="2"/>
        <v/>
      </c>
      <c r="H31" s="22"/>
      <c r="I31" s="23" t="str">
        <f t="shared" si="3"/>
        <v/>
      </c>
      <c r="J31" s="22"/>
      <c r="K31" s="23" t="str">
        <f t="shared" si="4"/>
        <v/>
      </c>
      <c r="L31" s="25"/>
      <c r="M31" s="25"/>
      <c r="N31" s="25"/>
      <c r="O31" s="23" t="str">
        <f t="shared" si="5"/>
        <v/>
      </c>
      <c r="P31" s="26" t="str">
        <f t="shared" si="6"/>
        <v/>
      </c>
      <c r="Q31" s="19" t="str">
        <f t="shared" si="7"/>
        <v/>
      </c>
    </row>
    <row r="32" spans="1:17" x14ac:dyDescent="0.25">
      <c r="A32" s="21">
        <v>15</v>
      </c>
      <c r="B32" s="22"/>
      <c r="C32" s="23" t="str">
        <f t="shared" si="0"/>
        <v/>
      </c>
      <c r="D32" s="24"/>
      <c r="E32" s="23" t="str">
        <f t="shared" si="1"/>
        <v/>
      </c>
      <c r="F32" s="22"/>
      <c r="G32" s="23" t="str">
        <f t="shared" si="2"/>
        <v/>
      </c>
      <c r="H32" s="22"/>
      <c r="I32" s="23" t="str">
        <f t="shared" si="3"/>
        <v/>
      </c>
      <c r="J32" s="22"/>
      <c r="K32" s="23" t="str">
        <f t="shared" si="4"/>
        <v/>
      </c>
      <c r="L32" s="25"/>
      <c r="M32" s="25"/>
      <c r="N32" s="25"/>
      <c r="O32" s="23" t="str">
        <f t="shared" si="5"/>
        <v/>
      </c>
      <c r="P32" s="26" t="str">
        <f t="shared" si="6"/>
        <v/>
      </c>
      <c r="Q32" s="19" t="str">
        <f t="shared" si="7"/>
        <v/>
      </c>
    </row>
    <row r="35" spans="1:17" ht="21.95" customHeight="1" x14ac:dyDescent="0.25">
      <c r="A35" s="41" t="s">
        <v>700</v>
      </c>
      <c r="B35" s="42"/>
      <c r="C35" s="42"/>
      <c r="D35" s="42"/>
      <c r="E35" s="42"/>
      <c r="F35" s="42"/>
      <c r="G35" s="42"/>
      <c r="H35" s="42"/>
      <c r="I35" s="42"/>
      <c r="J35" s="42"/>
      <c r="K35" s="42"/>
      <c r="L35" s="42"/>
      <c r="M35" s="42"/>
      <c r="N35" s="42"/>
      <c r="O35" s="42"/>
      <c r="P35" s="42"/>
      <c r="Q35" s="42"/>
    </row>
    <row r="37" spans="1:17" ht="24" customHeight="1" x14ac:dyDescent="0.25">
      <c r="A37" s="44" t="s">
        <v>817</v>
      </c>
      <c r="B37" s="33"/>
      <c r="C37" s="33"/>
      <c r="D37" s="33"/>
      <c r="E37" s="33"/>
      <c r="F37" s="33"/>
      <c r="G37" s="33"/>
      <c r="H37" s="33"/>
      <c r="I37" s="33"/>
      <c r="J37" s="33"/>
      <c r="K37" s="33"/>
      <c r="L37" s="33"/>
      <c r="M37" s="33"/>
      <c r="N37" s="33"/>
      <c r="O37" s="33"/>
      <c r="P37" s="33"/>
      <c r="Q37" s="33"/>
    </row>
    <row r="38" spans="1:17" ht="51" customHeight="1" x14ac:dyDescent="0.25">
      <c r="A38" s="40" t="s">
        <v>702</v>
      </c>
      <c r="B38" s="33"/>
      <c r="C38" s="33"/>
      <c r="D38" s="33"/>
      <c r="E38" s="33"/>
      <c r="F38" s="33"/>
      <c r="G38" s="33"/>
      <c r="H38" s="33"/>
      <c r="I38" s="33"/>
      <c r="J38" s="33"/>
      <c r="K38" s="33"/>
      <c r="L38" s="33"/>
      <c r="M38" s="33"/>
      <c r="N38" s="33"/>
      <c r="O38" s="33"/>
      <c r="P38" s="33"/>
      <c r="Q38" s="33"/>
    </row>
    <row r="40" spans="1:17" ht="18" customHeight="1" x14ac:dyDescent="0.25">
      <c r="A40" s="43" t="s">
        <v>777</v>
      </c>
      <c r="B40" s="33"/>
      <c r="C40" s="33"/>
      <c r="D40" s="33"/>
      <c r="E40" s="33"/>
      <c r="F40" s="33"/>
      <c r="G40" s="33"/>
      <c r="H40" s="33"/>
      <c r="I40" s="33"/>
      <c r="J40" s="33"/>
      <c r="K40" s="33"/>
      <c r="L40" s="33"/>
      <c r="M40" s="33"/>
      <c r="N40" s="33"/>
      <c r="O40" s="33"/>
      <c r="P40" s="33"/>
      <c r="Q40" s="33"/>
    </row>
    <row r="41" spans="1:17" ht="21" customHeight="1" x14ac:dyDescent="0.25">
      <c r="A41" s="40" t="s">
        <v>818</v>
      </c>
      <c r="B41" s="33"/>
      <c r="C41" s="33"/>
      <c r="D41" s="33"/>
      <c r="E41" s="33"/>
      <c r="F41" s="33"/>
      <c r="G41" s="33"/>
      <c r="H41" s="33"/>
      <c r="I41" s="33"/>
      <c r="J41" s="33"/>
      <c r="K41" s="33"/>
      <c r="L41" s="33"/>
      <c r="M41" s="33"/>
      <c r="N41" s="33"/>
      <c r="O41" s="33"/>
      <c r="P41" s="33"/>
      <c r="Q41" s="33"/>
    </row>
    <row r="44" spans="1:17" ht="21.95" customHeight="1" x14ac:dyDescent="0.25">
      <c r="A44" s="41" t="s">
        <v>819</v>
      </c>
      <c r="B44" s="42"/>
      <c r="C44" s="42"/>
      <c r="D44" s="42"/>
      <c r="E44" s="42"/>
      <c r="F44" s="42"/>
      <c r="G44" s="42"/>
      <c r="H44" s="42"/>
      <c r="I44" s="42"/>
      <c r="J44" s="42"/>
      <c r="K44" s="42"/>
      <c r="L44" s="42"/>
      <c r="M44" s="42"/>
      <c r="N44" s="42"/>
      <c r="O44" s="42"/>
      <c r="P44" s="42"/>
      <c r="Q44" s="42"/>
    </row>
    <row r="45" spans="1:17" ht="15.95" customHeight="1" x14ac:dyDescent="0.25">
      <c r="A45" s="39" t="s">
        <v>780</v>
      </c>
      <c r="B45" s="33"/>
      <c r="C45" s="33"/>
      <c r="D45" s="33"/>
      <c r="E45" s="33"/>
      <c r="F45" s="33"/>
      <c r="G45" s="33"/>
      <c r="H45" s="33"/>
      <c r="I45" s="33"/>
      <c r="J45" s="33"/>
      <c r="K45" s="33"/>
      <c r="L45" s="33"/>
      <c r="M45" s="33"/>
      <c r="N45" s="33"/>
      <c r="O45" s="33"/>
      <c r="P45" s="33"/>
      <c r="Q45" s="33"/>
    </row>
    <row r="47" spans="1:17" ht="18" customHeight="1" x14ac:dyDescent="0.25">
      <c r="A47" s="43" t="s">
        <v>820</v>
      </c>
      <c r="B47" s="33"/>
      <c r="C47" s="33"/>
      <c r="D47" s="33"/>
      <c r="E47" s="33"/>
      <c r="F47" s="33"/>
      <c r="G47" s="33"/>
      <c r="H47" s="33"/>
      <c r="I47" s="33"/>
      <c r="J47" s="33"/>
      <c r="K47" s="33"/>
      <c r="L47" s="33"/>
      <c r="M47" s="33"/>
      <c r="N47" s="33"/>
      <c r="O47" s="33"/>
      <c r="P47" s="33"/>
      <c r="Q47" s="33"/>
    </row>
    <row r="48" spans="1:17" ht="21" customHeight="1" x14ac:dyDescent="0.25">
      <c r="A48" s="40" t="s">
        <v>821</v>
      </c>
      <c r="B48" s="33"/>
      <c r="C48" s="33"/>
      <c r="D48" s="33"/>
      <c r="E48" s="33"/>
      <c r="F48" s="33"/>
      <c r="G48" s="33"/>
      <c r="H48" s="33"/>
      <c r="I48" s="33"/>
      <c r="J48" s="33"/>
      <c r="K48" s="33"/>
      <c r="L48" s="33"/>
      <c r="M48" s="33"/>
      <c r="N48" s="33"/>
      <c r="O48" s="33"/>
      <c r="P48" s="33"/>
      <c r="Q48" s="33"/>
    </row>
    <row r="49" spans="1:17" ht="6" customHeight="1" x14ac:dyDescent="0.25"/>
    <row r="50" spans="1:17" ht="18" customHeight="1" x14ac:dyDescent="0.25">
      <c r="A50" s="43" t="s">
        <v>785</v>
      </c>
      <c r="B50" s="33"/>
      <c r="C50" s="33"/>
      <c r="D50" s="33"/>
      <c r="E50" s="33"/>
      <c r="F50" s="33"/>
      <c r="G50" s="33"/>
      <c r="H50" s="33"/>
      <c r="I50" s="33"/>
      <c r="J50" s="33"/>
      <c r="K50" s="33"/>
      <c r="L50" s="33"/>
      <c r="M50" s="33"/>
      <c r="N50" s="33"/>
      <c r="O50" s="33"/>
      <c r="P50" s="33"/>
      <c r="Q50" s="33"/>
    </row>
    <row r="51" spans="1:17" ht="36" customHeight="1" x14ac:dyDescent="0.25">
      <c r="A51" s="40" t="s">
        <v>822</v>
      </c>
      <c r="B51" s="33"/>
      <c r="C51" s="33"/>
      <c r="D51" s="33"/>
      <c r="E51" s="33"/>
      <c r="F51" s="33"/>
      <c r="G51" s="33"/>
      <c r="H51" s="33"/>
      <c r="I51" s="33"/>
      <c r="J51" s="33"/>
      <c r="K51" s="33"/>
      <c r="L51" s="33"/>
      <c r="M51" s="33"/>
      <c r="N51" s="33"/>
      <c r="O51" s="33"/>
      <c r="P51" s="33"/>
      <c r="Q51" s="33"/>
    </row>
    <row r="52" spans="1:17" ht="6" customHeight="1" x14ac:dyDescent="0.25"/>
    <row r="53" spans="1:17" ht="18" customHeight="1" x14ac:dyDescent="0.25">
      <c r="A53" s="43" t="s">
        <v>823</v>
      </c>
      <c r="B53" s="33"/>
      <c r="C53" s="33"/>
      <c r="D53" s="33"/>
      <c r="E53" s="33"/>
      <c r="F53" s="33"/>
      <c r="G53" s="33"/>
      <c r="H53" s="33"/>
      <c r="I53" s="33"/>
      <c r="J53" s="33"/>
      <c r="K53" s="33"/>
      <c r="L53" s="33"/>
      <c r="M53" s="33"/>
      <c r="N53" s="33"/>
      <c r="O53" s="33"/>
      <c r="P53" s="33"/>
      <c r="Q53" s="33"/>
    </row>
    <row r="54" spans="1:17" ht="21" customHeight="1" x14ac:dyDescent="0.25">
      <c r="A54" s="40" t="s">
        <v>824</v>
      </c>
      <c r="B54" s="33"/>
      <c r="C54" s="33"/>
      <c r="D54" s="33"/>
      <c r="E54" s="33"/>
      <c r="F54" s="33"/>
      <c r="G54" s="33"/>
      <c r="H54" s="33"/>
      <c r="I54" s="33"/>
      <c r="J54" s="33"/>
      <c r="K54" s="33"/>
      <c r="L54" s="33"/>
      <c r="M54" s="33"/>
      <c r="N54" s="33"/>
      <c r="O54" s="33"/>
      <c r="P54" s="33"/>
      <c r="Q54" s="33"/>
    </row>
    <row r="55" spans="1:17" ht="6" customHeight="1" x14ac:dyDescent="0.25"/>
    <row r="56" spans="1:17" ht="18" customHeight="1" x14ac:dyDescent="0.25">
      <c r="A56" s="43" t="s">
        <v>711</v>
      </c>
      <c r="B56" s="33"/>
      <c r="C56" s="33"/>
      <c r="D56" s="33"/>
      <c r="E56" s="33"/>
      <c r="F56" s="33"/>
      <c r="G56" s="33"/>
      <c r="H56" s="33"/>
      <c r="I56" s="33"/>
      <c r="J56" s="33"/>
      <c r="K56" s="33"/>
      <c r="L56" s="33"/>
      <c r="M56" s="33"/>
      <c r="N56" s="33"/>
      <c r="O56" s="33"/>
      <c r="P56" s="33"/>
      <c r="Q56" s="33"/>
    </row>
    <row r="57" spans="1:17" ht="51" customHeight="1" x14ac:dyDescent="0.25">
      <c r="A57" s="40" t="s">
        <v>712</v>
      </c>
      <c r="B57" s="33"/>
      <c r="C57" s="33"/>
      <c r="D57" s="33"/>
      <c r="E57" s="33"/>
      <c r="F57" s="33"/>
      <c r="G57" s="33"/>
      <c r="H57" s="33"/>
      <c r="I57" s="33"/>
      <c r="J57" s="33"/>
      <c r="K57" s="33"/>
      <c r="L57" s="33"/>
      <c r="M57" s="33"/>
      <c r="N57" s="33"/>
      <c r="O57" s="33"/>
      <c r="P57" s="33"/>
      <c r="Q57" s="33"/>
    </row>
    <row r="58" spans="1:17" ht="6" customHeight="1" x14ac:dyDescent="0.25"/>
    <row r="59" spans="1:17" ht="18" customHeight="1" x14ac:dyDescent="0.25">
      <c r="A59" s="43" t="s">
        <v>659</v>
      </c>
      <c r="B59" s="33"/>
      <c r="C59" s="33"/>
      <c r="D59" s="33"/>
      <c r="E59" s="33"/>
      <c r="F59" s="33"/>
      <c r="G59" s="33"/>
      <c r="H59" s="33"/>
      <c r="I59" s="33"/>
      <c r="J59" s="33"/>
      <c r="K59" s="33"/>
      <c r="L59" s="33"/>
      <c r="M59" s="33"/>
      <c r="N59" s="33"/>
      <c r="O59" s="33"/>
      <c r="P59" s="33"/>
      <c r="Q59" s="33"/>
    </row>
    <row r="60" spans="1:17" ht="36" customHeight="1" x14ac:dyDescent="0.25">
      <c r="A60" s="40" t="s">
        <v>787</v>
      </c>
      <c r="B60" s="33"/>
      <c r="C60" s="33"/>
      <c r="D60" s="33"/>
      <c r="E60" s="33"/>
      <c r="F60" s="33"/>
      <c r="G60" s="33"/>
      <c r="H60" s="33"/>
      <c r="I60" s="33"/>
      <c r="J60" s="33"/>
      <c r="K60" s="33"/>
      <c r="L60" s="33"/>
      <c r="M60" s="33"/>
      <c r="N60" s="33"/>
      <c r="O60" s="33"/>
      <c r="P60" s="33"/>
      <c r="Q60" s="33"/>
    </row>
    <row r="61" spans="1:17" ht="6" customHeight="1" x14ac:dyDescent="0.25"/>
    <row r="62" spans="1:17" ht="18" customHeight="1" x14ac:dyDescent="0.25">
      <c r="A62" s="43" t="s">
        <v>62</v>
      </c>
      <c r="B62" s="33"/>
      <c r="C62" s="33"/>
      <c r="D62" s="33"/>
      <c r="E62" s="33"/>
      <c r="F62" s="33"/>
      <c r="G62" s="33"/>
      <c r="H62" s="33"/>
      <c r="I62" s="33"/>
      <c r="J62" s="33"/>
      <c r="K62" s="33"/>
      <c r="L62" s="33"/>
      <c r="M62" s="33"/>
      <c r="N62" s="33"/>
      <c r="O62" s="33"/>
      <c r="P62" s="33"/>
      <c r="Q62" s="33"/>
    </row>
    <row r="63" spans="1:17" ht="51" customHeight="1" x14ac:dyDescent="0.25">
      <c r="A63" s="40" t="s">
        <v>788</v>
      </c>
      <c r="B63" s="33"/>
      <c r="C63" s="33"/>
      <c r="D63" s="33"/>
      <c r="E63" s="33"/>
      <c r="F63" s="33"/>
      <c r="G63" s="33"/>
      <c r="H63" s="33"/>
      <c r="I63" s="33"/>
      <c r="J63" s="33"/>
      <c r="K63" s="33"/>
      <c r="L63" s="33"/>
      <c r="M63" s="33"/>
      <c r="N63" s="33"/>
      <c r="O63" s="33"/>
      <c r="P63" s="33"/>
      <c r="Q63" s="33"/>
    </row>
    <row r="64" spans="1:17" ht="6" customHeight="1" x14ac:dyDescent="0.25"/>
    <row r="67" spans="1:17" ht="21.95" customHeight="1" x14ac:dyDescent="0.25">
      <c r="A67" s="41" t="s">
        <v>715</v>
      </c>
      <c r="B67" s="42"/>
      <c r="C67" s="42"/>
      <c r="D67" s="42"/>
      <c r="E67" s="42"/>
      <c r="F67" s="42"/>
      <c r="G67" s="42"/>
      <c r="H67" s="42"/>
      <c r="I67" s="42"/>
      <c r="J67" s="42"/>
      <c r="K67" s="42"/>
      <c r="L67" s="42"/>
      <c r="M67" s="42"/>
      <c r="N67" s="42"/>
      <c r="O67" s="42"/>
      <c r="P67" s="42"/>
      <c r="Q67" s="42"/>
    </row>
    <row r="69" spans="1:17" ht="18" customHeight="1" x14ac:dyDescent="0.25">
      <c r="A69" s="43" t="s">
        <v>85</v>
      </c>
      <c r="B69" s="33"/>
      <c r="C69" s="33"/>
      <c r="D69" s="33"/>
      <c r="E69" s="33"/>
      <c r="F69" s="33"/>
      <c r="G69" s="33"/>
      <c r="H69" s="33"/>
      <c r="I69" s="33"/>
      <c r="J69" s="33"/>
      <c r="K69" s="33"/>
      <c r="L69" s="33"/>
      <c r="M69" s="33"/>
      <c r="N69" s="33"/>
      <c r="O69" s="33"/>
      <c r="P69" s="33"/>
      <c r="Q69" s="33"/>
    </row>
    <row r="70" spans="1:17" ht="21" customHeight="1" x14ac:dyDescent="0.25">
      <c r="A70" s="40" t="s">
        <v>716</v>
      </c>
      <c r="B70" s="33"/>
      <c r="C70" s="33"/>
      <c r="D70" s="33"/>
      <c r="E70" s="33"/>
      <c r="F70" s="33"/>
      <c r="G70" s="33"/>
      <c r="H70" s="33"/>
      <c r="I70" s="33"/>
      <c r="J70" s="33"/>
      <c r="K70" s="33"/>
      <c r="L70" s="33"/>
      <c r="M70" s="33"/>
      <c r="N70" s="33"/>
      <c r="O70" s="33"/>
      <c r="P70" s="33"/>
      <c r="Q70" s="33"/>
    </row>
    <row r="71" spans="1:17" ht="6" customHeight="1" x14ac:dyDescent="0.25"/>
    <row r="72" spans="1:17" ht="18" customHeight="1" x14ac:dyDescent="0.25">
      <c r="A72" s="43" t="s">
        <v>97</v>
      </c>
      <c r="B72" s="33"/>
      <c r="C72" s="33"/>
      <c r="D72" s="33"/>
      <c r="E72" s="33"/>
      <c r="F72" s="33"/>
      <c r="G72" s="33"/>
      <c r="H72" s="33"/>
      <c r="I72" s="33"/>
      <c r="J72" s="33"/>
      <c r="K72" s="33"/>
      <c r="L72" s="33"/>
      <c r="M72" s="33"/>
      <c r="N72" s="33"/>
      <c r="O72" s="33"/>
      <c r="P72" s="33"/>
      <c r="Q72" s="33"/>
    </row>
    <row r="73" spans="1:17" ht="36" customHeight="1" x14ac:dyDescent="0.25">
      <c r="A73" s="40" t="s">
        <v>717</v>
      </c>
      <c r="B73" s="33"/>
      <c r="C73" s="33"/>
      <c r="D73" s="33"/>
      <c r="E73" s="33"/>
      <c r="F73" s="33"/>
      <c r="G73" s="33"/>
      <c r="H73" s="33"/>
      <c r="I73" s="33"/>
      <c r="J73" s="33"/>
      <c r="K73" s="33"/>
      <c r="L73" s="33"/>
      <c r="M73" s="33"/>
      <c r="N73" s="33"/>
      <c r="O73" s="33"/>
      <c r="P73" s="33"/>
      <c r="Q73" s="33"/>
    </row>
    <row r="74" spans="1:17" ht="6" customHeight="1" x14ac:dyDescent="0.25"/>
    <row r="75" spans="1:17" ht="18" customHeight="1" x14ac:dyDescent="0.25">
      <c r="A75" s="43" t="s">
        <v>657</v>
      </c>
      <c r="B75" s="33"/>
      <c r="C75" s="33"/>
      <c r="D75" s="33"/>
      <c r="E75" s="33"/>
      <c r="F75" s="33"/>
      <c r="G75" s="33"/>
      <c r="H75" s="33"/>
      <c r="I75" s="33"/>
      <c r="J75" s="33"/>
      <c r="K75" s="33"/>
      <c r="L75" s="33"/>
      <c r="M75" s="33"/>
      <c r="N75" s="33"/>
      <c r="O75" s="33"/>
      <c r="P75" s="33"/>
      <c r="Q75" s="33"/>
    </row>
    <row r="76" spans="1:17" ht="21" customHeight="1" x14ac:dyDescent="0.25">
      <c r="A76" s="40" t="s">
        <v>718</v>
      </c>
      <c r="B76" s="33"/>
      <c r="C76" s="33"/>
      <c r="D76" s="33"/>
      <c r="E76" s="33"/>
      <c r="F76" s="33"/>
      <c r="G76" s="33"/>
      <c r="H76" s="33"/>
      <c r="I76" s="33"/>
      <c r="J76" s="33"/>
      <c r="K76" s="33"/>
      <c r="L76" s="33"/>
      <c r="M76" s="33"/>
      <c r="N76" s="33"/>
      <c r="O76" s="33"/>
      <c r="P76" s="33"/>
      <c r="Q76" s="33"/>
    </row>
    <row r="77" spans="1:17" ht="6" customHeight="1" x14ac:dyDescent="0.25"/>
    <row r="78" spans="1:17" ht="18" customHeight="1" x14ac:dyDescent="0.25">
      <c r="A78" s="43" t="s">
        <v>659</v>
      </c>
      <c r="B78" s="33"/>
      <c r="C78" s="33"/>
      <c r="D78" s="33"/>
      <c r="E78" s="33"/>
      <c r="F78" s="33"/>
      <c r="G78" s="33"/>
      <c r="H78" s="33"/>
      <c r="I78" s="33"/>
      <c r="J78" s="33"/>
      <c r="K78" s="33"/>
      <c r="L78" s="33"/>
      <c r="M78" s="33"/>
      <c r="N78" s="33"/>
      <c r="O78" s="33"/>
      <c r="P78" s="33"/>
      <c r="Q78" s="33"/>
    </row>
    <row r="79" spans="1:17" ht="36" customHeight="1" x14ac:dyDescent="0.25">
      <c r="A79" s="40" t="s">
        <v>789</v>
      </c>
      <c r="B79" s="33"/>
      <c r="C79" s="33"/>
      <c r="D79" s="33"/>
      <c r="E79" s="33"/>
      <c r="F79" s="33"/>
      <c r="G79" s="33"/>
      <c r="H79" s="33"/>
      <c r="I79" s="33"/>
      <c r="J79" s="33"/>
      <c r="K79" s="33"/>
      <c r="L79" s="33"/>
      <c r="M79" s="33"/>
      <c r="N79" s="33"/>
      <c r="O79" s="33"/>
      <c r="P79" s="33"/>
      <c r="Q79" s="33"/>
    </row>
    <row r="80" spans="1:17" ht="6" customHeight="1" x14ac:dyDescent="0.25"/>
    <row r="81" spans="1:17" ht="18" customHeight="1" x14ac:dyDescent="0.25">
      <c r="A81" s="43" t="s">
        <v>661</v>
      </c>
      <c r="B81" s="33"/>
      <c r="C81" s="33"/>
      <c r="D81" s="33"/>
      <c r="E81" s="33"/>
      <c r="F81" s="33"/>
      <c r="G81" s="33"/>
      <c r="H81" s="33"/>
      <c r="I81" s="33"/>
      <c r="J81" s="33"/>
      <c r="K81" s="33"/>
      <c r="L81" s="33"/>
      <c r="M81" s="33"/>
      <c r="N81" s="33"/>
      <c r="O81" s="33"/>
      <c r="P81" s="33"/>
      <c r="Q81" s="33"/>
    </row>
    <row r="82" spans="1:17" ht="21" customHeight="1" x14ac:dyDescent="0.25">
      <c r="A82" s="40" t="s">
        <v>825</v>
      </c>
      <c r="B82" s="33"/>
      <c r="C82" s="33"/>
      <c r="D82" s="33"/>
      <c r="E82" s="33"/>
      <c r="F82" s="33"/>
      <c r="G82" s="33"/>
      <c r="H82" s="33"/>
      <c r="I82" s="33"/>
      <c r="J82" s="33"/>
      <c r="K82" s="33"/>
      <c r="L82" s="33"/>
      <c r="M82" s="33"/>
      <c r="N82" s="33"/>
      <c r="O82" s="33"/>
      <c r="P82" s="33"/>
      <c r="Q82" s="33"/>
    </row>
    <row r="83" spans="1:17" ht="6" customHeight="1" x14ac:dyDescent="0.25"/>
    <row r="84" spans="1:17" ht="18" customHeight="1" x14ac:dyDescent="0.25">
      <c r="A84" s="43" t="s">
        <v>668</v>
      </c>
      <c r="B84" s="33"/>
      <c r="C84" s="33"/>
      <c r="D84" s="33"/>
      <c r="E84" s="33"/>
      <c r="F84" s="33"/>
      <c r="G84" s="33"/>
      <c r="H84" s="33"/>
      <c r="I84" s="33"/>
      <c r="J84" s="33"/>
      <c r="K84" s="33"/>
      <c r="L84" s="33"/>
      <c r="M84" s="33"/>
      <c r="N84" s="33"/>
      <c r="O84" s="33"/>
      <c r="P84" s="33"/>
      <c r="Q84" s="33"/>
    </row>
    <row r="85" spans="1:17" ht="21" customHeight="1" x14ac:dyDescent="0.25">
      <c r="A85" s="40" t="s">
        <v>725</v>
      </c>
      <c r="B85" s="33"/>
      <c r="C85" s="33"/>
      <c r="D85" s="33"/>
      <c r="E85" s="33"/>
      <c r="F85" s="33"/>
      <c r="G85" s="33"/>
      <c r="H85" s="33"/>
      <c r="I85" s="33"/>
      <c r="J85" s="33"/>
      <c r="K85" s="33"/>
      <c r="L85" s="33"/>
      <c r="M85" s="33"/>
      <c r="N85" s="33"/>
      <c r="O85" s="33"/>
      <c r="P85" s="33"/>
      <c r="Q85" s="33"/>
    </row>
    <row r="86" spans="1:17" ht="6" customHeight="1" x14ac:dyDescent="0.25"/>
    <row r="87" spans="1:17" ht="18" customHeight="1" x14ac:dyDescent="0.25">
      <c r="A87" s="43" t="s">
        <v>669</v>
      </c>
      <c r="B87" s="33"/>
      <c r="C87" s="33"/>
      <c r="D87" s="33"/>
      <c r="E87" s="33"/>
      <c r="F87" s="33"/>
      <c r="G87" s="33"/>
      <c r="H87" s="33"/>
      <c r="I87" s="33"/>
      <c r="J87" s="33"/>
      <c r="K87" s="33"/>
      <c r="L87" s="33"/>
      <c r="M87" s="33"/>
      <c r="N87" s="33"/>
      <c r="O87" s="33"/>
      <c r="P87" s="33"/>
      <c r="Q87" s="33"/>
    </row>
    <row r="88" spans="1:17" ht="36" customHeight="1" x14ac:dyDescent="0.25">
      <c r="A88" s="40" t="s">
        <v>726</v>
      </c>
      <c r="B88" s="33"/>
      <c r="C88" s="33"/>
      <c r="D88" s="33"/>
      <c r="E88" s="33"/>
      <c r="F88" s="33"/>
      <c r="G88" s="33"/>
      <c r="H88" s="33"/>
      <c r="I88" s="33"/>
      <c r="J88" s="33"/>
      <c r="K88" s="33"/>
      <c r="L88" s="33"/>
      <c r="M88" s="33"/>
      <c r="N88" s="33"/>
      <c r="O88" s="33"/>
      <c r="P88" s="33"/>
      <c r="Q88" s="33"/>
    </row>
    <row r="89" spans="1:17" ht="6" customHeight="1" x14ac:dyDescent="0.25"/>
    <row r="90" spans="1:17" ht="18" customHeight="1" x14ac:dyDescent="0.25">
      <c r="A90" s="43" t="s">
        <v>670</v>
      </c>
      <c r="B90" s="33"/>
      <c r="C90" s="33"/>
      <c r="D90" s="33"/>
      <c r="E90" s="33"/>
      <c r="F90" s="33"/>
      <c r="G90" s="33"/>
      <c r="H90" s="33"/>
      <c r="I90" s="33"/>
      <c r="J90" s="33"/>
      <c r="K90" s="33"/>
      <c r="L90" s="33"/>
      <c r="M90" s="33"/>
      <c r="N90" s="33"/>
      <c r="O90" s="33"/>
      <c r="P90" s="33"/>
      <c r="Q90" s="33"/>
    </row>
    <row r="91" spans="1:17" ht="36" customHeight="1" x14ac:dyDescent="0.25">
      <c r="A91" s="40" t="s">
        <v>727</v>
      </c>
      <c r="B91" s="33"/>
      <c r="C91" s="33"/>
      <c r="D91" s="33"/>
      <c r="E91" s="33"/>
      <c r="F91" s="33"/>
      <c r="G91" s="33"/>
      <c r="H91" s="33"/>
      <c r="I91" s="33"/>
      <c r="J91" s="33"/>
      <c r="K91" s="33"/>
      <c r="L91" s="33"/>
      <c r="M91" s="33"/>
      <c r="N91" s="33"/>
      <c r="O91" s="33"/>
      <c r="P91" s="33"/>
      <c r="Q91" s="33"/>
    </row>
    <row r="92" spans="1:17" ht="6" customHeight="1" x14ac:dyDescent="0.25"/>
    <row r="95" spans="1:17" x14ac:dyDescent="0.25">
      <c r="A95" s="39" t="s">
        <v>728</v>
      </c>
      <c r="B95" s="33"/>
      <c r="C95" s="33"/>
      <c r="D95" s="33"/>
      <c r="E95" s="33"/>
      <c r="F95" s="33"/>
      <c r="G95" s="33"/>
      <c r="H95" s="33"/>
      <c r="I95" s="33"/>
      <c r="J95" s="33"/>
      <c r="K95" s="33"/>
      <c r="L95" s="33"/>
      <c r="M95" s="33"/>
      <c r="N95" s="33"/>
      <c r="O95" s="33"/>
      <c r="P95" s="33"/>
      <c r="Q95" s="33"/>
    </row>
  </sheetData>
  <mergeCells count="37">
    <mergeCell ref="A82:Q82"/>
    <mergeCell ref="A60:Q60"/>
    <mergeCell ref="A51:Q51"/>
    <mergeCell ref="A45:Q45"/>
    <mergeCell ref="A79:Q79"/>
    <mergeCell ref="A54:Q54"/>
    <mergeCell ref="A67:Q67"/>
    <mergeCell ref="A59:Q59"/>
    <mergeCell ref="A48:Q48"/>
    <mergeCell ref="A95:Q95"/>
    <mergeCell ref="A76:Q76"/>
    <mergeCell ref="A47:Q47"/>
    <mergeCell ref="A85:Q85"/>
    <mergeCell ref="A53:Q53"/>
    <mergeCell ref="A91:Q91"/>
    <mergeCell ref="A90:Q90"/>
    <mergeCell ref="A75:Q75"/>
    <mergeCell ref="A84:Q84"/>
    <mergeCell ref="A56:Q56"/>
    <mergeCell ref="A50:Q50"/>
    <mergeCell ref="A57:Q57"/>
    <mergeCell ref="A88:Q88"/>
    <mergeCell ref="A70:Q70"/>
    <mergeCell ref="A69:Q69"/>
    <mergeCell ref="A87:Q87"/>
    <mergeCell ref="A35:Q35"/>
    <mergeCell ref="A62:Q62"/>
    <mergeCell ref="A81:Q81"/>
    <mergeCell ref="A38:Q38"/>
    <mergeCell ref="A72:Q72"/>
    <mergeCell ref="A63:Q63"/>
    <mergeCell ref="A37:Q37"/>
    <mergeCell ref="A78:Q78"/>
    <mergeCell ref="A73:Q73"/>
    <mergeCell ref="A44:Q44"/>
    <mergeCell ref="A40:Q40"/>
    <mergeCell ref="A41:Q41"/>
  </mergeCells>
  <dataValidations count="8">
    <dataValidation type="list" allowBlank="1" errorTitle="Valore non valido" error="Selezionare dalla lista." promptTitle="Author" prompt="Autore della codifica." sqref="B6:B32" xr:uid="{00000000-0002-0000-0900-000000000000}">
      <formula1>Author_Name</formula1>
    </dataValidation>
    <dataValidation type="list" allowBlank="1" errorTitle="Valore non valido" error="Selezionare dalla lista, oppure lasciare vuoto." promptTitle="In Place" sqref="D6:D32" xr:uid="{00000000-0002-0000-0900-000001000000}">
      <formula1>InPl_Name</formula1>
    </dataValidation>
    <dataValidation type="list" allowBlank="1" errorTitle="Valore non valido" error="Selezionare dalla lista." promptTitle="Categoria" prompt="Categoria Revit della famiglia." sqref="F6:F32" xr:uid="{00000000-0002-0000-0900-000002000000}">
      <formula1>PF_Cat_Name</formula1>
    </dataValidation>
    <dataValidation type="list" allowBlank="1" errorTitle="Valore non valido" error="Selezionare dalla lista." promptTitle="Group1 — provenienza" sqref="H6:H32" xr:uid="{00000000-0002-0000-0900-000003000000}">
      <formula1>PR_G1_Name</formula1>
    </dataValidation>
    <dataValidation type="list" allowBlank="1" errorTitle="Valore non valido" error="Selezionare dalla lista." promptTitle="Group2 — apparecchio" prompt="Apparecchio sanitario." sqref="J6:J32" xr:uid="{00000000-0002-0000-0900-000004000000}">
      <formula1>PF_G2_Name</formula1>
    </dataValidation>
    <dataValidation type="custom" allowBlank="1" errorTitle="Non valido" error="Massimo 24 caratteri, senza spazi, e non compatibile con Group1 = Custom." promptTitle="Manufacturer" prompt="Facoltativo. Azienda produttrice. Campo libero: senza spazi, iniziali maiuscole. Non compatibile con Group1 = Custom." sqref="L6:L32" xr:uid="{00000000-0002-0000-0900-000005000000}">
      <formula1>AND(LEN($L6)&lt;=24,ISERROR(FIND(" ",$L6)),OR($L6="",$I6&lt;&gt;"CT"))</formula1>
    </dataValidation>
    <dataValidation type="custom" allowBlank="1" errorTitle="Non valido" error="Massimo 24 caratteri, senza spazi." promptTitle="Brand" sqref="M6:M32" xr:uid="{00000000-0002-0000-0900-000006000000}">
      <formula1>AND(LEN($M6)&lt;=24,ISERROR(FIND(" ",$M6)))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N6:N32" xr:uid="{00000000-0002-0000-0900-000007000000}">
      <formula1>40</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88"/>
  <sheetViews>
    <sheetView showGridLines="0" workbookViewId="0">
      <pane ySplit="5" topLeftCell="A6" activePane="bottomLeft" state="frozen"/>
      <selection pane="bottomLeft" activeCell="Q6" sqref="Q6:Q31"/>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15" customWidth="1"/>
    <col min="13" max="13" width="13" customWidth="1"/>
    <col min="14" max="14" width="20" customWidth="1"/>
    <col min="15" max="15" width="12" customWidth="1"/>
    <col min="16" max="16" width="36" customWidth="1"/>
    <col min="17" max="17" width="24" customWidth="1"/>
  </cols>
  <sheetData>
    <row r="1" spans="1:17" ht="19.5" x14ac:dyDescent="0.3">
      <c r="A1" s="6" t="s">
        <v>826</v>
      </c>
    </row>
    <row r="2" spans="1:17" x14ac:dyDescent="0.25">
      <c r="A2" s="7" t="s">
        <v>652</v>
      </c>
    </row>
    <row r="3" spans="1:17" x14ac:dyDescent="0.25">
      <c r="A3" s="8" t="s">
        <v>745</v>
      </c>
    </row>
    <row r="4" spans="1:17" ht="17.100000000000001" customHeight="1" x14ac:dyDescent="0.25">
      <c r="A4" s="9" t="s">
        <v>771</v>
      </c>
      <c r="B4" s="10"/>
      <c r="C4" s="10"/>
      <c r="D4" s="10"/>
      <c r="E4" s="10"/>
      <c r="F4" s="10"/>
      <c r="G4" s="10"/>
      <c r="H4" s="10"/>
      <c r="I4" s="10"/>
      <c r="J4" s="10"/>
      <c r="K4" s="10"/>
      <c r="L4" s="10"/>
      <c r="M4" s="10"/>
      <c r="N4" s="10"/>
      <c r="O4" s="10"/>
      <c r="P4" s="10"/>
      <c r="Q4" s="10"/>
    </row>
    <row r="5" spans="1:17" ht="30" customHeight="1" x14ac:dyDescent="0.25">
      <c r="A5" s="11" t="s">
        <v>655</v>
      </c>
      <c r="B5" s="11" t="s">
        <v>85</v>
      </c>
      <c r="C5" s="11" t="s">
        <v>656</v>
      </c>
      <c r="D5" s="12" t="s">
        <v>97</v>
      </c>
      <c r="E5" s="11" t="s">
        <v>96</v>
      </c>
      <c r="F5" s="11" t="s">
        <v>657</v>
      </c>
      <c r="G5" s="11" t="s">
        <v>658</v>
      </c>
      <c r="H5" s="11" t="s">
        <v>659</v>
      </c>
      <c r="I5" s="11" t="s">
        <v>660</v>
      </c>
      <c r="J5" s="11" t="s">
        <v>661</v>
      </c>
      <c r="K5" s="11" t="s">
        <v>662</v>
      </c>
      <c r="L5" s="12" t="s">
        <v>668</v>
      </c>
      <c r="M5" s="12" t="s">
        <v>669</v>
      </c>
      <c r="N5" s="12" t="s">
        <v>670</v>
      </c>
      <c r="O5" s="11" t="s">
        <v>671</v>
      </c>
      <c r="P5" s="11" t="s">
        <v>672</v>
      </c>
      <c r="Q5" s="11" t="s">
        <v>673</v>
      </c>
    </row>
    <row r="6" spans="1:17" x14ac:dyDescent="0.25">
      <c r="A6" s="13" t="s">
        <v>675</v>
      </c>
      <c r="B6" s="14" t="s">
        <v>92</v>
      </c>
      <c r="C6" s="15" t="str">
        <f t="shared" ref="C6:C31" si="0">IFERROR(INDEX(Author_Code,MATCH($B6,Author_Name,0)),"")</f>
        <v>e</v>
      </c>
      <c r="D6" s="16"/>
      <c r="E6" s="15" t="str">
        <f t="shared" ref="E6:E31" si="1">IFERROR(INDEX(InPl_Code,MATCH($D6,InPl_Name,0)),"")</f>
        <v/>
      </c>
      <c r="F6" s="14" t="s">
        <v>423</v>
      </c>
      <c r="G6" s="15" t="str">
        <f t="shared" ref="G6:G31" si="2">IFERROR(INDEX(SE_Cat_Code,MATCH($F6,SE_Cat_Name,0)),"")</f>
        <v>SE</v>
      </c>
      <c r="H6" s="14" t="s">
        <v>94</v>
      </c>
      <c r="I6" s="15" t="str">
        <f t="shared" ref="I6:I31" si="3">IFERROR(INDEX(PR_G1_Code,MATCH($H6,PR_G1_Name,0)),"")</f>
        <v>CO</v>
      </c>
      <c r="J6" s="14" t="s">
        <v>435</v>
      </c>
      <c r="K6" s="15" t="str">
        <f t="shared" ref="K6:K31" si="4">IFERROR(INDEX(SE_G2_Code,MATCH($J6,SE_G2_Name,0)),"")</f>
        <v>TR</v>
      </c>
      <c r="L6" s="17" t="s">
        <v>827</v>
      </c>
      <c r="M6" s="17"/>
      <c r="N6" s="17"/>
      <c r="O6" s="15" t="str">
        <f t="shared" ref="O6:O31" si="5">$G6&amp;IF($I6&lt;&gt;"","."&amp;$I6,"")&amp;IF($K6&lt;&gt;"","."&amp;$K6,"")</f>
        <v>SE.CO.TR</v>
      </c>
      <c r="P6" s="18" t="str">
        <f t="shared" ref="P6:P31" si="6">IF(AND($F6&lt;&gt;"",$H6&lt;&gt;"",$J6&lt;&gt;""),$C6&amp;"_"&amp;$E6&amp;$O6&amp;IF($L6&lt;&gt;"","_"&amp;$L6,"")&amp;IF($M6&lt;&gt;"","_"&amp;$M6,"")&amp;IF($N6&lt;&gt;"","_"&amp;$N6,""),"")</f>
        <v>e_SE.CO.TR_Kone</v>
      </c>
      <c r="Q6" s="19" t="str">
        <f>IFERROR(IF(OR($G6="",$J6=""),"",$K6&amp;"xx"&amp;"_{W}x{D}x{H}"),"")</f>
        <v>TRxx_{W}x{D}x{H}</v>
      </c>
    </row>
    <row r="7" spans="1:17" x14ac:dyDescent="0.25">
      <c r="A7" s="13" t="s">
        <v>676</v>
      </c>
      <c r="B7" s="14" t="s">
        <v>92</v>
      </c>
      <c r="C7" s="15" t="str">
        <f t="shared" si="0"/>
        <v>e</v>
      </c>
      <c r="D7" s="16"/>
      <c r="E7" s="15" t="str">
        <f t="shared" si="1"/>
        <v/>
      </c>
      <c r="F7" s="14" t="s">
        <v>423</v>
      </c>
      <c r="G7" s="15" t="str">
        <f t="shared" si="2"/>
        <v>SE</v>
      </c>
      <c r="H7" s="14" t="s">
        <v>94</v>
      </c>
      <c r="I7" s="15" t="str">
        <f t="shared" si="3"/>
        <v>CO</v>
      </c>
      <c r="J7" s="14" t="s">
        <v>437</v>
      </c>
      <c r="K7" s="15" t="str">
        <f t="shared" si="4"/>
        <v>SA</v>
      </c>
      <c r="L7" s="17"/>
      <c r="M7" s="17"/>
      <c r="N7" s="17"/>
      <c r="O7" s="15" t="str">
        <f t="shared" si="5"/>
        <v>SE.CO.SA</v>
      </c>
      <c r="P7" s="18" t="str">
        <f t="shared" si="6"/>
        <v>e_SE.CO.SA</v>
      </c>
      <c r="Q7" s="19" t="str">
        <f t="shared" ref="Q7:Q31" si="7">IFERROR(IF(OR($G7="",$J7=""),"",$K7&amp;"xx"&amp;"_{W}x{D}x{H}"),"")</f>
        <v>SAxx_{W}x{D}x{H}</v>
      </c>
    </row>
    <row r="8" spans="1:17" x14ac:dyDescent="0.25">
      <c r="A8" s="13" t="s">
        <v>677</v>
      </c>
      <c r="B8" s="14" t="s">
        <v>92</v>
      </c>
      <c r="C8" s="15" t="str">
        <f t="shared" si="0"/>
        <v>e</v>
      </c>
      <c r="D8" s="16"/>
      <c r="E8" s="15" t="str">
        <f t="shared" si="1"/>
        <v/>
      </c>
      <c r="F8" s="14" t="s">
        <v>423</v>
      </c>
      <c r="G8" s="15" t="str">
        <f t="shared" si="2"/>
        <v>SE</v>
      </c>
      <c r="H8" s="14" t="s">
        <v>94</v>
      </c>
      <c r="I8" s="15" t="str">
        <f t="shared" si="3"/>
        <v>CO</v>
      </c>
      <c r="J8" s="14" t="s">
        <v>424</v>
      </c>
      <c r="K8" s="15" t="str">
        <f t="shared" si="4"/>
        <v>CT</v>
      </c>
      <c r="L8" s="17" t="s">
        <v>828</v>
      </c>
      <c r="M8" s="17"/>
      <c r="N8" s="17"/>
      <c r="O8" s="15" t="str">
        <f t="shared" si="5"/>
        <v>SE.CO.CT</v>
      </c>
      <c r="P8" s="18" t="str">
        <f t="shared" si="6"/>
        <v>e_SE.CO.CT_Electrolux</v>
      </c>
      <c r="Q8" s="19" t="str">
        <f t="shared" si="7"/>
        <v>CTxx_{W}x{D}x{H}</v>
      </c>
    </row>
    <row r="9" spans="1:17" x14ac:dyDescent="0.25">
      <c r="A9" s="13" t="s">
        <v>679</v>
      </c>
      <c r="B9" s="14" t="s">
        <v>92</v>
      </c>
      <c r="C9" s="15" t="str">
        <f t="shared" si="0"/>
        <v>e</v>
      </c>
      <c r="D9" s="16"/>
      <c r="E9" s="15" t="str">
        <f t="shared" si="1"/>
        <v/>
      </c>
      <c r="F9" s="14" t="s">
        <v>423</v>
      </c>
      <c r="G9" s="15" t="str">
        <f t="shared" si="2"/>
        <v>SE</v>
      </c>
      <c r="H9" s="14" t="s">
        <v>94</v>
      </c>
      <c r="I9" s="15" t="str">
        <f t="shared" si="3"/>
        <v>CO</v>
      </c>
      <c r="J9" s="14" t="s">
        <v>427</v>
      </c>
      <c r="K9" s="15" t="str">
        <f t="shared" si="4"/>
        <v>LN</v>
      </c>
      <c r="L9" s="17" t="s">
        <v>829</v>
      </c>
      <c r="M9" s="17"/>
      <c r="N9" s="17"/>
      <c r="O9" s="15" t="str">
        <f t="shared" si="5"/>
        <v>SE.CO.LN</v>
      </c>
      <c r="P9" s="18" t="str">
        <f t="shared" si="6"/>
        <v>e_SE.CO.LN_Miele</v>
      </c>
      <c r="Q9" s="19" t="str">
        <f t="shared" si="7"/>
        <v>LNxx_{W}x{D}x{H}</v>
      </c>
    </row>
    <row r="10" spans="1:17" x14ac:dyDescent="0.25">
      <c r="A10" s="13" t="s">
        <v>680</v>
      </c>
      <c r="B10" s="14" t="s">
        <v>92</v>
      </c>
      <c r="C10" s="15" t="str">
        <f t="shared" si="0"/>
        <v>e</v>
      </c>
      <c r="D10" s="16"/>
      <c r="E10" s="15" t="str">
        <f t="shared" si="1"/>
        <v/>
      </c>
      <c r="F10" s="14" t="s">
        <v>423</v>
      </c>
      <c r="G10" s="15" t="str">
        <f t="shared" si="2"/>
        <v>SE</v>
      </c>
      <c r="H10" s="14" t="s">
        <v>94</v>
      </c>
      <c r="I10" s="15" t="str">
        <f t="shared" si="3"/>
        <v>CO</v>
      </c>
      <c r="J10" s="14" t="s">
        <v>378</v>
      </c>
      <c r="K10" s="15" t="str">
        <f t="shared" si="4"/>
        <v>MC</v>
      </c>
      <c r="L10" s="17" t="s">
        <v>830</v>
      </c>
      <c r="M10" s="17"/>
      <c r="N10" s="17"/>
      <c r="O10" s="15" t="str">
        <f t="shared" si="5"/>
        <v>SE.CO.MC</v>
      </c>
      <c r="P10" s="18" t="str">
        <f t="shared" si="6"/>
        <v>e_SE.CO.MC_Siemens</v>
      </c>
      <c r="Q10" s="19" t="str">
        <f t="shared" si="7"/>
        <v>MCxx_{W}x{D}x{H}</v>
      </c>
    </row>
    <row r="11" spans="1:17" x14ac:dyDescent="0.25">
      <c r="A11" s="13" t="s">
        <v>682</v>
      </c>
      <c r="B11" s="14" t="s">
        <v>92</v>
      </c>
      <c r="C11" s="15" t="str">
        <f t="shared" si="0"/>
        <v>e</v>
      </c>
      <c r="D11" s="16"/>
      <c r="E11" s="15" t="str">
        <f t="shared" si="1"/>
        <v/>
      </c>
      <c r="F11" s="14" t="s">
        <v>423</v>
      </c>
      <c r="G11" s="15" t="str">
        <f t="shared" si="2"/>
        <v>SE</v>
      </c>
      <c r="H11" s="14" t="s">
        <v>94</v>
      </c>
      <c r="I11" s="15" t="str">
        <f t="shared" si="3"/>
        <v>CO</v>
      </c>
      <c r="J11" s="14" t="s">
        <v>440</v>
      </c>
      <c r="K11" s="15" t="str">
        <f t="shared" si="4"/>
        <v>SC</v>
      </c>
      <c r="L11" s="17" t="s">
        <v>831</v>
      </c>
      <c r="M11" s="17" t="s">
        <v>775</v>
      </c>
      <c r="N11" s="17"/>
      <c r="O11" s="15" t="str">
        <f t="shared" si="5"/>
        <v>SE.CO.SC</v>
      </c>
      <c r="P11" s="18" t="str">
        <f t="shared" si="6"/>
        <v>e_SE.CO.SC_Kaba_Dior</v>
      </c>
      <c r="Q11" s="19" t="str">
        <f t="shared" si="7"/>
        <v>SCxx_{W}x{D}x{H}</v>
      </c>
    </row>
    <row r="12" spans="1:17" x14ac:dyDescent="0.25">
      <c r="A12" s="13" t="s">
        <v>685</v>
      </c>
      <c r="B12" s="14" t="s">
        <v>92</v>
      </c>
      <c r="C12" s="15" t="str">
        <f t="shared" si="0"/>
        <v>e</v>
      </c>
      <c r="D12" s="16"/>
      <c r="E12" s="15" t="str">
        <f t="shared" si="1"/>
        <v/>
      </c>
      <c r="F12" s="14" t="s">
        <v>423</v>
      </c>
      <c r="G12" s="15" t="str">
        <f t="shared" si="2"/>
        <v>SE</v>
      </c>
      <c r="H12" s="14" t="s">
        <v>94</v>
      </c>
      <c r="I12" s="15" t="str">
        <f t="shared" si="3"/>
        <v>CO</v>
      </c>
      <c r="J12" s="14" t="s">
        <v>443</v>
      </c>
      <c r="K12" s="15" t="str">
        <f t="shared" si="4"/>
        <v>AV</v>
      </c>
      <c r="L12" s="17" t="s">
        <v>832</v>
      </c>
      <c r="M12" s="17"/>
      <c r="N12" s="17"/>
      <c r="O12" s="15" t="str">
        <f t="shared" si="5"/>
        <v>SE.CO.AV</v>
      </c>
      <c r="P12" s="18" t="str">
        <f t="shared" si="6"/>
        <v>e_SE.CO.AV_Barco</v>
      </c>
      <c r="Q12" s="19" t="str">
        <f t="shared" si="7"/>
        <v>AVxx_{W}x{D}x{H}</v>
      </c>
    </row>
    <row r="13" spans="1:17" x14ac:dyDescent="0.25">
      <c r="A13" s="13" t="s">
        <v>687</v>
      </c>
      <c r="B13" s="14" t="s">
        <v>92</v>
      </c>
      <c r="C13" s="15" t="str">
        <f t="shared" si="0"/>
        <v>e</v>
      </c>
      <c r="D13" s="16"/>
      <c r="E13" s="15" t="str">
        <f t="shared" si="1"/>
        <v/>
      </c>
      <c r="F13" s="14" t="s">
        <v>423</v>
      </c>
      <c r="G13" s="15" t="str">
        <f t="shared" si="2"/>
        <v>SE</v>
      </c>
      <c r="H13" s="14" t="s">
        <v>94</v>
      </c>
      <c r="I13" s="15" t="str">
        <f t="shared" si="3"/>
        <v>CO</v>
      </c>
      <c r="J13" s="14" t="s">
        <v>446</v>
      </c>
      <c r="K13" s="15" t="str">
        <f t="shared" si="4"/>
        <v>IT</v>
      </c>
      <c r="L13" s="17"/>
      <c r="M13" s="17"/>
      <c r="N13" s="17"/>
      <c r="O13" s="15" t="str">
        <f t="shared" si="5"/>
        <v>SE.CO.IT</v>
      </c>
      <c r="P13" s="18" t="str">
        <f t="shared" si="6"/>
        <v>e_SE.CO.IT</v>
      </c>
      <c r="Q13" s="19" t="str">
        <f t="shared" si="7"/>
        <v>ITxx_{W}x{D}x{H}</v>
      </c>
    </row>
    <row r="14" spans="1:17" x14ac:dyDescent="0.25">
      <c r="A14" s="13" t="s">
        <v>689</v>
      </c>
      <c r="B14" s="14" t="s">
        <v>92</v>
      </c>
      <c r="C14" s="15" t="str">
        <f t="shared" si="0"/>
        <v>e</v>
      </c>
      <c r="D14" s="16"/>
      <c r="E14" s="15" t="str">
        <f t="shared" si="1"/>
        <v/>
      </c>
      <c r="F14" s="14" t="s">
        <v>423</v>
      </c>
      <c r="G14" s="15" t="str">
        <f t="shared" si="2"/>
        <v>SE</v>
      </c>
      <c r="H14" s="14" t="s">
        <v>99</v>
      </c>
      <c r="I14" s="15" t="str">
        <f t="shared" si="3"/>
        <v>CT</v>
      </c>
      <c r="J14" s="14" t="s">
        <v>463</v>
      </c>
      <c r="K14" s="15" t="str">
        <f t="shared" si="4"/>
        <v>FP</v>
      </c>
      <c r="L14" s="17"/>
      <c r="M14" s="17"/>
      <c r="N14" s="17"/>
      <c r="O14" s="15" t="str">
        <f t="shared" si="5"/>
        <v>SE.CT.FP</v>
      </c>
      <c r="P14" s="18" t="str">
        <f t="shared" si="6"/>
        <v>e_SE.CT.FP</v>
      </c>
      <c r="Q14" s="19" t="str">
        <f t="shared" si="7"/>
        <v>FPxx_{W}x{D}x{H}</v>
      </c>
    </row>
    <row r="15" spans="1:17" x14ac:dyDescent="0.25">
      <c r="A15" s="13" t="s">
        <v>691</v>
      </c>
      <c r="B15" s="14" t="s">
        <v>92</v>
      </c>
      <c r="C15" s="15" t="str">
        <f t="shared" si="0"/>
        <v>e</v>
      </c>
      <c r="D15" s="16"/>
      <c r="E15" s="15" t="str">
        <f t="shared" si="1"/>
        <v/>
      </c>
      <c r="F15" s="14" t="s">
        <v>423</v>
      </c>
      <c r="G15" s="15" t="str">
        <f t="shared" si="2"/>
        <v>SE</v>
      </c>
      <c r="H15" s="14" t="s">
        <v>94</v>
      </c>
      <c r="I15" s="15" t="str">
        <f t="shared" si="3"/>
        <v>CO</v>
      </c>
      <c r="J15" s="14" t="s">
        <v>460</v>
      </c>
      <c r="K15" s="15" t="str">
        <f t="shared" si="4"/>
        <v>AC</v>
      </c>
      <c r="L15" s="17" t="s">
        <v>833</v>
      </c>
      <c r="M15" s="17"/>
      <c r="N15" s="17"/>
      <c r="O15" s="15" t="str">
        <f t="shared" si="5"/>
        <v>SE.CO.AC</v>
      </c>
      <c r="P15" s="18" t="str">
        <f t="shared" si="6"/>
        <v>e_SE.CO.AC_Caimi</v>
      </c>
      <c r="Q15" s="19" t="str">
        <f t="shared" si="7"/>
        <v>ACxx_{W}x{D}x{H}</v>
      </c>
    </row>
    <row r="16" spans="1:17" x14ac:dyDescent="0.25">
      <c r="A16" s="13" t="s">
        <v>693</v>
      </c>
      <c r="B16" s="14" t="s">
        <v>92</v>
      </c>
      <c r="C16" s="15" t="str">
        <f t="shared" si="0"/>
        <v>e</v>
      </c>
      <c r="D16" s="16" t="s">
        <v>97</v>
      </c>
      <c r="E16" s="15" t="str">
        <f t="shared" si="1"/>
        <v>(I)</v>
      </c>
      <c r="F16" s="14" t="s">
        <v>423</v>
      </c>
      <c r="G16" s="15" t="str">
        <f t="shared" si="2"/>
        <v>SE</v>
      </c>
      <c r="H16" s="14" t="s">
        <v>94</v>
      </c>
      <c r="I16" s="15" t="str">
        <f t="shared" si="3"/>
        <v>CO</v>
      </c>
      <c r="J16" s="14" t="s">
        <v>435</v>
      </c>
      <c r="K16" s="15" t="str">
        <f t="shared" si="4"/>
        <v>TR</v>
      </c>
      <c r="L16" s="17" t="s">
        <v>827</v>
      </c>
      <c r="M16" s="17"/>
      <c r="N16" s="17"/>
      <c r="O16" s="15" t="str">
        <f t="shared" si="5"/>
        <v>SE.CO.TR</v>
      </c>
      <c r="P16" s="18" t="str">
        <f t="shared" si="6"/>
        <v>e_(I)SE.CO.TR_Kone</v>
      </c>
      <c r="Q16" s="19" t="str">
        <f t="shared" si="7"/>
        <v>TRxx_{W}x{D}x{H}</v>
      </c>
    </row>
    <row r="17" spans="1:17" x14ac:dyDescent="0.25">
      <c r="A17" s="21">
        <v>1</v>
      </c>
      <c r="B17" s="22"/>
      <c r="C17" s="23" t="str">
        <f t="shared" si="0"/>
        <v/>
      </c>
      <c r="D17" s="24"/>
      <c r="E17" s="23" t="str">
        <f t="shared" si="1"/>
        <v/>
      </c>
      <c r="F17" s="22"/>
      <c r="G17" s="23" t="str">
        <f t="shared" si="2"/>
        <v/>
      </c>
      <c r="H17" s="22"/>
      <c r="I17" s="23" t="str">
        <f t="shared" si="3"/>
        <v/>
      </c>
      <c r="J17" s="22"/>
      <c r="K17" s="23" t="str">
        <f t="shared" si="4"/>
        <v/>
      </c>
      <c r="L17" s="25"/>
      <c r="M17" s="25"/>
      <c r="N17" s="25"/>
      <c r="O17" s="23" t="str">
        <f t="shared" si="5"/>
        <v/>
      </c>
      <c r="P17" s="26" t="str">
        <f t="shared" si="6"/>
        <v/>
      </c>
      <c r="Q17" s="19" t="str">
        <f t="shared" si="7"/>
        <v/>
      </c>
    </row>
    <row r="18" spans="1:17" x14ac:dyDescent="0.25">
      <c r="A18" s="21">
        <v>2</v>
      </c>
      <c r="B18" s="22"/>
      <c r="C18" s="23" t="str">
        <f t="shared" si="0"/>
        <v/>
      </c>
      <c r="D18" s="24"/>
      <c r="E18" s="23" t="str">
        <f t="shared" si="1"/>
        <v/>
      </c>
      <c r="F18" s="22"/>
      <c r="G18" s="23" t="str">
        <f t="shared" si="2"/>
        <v/>
      </c>
      <c r="H18" s="22"/>
      <c r="I18" s="23" t="str">
        <f t="shared" si="3"/>
        <v/>
      </c>
      <c r="J18" s="22"/>
      <c r="K18" s="23" t="str">
        <f t="shared" si="4"/>
        <v/>
      </c>
      <c r="L18" s="25"/>
      <c r="M18" s="25"/>
      <c r="N18" s="25"/>
      <c r="O18" s="23" t="str">
        <f t="shared" si="5"/>
        <v/>
      </c>
      <c r="P18" s="26" t="str">
        <f t="shared" si="6"/>
        <v/>
      </c>
      <c r="Q18" s="19" t="str">
        <f t="shared" si="7"/>
        <v/>
      </c>
    </row>
    <row r="19" spans="1:17" x14ac:dyDescent="0.25">
      <c r="A19" s="21">
        <v>3</v>
      </c>
      <c r="B19" s="22"/>
      <c r="C19" s="23" t="str">
        <f t="shared" si="0"/>
        <v/>
      </c>
      <c r="D19" s="24"/>
      <c r="E19" s="23" t="str">
        <f t="shared" si="1"/>
        <v/>
      </c>
      <c r="F19" s="22"/>
      <c r="G19" s="23" t="str">
        <f t="shared" si="2"/>
        <v/>
      </c>
      <c r="H19" s="22"/>
      <c r="I19" s="23" t="str">
        <f t="shared" si="3"/>
        <v/>
      </c>
      <c r="J19" s="22"/>
      <c r="K19" s="23" t="str">
        <f t="shared" si="4"/>
        <v/>
      </c>
      <c r="L19" s="25"/>
      <c r="M19" s="25"/>
      <c r="N19" s="25"/>
      <c r="O19" s="23" t="str">
        <f t="shared" si="5"/>
        <v/>
      </c>
      <c r="P19" s="26" t="str">
        <f t="shared" si="6"/>
        <v/>
      </c>
      <c r="Q19" s="19" t="str">
        <f t="shared" si="7"/>
        <v/>
      </c>
    </row>
    <row r="20" spans="1:17" x14ac:dyDescent="0.25">
      <c r="A20" s="21">
        <v>4</v>
      </c>
      <c r="B20" s="22"/>
      <c r="C20" s="23" t="str">
        <f t="shared" si="0"/>
        <v/>
      </c>
      <c r="D20" s="24"/>
      <c r="E20" s="23" t="str">
        <f t="shared" si="1"/>
        <v/>
      </c>
      <c r="F20" s="22"/>
      <c r="G20" s="23" t="str">
        <f t="shared" si="2"/>
        <v/>
      </c>
      <c r="H20" s="22"/>
      <c r="I20" s="23" t="str">
        <f t="shared" si="3"/>
        <v/>
      </c>
      <c r="J20" s="22"/>
      <c r="K20" s="23" t="str">
        <f t="shared" si="4"/>
        <v/>
      </c>
      <c r="L20" s="25"/>
      <c r="M20" s="25"/>
      <c r="N20" s="25"/>
      <c r="O20" s="23" t="str">
        <f t="shared" si="5"/>
        <v/>
      </c>
      <c r="P20" s="26" t="str">
        <f t="shared" si="6"/>
        <v/>
      </c>
      <c r="Q20" s="19" t="str">
        <f t="shared" si="7"/>
        <v/>
      </c>
    </row>
    <row r="21" spans="1:17" x14ac:dyDescent="0.25">
      <c r="A21" s="21">
        <v>5</v>
      </c>
      <c r="B21" s="22"/>
      <c r="C21" s="23" t="str">
        <f t="shared" si="0"/>
        <v/>
      </c>
      <c r="D21" s="24"/>
      <c r="E21" s="23" t="str">
        <f t="shared" si="1"/>
        <v/>
      </c>
      <c r="F21" s="22"/>
      <c r="G21" s="23" t="str">
        <f t="shared" si="2"/>
        <v/>
      </c>
      <c r="H21" s="22"/>
      <c r="I21" s="23" t="str">
        <f t="shared" si="3"/>
        <v/>
      </c>
      <c r="J21" s="22"/>
      <c r="K21" s="23" t="str">
        <f t="shared" si="4"/>
        <v/>
      </c>
      <c r="L21" s="25"/>
      <c r="M21" s="25"/>
      <c r="N21" s="25"/>
      <c r="O21" s="23" t="str">
        <f t="shared" si="5"/>
        <v/>
      </c>
      <c r="P21" s="26" t="str">
        <f t="shared" si="6"/>
        <v/>
      </c>
      <c r="Q21" s="19" t="str">
        <f t="shared" si="7"/>
        <v/>
      </c>
    </row>
    <row r="22" spans="1:17" x14ac:dyDescent="0.25">
      <c r="A22" s="21">
        <v>6</v>
      </c>
      <c r="B22" s="22"/>
      <c r="C22" s="23" t="str">
        <f t="shared" si="0"/>
        <v/>
      </c>
      <c r="D22" s="24"/>
      <c r="E22" s="23" t="str">
        <f t="shared" si="1"/>
        <v/>
      </c>
      <c r="F22" s="22"/>
      <c r="G22" s="23" t="str">
        <f t="shared" si="2"/>
        <v/>
      </c>
      <c r="H22" s="22"/>
      <c r="I22" s="23" t="str">
        <f t="shared" si="3"/>
        <v/>
      </c>
      <c r="J22" s="22"/>
      <c r="K22" s="23" t="str">
        <f t="shared" si="4"/>
        <v/>
      </c>
      <c r="L22" s="25"/>
      <c r="M22" s="25"/>
      <c r="N22" s="25"/>
      <c r="O22" s="23" t="str">
        <f t="shared" si="5"/>
        <v/>
      </c>
      <c r="P22" s="26" t="str">
        <f t="shared" si="6"/>
        <v/>
      </c>
      <c r="Q22" s="19" t="str">
        <f t="shared" si="7"/>
        <v/>
      </c>
    </row>
    <row r="23" spans="1:17" x14ac:dyDescent="0.25">
      <c r="A23" s="21">
        <v>7</v>
      </c>
      <c r="B23" s="22"/>
      <c r="C23" s="23" t="str">
        <f t="shared" si="0"/>
        <v/>
      </c>
      <c r="D23" s="24"/>
      <c r="E23" s="23" t="str">
        <f t="shared" si="1"/>
        <v/>
      </c>
      <c r="F23" s="22"/>
      <c r="G23" s="23" t="str">
        <f t="shared" si="2"/>
        <v/>
      </c>
      <c r="H23" s="22"/>
      <c r="I23" s="23" t="str">
        <f t="shared" si="3"/>
        <v/>
      </c>
      <c r="J23" s="22"/>
      <c r="K23" s="23" t="str">
        <f t="shared" si="4"/>
        <v/>
      </c>
      <c r="L23" s="25"/>
      <c r="M23" s="25"/>
      <c r="N23" s="25"/>
      <c r="O23" s="23" t="str">
        <f t="shared" si="5"/>
        <v/>
      </c>
      <c r="P23" s="26" t="str">
        <f t="shared" si="6"/>
        <v/>
      </c>
      <c r="Q23" s="19" t="str">
        <f t="shared" si="7"/>
        <v/>
      </c>
    </row>
    <row r="24" spans="1:17" x14ac:dyDescent="0.25">
      <c r="A24" s="21">
        <v>8</v>
      </c>
      <c r="B24" s="22"/>
      <c r="C24" s="23" t="str">
        <f t="shared" si="0"/>
        <v/>
      </c>
      <c r="D24" s="24"/>
      <c r="E24" s="23" t="str">
        <f t="shared" si="1"/>
        <v/>
      </c>
      <c r="F24" s="22"/>
      <c r="G24" s="23" t="str">
        <f t="shared" si="2"/>
        <v/>
      </c>
      <c r="H24" s="22"/>
      <c r="I24" s="23" t="str">
        <f t="shared" si="3"/>
        <v/>
      </c>
      <c r="J24" s="22"/>
      <c r="K24" s="23" t="str">
        <f t="shared" si="4"/>
        <v/>
      </c>
      <c r="L24" s="25"/>
      <c r="M24" s="25"/>
      <c r="N24" s="25"/>
      <c r="O24" s="23" t="str">
        <f t="shared" si="5"/>
        <v/>
      </c>
      <c r="P24" s="26" t="str">
        <f t="shared" si="6"/>
        <v/>
      </c>
      <c r="Q24" s="19" t="str">
        <f t="shared" si="7"/>
        <v/>
      </c>
    </row>
    <row r="25" spans="1:17" x14ac:dyDescent="0.25">
      <c r="A25" s="21">
        <v>9</v>
      </c>
      <c r="B25" s="22"/>
      <c r="C25" s="23" t="str">
        <f t="shared" si="0"/>
        <v/>
      </c>
      <c r="D25" s="24"/>
      <c r="E25" s="23" t="str">
        <f t="shared" si="1"/>
        <v/>
      </c>
      <c r="F25" s="22"/>
      <c r="G25" s="23" t="str">
        <f t="shared" si="2"/>
        <v/>
      </c>
      <c r="H25" s="22"/>
      <c r="I25" s="23" t="str">
        <f t="shared" si="3"/>
        <v/>
      </c>
      <c r="J25" s="22"/>
      <c r="K25" s="23" t="str">
        <f t="shared" si="4"/>
        <v/>
      </c>
      <c r="L25" s="25"/>
      <c r="M25" s="25"/>
      <c r="N25" s="25"/>
      <c r="O25" s="23" t="str">
        <f t="shared" si="5"/>
        <v/>
      </c>
      <c r="P25" s="26" t="str">
        <f t="shared" si="6"/>
        <v/>
      </c>
      <c r="Q25" s="19" t="str">
        <f t="shared" si="7"/>
        <v/>
      </c>
    </row>
    <row r="26" spans="1:17" x14ac:dyDescent="0.25">
      <c r="A26" s="21">
        <v>10</v>
      </c>
      <c r="B26" s="22"/>
      <c r="C26" s="23" t="str">
        <f t="shared" si="0"/>
        <v/>
      </c>
      <c r="D26" s="24"/>
      <c r="E26" s="23" t="str">
        <f t="shared" si="1"/>
        <v/>
      </c>
      <c r="F26" s="22"/>
      <c r="G26" s="23" t="str">
        <f t="shared" si="2"/>
        <v/>
      </c>
      <c r="H26" s="22"/>
      <c r="I26" s="23" t="str">
        <f t="shared" si="3"/>
        <v/>
      </c>
      <c r="J26" s="22"/>
      <c r="K26" s="23" t="str">
        <f t="shared" si="4"/>
        <v/>
      </c>
      <c r="L26" s="25"/>
      <c r="M26" s="25"/>
      <c r="N26" s="25"/>
      <c r="O26" s="23" t="str">
        <f t="shared" si="5"/>
        <v/>
      </c>
      <c r="P26" s="26" t="str">
        <f t="shared" si="6"/>
        <v/>
      </c>
      <c r="Q26" s="19" t="str">
        <f t="shared" si="7"/>
        <v/>
      </c>
    </row>
    <row r="27" spans="1:17" x14ac:dyDescent="0.25">
      <c r="A27" s="21">
        <v>11</v>
      </c>
      <c r="B27" s="22"/>
      <c r="C27" s="23" t="str">
        <f t="shared" si="0"/>
        <v/>
      </c>
      <c r="D27" s="24"/>
      <c r="E27" s="23" t="str">
        <f t="shared" si="1"/>
        <v/>
      </c>
      <c r="F27" s="22"/>
      <c r="G27" s="23" t="str">
        <f t="shared" si="2"/>
        <v/>
      </c>
      <c r="H27" s="22"/>
      <c r="I27" s="23" t="str">
        <f t="shared" si="3"/>
        <v/>
      </c>
      <c r="J27" s="22"/>
      <c r="K27" s="23" t="str">
        <f t="shared" si="4"/>
        <v/>
      </c>
      <c r="L27" s="25"/>
      <c r="M27" s="25"/>
      <c r="N27" s="25"/>
      <c r="O27" s="23" t="str">
        <f t="shared" si="5"/>
        <v/>
      </c>
      <c r="P27" s="26" t="str">
        <f t="shared" si="6"/>
        <v/>
      </c>
      <c r="Q27" s="19" t="str">
        <f t="shared" si="7"/>
        <v/>
      </c>
    </row>
    <row r="28" spans="1:17" x14ac:dyDescent="0.25">
      <c r="A28" s="21">
        <v>12</v>
      </c>
      <c r="B28" s="22"/>
      <c r="C28" s="23" t="str">
        <f t="shared" si="0"/>
        <v/>
      </c>
      <c r="D28" s="24"/>
      <c r="E28" s="23" t="str">
        <f t="shared" si="1"/>
        <v/>
      </c>
      <c r="F28" s="22"/>
      <c r="G28" s="23" t="str">
        <f t="shared" si="2"/>
        <v/>
      </c>
      <c r="H28" s="22"/>
      <c r="I28" s="23" t="str">
        <f t="shared" si="3"/>
        <v/>
      </c>
      <c r="J28" s="22"/>
      <c r="K28" s="23" t="str">
        <f t="shared" si="4"/>
        <v/>
      </c>
      <c r="L28" s="25"/>
      <c r="M28" s="25"/>
      <c r="N28" s="25"/>
      <c r="O28" s="23" t="str">
        <f t="shared" si="5"/>
        <v/>
      </c>
      <c r="P28" s="26" t="str">
        <f t="shared" si="6"/>
        <v/>
      </c>
      <c r="Q28" s="19" t="str">
        <f t="shared" si="7"/>
        <v/>
      </c>
    </row>
    <row r="29" spans="1:17" x14ac:dyDescent="0.25">
      <c r="A29" s="21">
        <v>13</v>
      </c>
      <c r="B29" s="22"/>
      <c r="C29" s="23" t="str">
        <f t="shared" si="0"/>
        <v/>
      </c>
      <c r="D29" s="24"/>
      <c r="E29" s="23" t="str">
        <f t="shared" si="1"/>
        <v/>
      </c>
      <c r="F29" s="22"/>
      <c r="G29" s="23" t="str">
        <f t="shared" si="2"/>
        <v/>
      </c>
      <c r="H29" s="22"/>
      <c r="I29" s="23" t="str">
        <f t="shared" si="3"/>
        <v/>
      </c>
      <c r="J29" s="22"/>
      <c r="K29" s="23" t="str">
        <f t="shared" si="4"/>
        <v/>
      </c>
      <c r="L29" s="25"/>
      <c r="M29" s="25"/>
      <c r="N29" s="25"/>
      <c r="O29" s="23" t="str">
        <f t="shared" si="5"/>
        <v/>
      </c>
      <c r="P29" s="26" t="str">
        <f t="shared" si="6"/>
        <v/>
      </c>
      <c r="Q29" s="19" t="str">
        <f t="shared" si="7"/>
        <v/>
      </c>
    </row>
    <row r="30" spans="1:17" x14ac:dyDescent="0.25">
      <c r="A30" s="21">
        <v>14</v>
      </c>
      <c r="B30" s="22"/>
      <c r="C30" s="23" t="str">
        <f t="shared" si="0"/>
        <v/>
      </c>
      <c r="D30" s="24"/>
      <c r="E30" s="23" t="str">
        <f t="shared" si="1"/>
        <v/>
      </c>
      <c r="F30" s="22"/>
      <c r="G30" s="23" t="str">
        <f t="shared" si="2"/>
        <v/>
      </c>
      <c r="H30" s="22"/>
      <c r="I30" s="23" t="str">
        <f t="shared" si="3"/>
        <v/>
      </c>
      <c r="J30" s="22"/>
      <c r="K30" s="23" t="str">
        <f t="shared" si="4"/>
        <v/>
      </c>
      <c r="L30" s="25"/>
      <c r="M30" s="25"/>
      <c r="N30" s="25"/>
      <c r="O30" s="23" t="str">
        <f t="shared" si="5"/>
        <v/>
      </c>
      <c r="P30" s="26" t="str">
        <f t="shared" si="6"/>
        <v/>
      </c>
      <c r="Q30" s="19" t="str">
        <f t="shared" si="7"/>
        <v/>
      </c>
    </row>
    <row r="31" spans="1:17" x14ac:dyDescent="0.25">
      <c r="A31" s="21">
        <v>15</v>
      </c>
      <c r="B31" s="22"/>
      <c r="C31" s="23" t="str">
        <f t="shared" si="0"/>
        <v/>
      </c>
      <c r="D31" s="24"/>
      <c r="E31" s="23" t="str">
        <f t="shared" si="1"/>
        <v/>
      </c>
      <c r="F31" s="22"/>
      <c r="G31" s="23" t="str">
        <f t="shared" si="2"/>
        <v/>
      </c>
      <c r="H31" s="22"/>
      <c r="I31" s="23" t="str">
        <f t="shared" si="3"/>
        <v/>
      </c>
      <c r="J31" s="22"/>
      <c r="K31" s="23" t="str">
        <f t="shared" si="4"/>
        <v/>
      </c>
      <c r="L31" s="25"/>
      <c r="M31" s="25"/>
      <c r="N31" s="25"/>
      <c r="O31" s="23" t="str">
        <f t="shared" si="5"/>
        <v/>
      </c>
      <c r="P31" s="26" t="str">
        <f t="shared" si="6"/>
        <v/>
      </c>
      <c r="Q31" s="19" t="str">
        <f t="shared" si="7"/>
        <v/>
      </c>
    </row>
    <row r="34" spans="1:17" ht="21.95" customHeight="1" x14ac:dyDescent="0.25">
      <c r="A34" s="41" t="s">
        <v>700</v>
      </c>
      <c r="B34" s="42"/>
      <c r="C34" s="42"/>
      <c r="D34" s="42"/>
      <c r="E34" s="42"/>
      <c r="F34" s="42"/>
      <c r="G34" s="42"/>
      <c r="H34" s="42"/>
      <c r="I34" s="42"/>
      <c r="J34" s="42"/>
      <c r="K34" s="42"/>
      <c r="L34" s="42"/>
      <c r="M34" s="42"/>
      <c r="N34" s="42"/>
      <c r="O34" s="42"/>
      <c r="P34" s="42"/>
      <c r="Q34" s="42"/>
    </row>
    <row r="36" spans="1:17" ht="24" customHeight="1" x14ac:dyDescent="0.25">
      <c r="A36" s="44" t="s">
        <v>834</v>
      </c>
      <c r="B36" s="33"/>
      <c r="C36" s="33"/>
      <c r="D36" s="33"/>
      <c r="E36" s="33"/>
      <c r="F36" s="33"/>
      <c r="G36" s="33"/>
      <c r="H36" s="33"/>
      <c r="I36" s="33"/>
      <c r="J36" s="33"/>
      <c r="K36" s="33"/>
      <c r="L36" s="33"/>
      <c r="M36" s="33"/>
      <c r="N36" s="33"/>
      <c r="O36" s="33"/>
      <c r="P36" s="33"/>
      <c r="Q36" s="33"/>
    </row>
    <row r="37" spans="1:17" ht="51" customHeight="1" x14ac:dyDescent="0.25">
      <c r="A37" s="40" t="s">
        <v>702</v>
      </c>
      <c r="B37" s="33"/>
      <c r="C37" s="33"/>
      <c r="D37" s="33"/>
      <c r="E37" s="33"/>
      <c r="F37" s="33"/>
      <c r="G37" s="33"/>
      <c r="H37" s="33"/>
      <c r="I37" s="33"/>
      <c r="J37" s="33"/>
      <c r="K37" s="33"/>
      <c r="L37" s="33"/>
      <c r="M37" s="33"/>
      <c r="N37" s="33"/>
      <c r="O37" s="33"/>
      <c r="P37" s="33"/>
      <c r="Q37" s="33"/>
    </row>
    <row r="39" spans="1:17" ht="18" customHeight="1" x14ac:dyDescent="0.25">
      <c r="A39" s="43" t="s">
        <v>777</v>
      </c>
      <c r="B39" s="33"/>
      <c r="C39" s="33"/>
      <c r="D39" s="33"/>
      <c r="E39" s="33"/>
      <c r="F39" s="33"/>
      <c r="G39" s="33"/>
      <c r="H39" s="33"/>
      <c r="I39" s="33"/>
      <c r="J39" s="33"/>
      <c r="K39" s="33"/>
      <c r="L39" s="33"/>
      <c r="M39" s="33"/>
      <c r="N39" s="33"/>
      <c r="O39" s="33"/>
      <c r="P39" s="33"/>
      <c r="Q39" s="33"/>
    </row>
    <row r="40" spans="1:17" ht="21" customHeight="1" x14ac:dyDescent="0.25">
      <c r="A40" s="40" t="s">
        <v>835</v>
      </c>
      <c r="B40" s="33"/>
      <c r="C40" s="33"/>
      <c r="D40" s="33"/>
      <c r="E40" s="33"/>
      <c r="F40" s="33"/>
      <c r="G40" s="33"/>
      <c r="H40" s="33"/>
      <c r="I40" s="33"/>
      <c r="J40" s="33"/>
      <c r="K40" s="33"/>
      <c r="L40" s="33"/>
      <c r="M40" s="33"/>
      <c r="N40" s="33"/>
      <c r="O40" s="33"/>
      <c r="P40" s="33"/>
      <c r="Q40" s="33"/>
    </row>
    <row r="43" spans="1:17" ht="21.95" customHeight="1" x14ac:dyDescent="0.25">
      <c r="A43" s="41" t="s">
        <v>836</v>
      </c>
      <c r="B43" s="42"/>
      <c r="C43" s="42"/>
      <c r="D43" s="42"/>
      <c r="E43" s="42"/>
      <c r="F43" s="42"/>
      <c r="G43" s="42"/>
      <c r="H43" s="42"/>
      <c r="I43" s="42"/>
      <c r="J43" s="42"/>
      <c r="K43" s="42"/>
      <c r="L43" s="42"/>
      <c r="M43" s="42"/>
      <c r="N43" s="42"/>
      <c r="O43" s="42"/>
      <c r="P43" s="42"/>
      <c r="Q43" s="42"/>
    </row>
    <row r="44" spans="1:17" ht="15.95" customHeight="1" x14ac:dyDescent="0.25">
      <c r="A44" s="39" t="s">
        <v>780</v>
      </c>
      <c r="B44" s="33"/>
      <c r="C44" s="33"/>
      <c r="D44" s="33"/>
      <c r="E44" s="33"/>
      <c r="F44" s="33"/>
      <c r="G44" s="33"/>
      <c r="H44" s="33"/>
      <c r="I44" s="33"/>
      <c r="J44" s="33"/>
      <c r="K44" s="33"/>
      <c r="L44" s="33"/>
      <c r="M44" s="33"/>
      <c r="N44" s="33"/>
      <c r="O44" s="33"/>
      <c r="P44" s="33"/>
      <c r="Q44" s="33"/>
    </row>
    <row r="46" spans="1:17" ht="18" customHeight="1" x14ac:dyDescent="0.25">
      <c r="A46" s="43" t="s">
        <v>837</v>
      </c>
      <c r="B46" s="33"/>
      <c r="C46" s="33"/>
      <c r="D46" s="33"/>
      <c r="E46" s="33"/>
      <c r="F46" s="33"/>
      <c r="G46" s="33"/>
      <c r="H46" s="33"/>
      <c r="I46" s="33"/>
      <c r="J46" s="33"/>
      <c r="K46" s="33"/>
      <c r="L46" s="33"/>
      <c r="M46" s="33"/>
      <c r="N46" s="33"/>
      <c r="O46" s="33"/>
      <c r="P46" s="33"/>
      <c r="Q46" s="33"/>
    </row>
    <row r="47" spans="1:17" ht="21" customHeight="1" x14ac:dyDescent="0.25">
      <c r="A47" s="40" t="s">
        <v>838</v>
      </c>
      <c r="B47" s="33"/>
      <c r="C47" s="33"/>
      <c r="D47" s="33"/>
      <c r="E47" s="33"/>
      <c r="F47" s="33"/>
      <c r="G47" s="33"/>
      <c r="H47" s="33"/>
      <c r="I47" s="33"/>
      <c r="J47" s="33"/>
      <c r="K47" s="33"/>
      <c r="L47" s="33"/>
      <c r="M47" s="33"/>
      <c r="N47" s="33"/>
      <c r="O47" s="33"/>
      <c r="P47" s="33"/>
      <c r="Q47" s="33"/>
    </row>
    <row r="48" spans="1:17" ht="6" customHeight="1" x14ac:dyDescent="0.25"/>
    <row r="49" spans="1:17" ht="18" customHeight="1" x14ac:dyDescent="0.25">
      <c r="A49" s="43" t="s">
        <v>711</v>
      </c>
      <c r="B49" s="33"/>
      <c r="C49" s="33"/>
      <c r="D49" s="33"/>
      <c r="E49" s="33"/>
      <c r="F49" s="33"/>
      <c r="G49" s="33"/>
      <c r="H49" s="33"/>
      <c r="I49" s="33"/>
      <c r="J49" s="33"/>
      <c r="K49" s="33"/>
      <c r="L49" s="33"/>
      <c r="M49" s="33"/>
      <c r="N49" s="33"/>
      <c r="O49" s="33"/>
      <c r="P49" s="33"/>
      <c r="Q49" s="33"/>
    </row>
    <row r="50" spans="1:17" ht="51" customHeight="1" x14ac:dyDescent="0.25">
      <c r="A50" s="40" t="s">
        <v>712</v>
      </c>
      <c r="B50" s="33"/>
      <c r="C50" s="33"/>
      <c r="D50" s="33"/>
      <c r="E50" s="33"/>
      <c r="F50" s="33"/>
      <c r="G50" s="33"/>
      <c r="H50" s="33"/>
      <c r="I50" s="33"/>
      <c r="J50" s="33"/>
      <c r="K50" s="33"/>
      <c r="L50" s="33"/>
      <c r="M50" s="33"/>
      <c r="N50" s="33"/>
      <c r="O50" s="33"/>
      <c r="P50" s="33"/>
      <c r="Q50" s="33"/>
    </row>
    <row r="51" spans="1:17" ht="6" customHeight="1" x14ac:dyDescent="0.25"/>
    <row r="52" spans="1:17" ht="18" customHeight="1" x14ac:dyDescent="0.25">
      <c r="A52" s="43" t="s">
        <v>659</v>
      </c>
      <c r="B52" s="33"/>
      <c r="C52" s="33"/>
      <c r="D52" s="33"/>
      <c r="E52" s="33"/>
      <c r="F52" s="33"/>
      <c r="G52" s="33"/>
      <c r="H52" s="33"/>
      <c r="I52" s="33"/>
      <c r="J52" s="33"/>
      <c r="K52" s="33"/>
      <c r="L52" s="33"/>
      <c r="M52" s="33"/>
      <c r="N52" s="33"/>
      <c r="O52" s="33"/>
      <c r="P52" s="33"/>
      <c r="Q52" s="33"/>
    </row>
    <row r="53" spans="1:17" ht="36" customHeight="1" x14ac:dyDescent="0.25">
      <c r="A53" s="40" t="s">
        <v>787</v>
      </c>
      <c r="B53" s="33"/>
      <c r="C53" s="33"/>
      <c r="D53" s="33"/>
      <c r="E53" s="33"/>
      <c r="F53" s="33"/>
      <c r="G53" s="33"/>
      <c r="H53" s="33"/>
      <c r="I53" s="33"/>
      <c r="J53" s="33"/>
      <c r="K53" s="33"/>
      <c r="L53" s="33"/>
      <c r="M53" s="33"/>
      <c r="N53" s="33"/>
      <c r="O53" s="33"/>
      <c r="P53" s="33"/>
      <c r="Q53" s="33"/>
    </row>
    <row r="54" spans="1:17" ht="6" customHeight="1" x14ac:dyDescent="0.25"/>
    <row r="55" spans="1:17" ht="18" customHeight="1" x14ac:dyDescent="0.25">
      <c r="A55" s="43" t="s">
        <v>62</v>
      </c>
      <c r="B55" s="33"/>
      <c r="C55" s="33"/>
      <c r="D55" s="33"/>
      <c r="E55" s="33"/>
      <c r="F55" s="33"/>
      <c r="G55" s="33"/>
      <c r="H55" s="33"/>
      <c r="I55" s="33"/>
      <c r="J55" s="33"/>
      <c r="K55" s="33"/>
      <c r="L55" s="33"/>
      <c r="M55" s="33"/>
      <c r="N55" s="33"/>
      <c r="O55" s="33"/>
      <c r="P55" s="33"/>
      <c r="Q55" s="33"/>
    </row>
    <row r="56" spans="1:17" ht="51" customHeight="1" x14ac:dyDescent="0.25">
      <c r="A56" s="40" t="s">
        <v>788</v>
      </c>
      <c r="B56" s="33"/>
      <c r="C56" s="33"/>
      <c r="D56" s="33"/>
      <c r="E56" s="33"/>
      <c r="F56" s="33"/>
      <c r="G56" s="33"/>
      <c r="H56" s="33"/>
      <c r="I56" s="33"/>
      <c r="J56" s="33"/>
      <c r="K56" s="33"/>
      <c r="L56" s="33"/>
      <c r="M56" s="33"/>
      <c r="N56" s="33"/>
      <c r="O56" s="33"/>
      <c r="P56" s="33"/>
      <c r="Q56" s="33"/>
    </row>
    <row r="57" spans="1:17" ht="6" customHeight="1" x14ac:dyDescent="0.25"/>
    <row r="60" spans="1:17" ht="21.95" customHeight="1" x14ac:dyDescent="0.25">
      <c r="A60" s="41" t="s">
        <v>715</v>
      </c>
      <c r="B60" s="42"/>
      <c r="C60" s="42"/>
      <c r="D60" s="42"/>
      <c r="E60" s="42"/>
      <c r="F60" s="42"/>
      <c r="G60" s="42"/>
      <c r="H60" s="42"/>
      <c r="I60" s="42"/>
      <c r="J60" s="42"/>
      <c r="K60" s="42"/>
      <c r="L60" s="42"/>
      <c r="M60" s="42"/>
      <c r="N60" s="42"/>
      <c r="O60" s="42"/>
      <c r="P60" s="42"/>
      <c r="Q60" s="42"/>
    </row>
    <row r="62" spans="1:17" ht="18" customHeight="1" x14ac:dyDescent="0.25">
      <c r="A62" s="43" t="s">
        <v>85</v>
      </c>
      <c r="B62" s="33"/>
      <c r="C62" s="33"/>
      <c r="D62" s="33"/>
      <c r="E62" s="33"/>
      <c r="F62" s="33"/>
      <c r="G62" s="33"/>
      <c r="H62" s="33"/>
      <c r="I62" s="33"/>
      <c r="J62" s="33"/>
      <c r="K62" s="33"/>
      <c r="L62" s="33"/>
      <c r="M62" s="33"/>
      <c r="N62" s="33"/>
      <c r="O62" s="33"/>
      <c r="P62" s="33"/>
      <c r="Q62" s="33"/>
    </row>
    <row r="63" spans="1:17" ht="21" customHeight="1" x14ac:dyDescent="0.25">
      <c r="A63" s="40" t="s">
        <v>716</v>
      </c>
      <c r="B63" s="33"/>
      <c r="C63" s="33"/>
      <c r="D63" s="33"/>
      <c r="E63" s="33"/>
      <c r="F63" s="33"/>
      <c r="G63" s="33"/>
      <c r="H63" s="33"/>
      <c r="I63" s="33"/>
      <c r="J63" s="33"/>
      <c r="K63" s="33"/>
      <c r="L63" s="33"/>
      <c r="M63" s="33"/>
      <c r="N63" s="33"/>
      <c r="O63" s="33"/>
      <c r="P63" s="33"/>
      <c r="Q63" s="33"/>
    </row>
    <row r="64" spans="1:17" ht="6" customHeight="1" x14ac:dyDescent="0.25"/>
    <row r="65" spans="1:17" ht="18" customHeight="1" x14ac:dyDescent="0.25">
      <c r="A65" s="43" t="s">
        <v>97</v>
      </c>
      <c r="B65" s="33"/>
      <c r="C65" s="33"/>
      <c r="D65" s="33"/>
      <c r="E65" s="33"/>
      <c r="F65" s="33"/>
      <c r="G65" s="33"/>
      <c r="H65" s="33"/>
      <c r="I65" s="33"/>
      <c r="J65" s="33"/>
      <c r="K65" s="33"/>
      <c r="L65" s="33"/>
      <c r="M65" s="33"/>
      <c r="N65" s="33"/>
      <c r="O65" s="33"/>
      <c r="P65" s="33"/>
      <c r="Q65" s="33"/>
    </row>
    <row r="66" spans="1:17" ht="36" customHeight="1" x14ac:dyDescent="0.25">
      <c r="A66" s="40" t="s">
        <v>717</v>
      </c>
      <c r="B66" s="33"/>
      <c r="C66" s="33"/>
      <c r="D66" s="33"/>
      <c r="E66" s="33"/>
      <c r="F66" s="33"/>
      <c r="G66" s="33"/>
      <c r="H66" s="33"/>
      <c r="I66" s="33"/>
      <c r="J66" s="33"/>
      <c r="K66" s="33"/>
      <c r="L66" s="33"/>
      <c r="M66" s="33"/>
      <c r="N66" s="33"/>
      <c r="O66" s="33"/>
      <c r="P66" s="33"/>
      <c r="Q66" s="33"/>
    </row>
    <row r="67" spans="1:17" ht="6" customHeight="1" x14ac:dyDescent="0.25"/>
    <row r="68" spans="1:17" ht="18" customHeight="1" x14ac:dyDescent="0.25">
      <c r="A68" s="43" t="s">
        <v>657</v>
      </c>
      <c r="B68" s="33"/>
      <c r="C68" s="33"/>
      <c r="D68" s="33"/>
      <c r="E68" s="33"/>
      <c r="F68" s="33"/>
      <c r="G68" s="33"/>
      <c r="H68" s="33"/>
      <c r="I68" s="33"/>
      <c r="J68" s="33"/>
      <c r="K68" s="33"/>
      <c r="L68" s="33"/>
      <c r="M68" s="33"/>
      <c r="N68" s="33"/>
      <c r="O68" s="33"/>
      <c r="P68" s="33"/>
      <c r="Q68" s="33"/>
    </row>
    <row r="69" spans="1:17" ht="21" customHeight="1" x14ac:dyDescent="0.25">
      <c r="A69" s="40" t="s">
        <v>718</v>
      </c>
      <c r="B69" s="33"/>
      <c r="C69" s="33"/>
      <c r="D69" s="33"/>
      <c r="E69" s="33"/>
      <c r="F69" s="33"/>
      <c r="G69" s="33"/>
      <c r="H69" s="33"/>
      <c r="I69" s="33"/>
      <c r="J69" s="33"/>
      <c r="K69" s="33"/>
      <c r="L69" s="33"/>
      <c r="M69" s="33"/>
      <c r="N69" s="33"/>
      <c r="O69" s="33"/>
      <c r="P69" s="33"/>
      <c r="Q69" s="33"/>
    </row>
    <row r="70" spans="1:17" ht="6" customHeight="1" x14ac:dyDescent="0.25"/>
    <row r="71" spans="1:17" ht="18" customHeight="1" x14ac:dyDescent="0.25">
      <c r="A71" s="43" t="s">
        <v>659</v>
      </c>
      <c r="B71" s="33"/>
      <c r="C71" s="33"/>
      <c r="D71" s="33"/>
      <c r="E71" s="33"/>
      <c r="F71" s="33"/>
      <c r="G71" s="33"/>
      <c r="H71" s="33"/>
      <c r="I71" s="33"/>
      <c r="J71" s="33"/>
      <c r="K71" s="33"/>
      <c r="L71" s="33"/>
      <c r="M71" s="33"/>
      <c r="N71" s="33"/>
      <c r="O71" s="33"/>
      <c r="P71" s="33"/>
      <c r="Q71" s="33"/>
    </row>
    <row r="72" spans="1:17" ht="36" customHeight="1" x14ac:dyDescent="0.25">
      <c r="A72" s="40" t="s">
        <v>789</v>
      </c>
      <c r="B72" s="33"/>
      <c r="C72" s="33"/>
      <c r="D72" s="33"/>
      <c r="E72" s="33"/>
      <c r="F72" s="33"/>
      <c r="G72" s="33"/>
      <c r="H72" s="33"/>
      <c r="I72" s="33"/>
      <c r="J72" s="33"/>
      <c r="K72" s="33"/>
      <c r="L72" s="33"/>
      <c r="M72" s="33"/>
      <c r="N72" s="33"/>
      <c r="O72" s="33"/>
      <c r="P72" s="33"/>
      <c r="Q72" s="33"/>
    </row>
    <row r="73" spans="1:17" ht="6" customHeight="1" x14ac:dyDescent="0.25"/>
    <row r="74" spans="1:17" ht="18" customHeight="1" x14ac:dyDescent="0.25">
      <c r="A74" s="43" t="s">
        <v>661</v>
      </c>
      <c r="B74" s="33"/>
      <c r="C74" s="33"/>
      <c r="D74" s="33"/>
      <c r="E74" s="33"/>
      <c r="F74" s="33"/>
      <c r="G74" s="33"/>
      <c r="H74" s="33"/>
      <c r="I74" s="33"/>
      <c r="J74" s="33"/>
      <c r="K74" s="33"/>
      <c r="L74" s="33"/>
      <c r="M74" s="33"/>
      <c r="N74" s="33"/>
      <c r="O74" s="33"/>
      <c r="P74" s="33"/>
      <c r="Q74" s="33"/>
    </row>
    <row r="75" spans="1:17" ht="21" customHeight="1" x14ac:dyDescent="0.25">
      <c r="A75" s="40" t="s">
        <v>839</v>
      </c>
      <c r="B75" s="33"/>
      <c r="C75" s="33"/>
      <c r="D75" s="33"/>
      <c r="E75" s="33"/>
      <c r="F75" s="33"/>
      <c r="G75" s="33"/>
      <c r="H75" s="33"/>
      <c r="I75" s="33"/>
      <c r="J75" s="33"/>
      <c r="K75" s="33"/>
      <c r="L75" s="33"/>
      <c r="M75" s="33"/>
      <c r="N75" s="33"/>
      <c r="O75" s="33"/>
      <c r="P75" s="33"/>
      <c r="Q75" s="33"/>
    </row>
    <row r="76" spans="1:17" ht="6" customHeight="1" x14ac:dyDescent="0.25"/>
    <row r="77" spans="1:17" ht="18" customHeight="1" x14ac:dyDescent="0.25">
      <c r="A77" s="43" t="s">
        <v>668</v>
      </c>
      <c r="B77" s="33"/>
      <c r="C77" s="33"/>
      <c r="D77" s="33"/>
      <c r="E77" s="33"/>
      <c r="F77" s="33"/>
      <c r="G77" s="33"/>
      <c r="H77" s="33"/>
      <c r="I77" s="33"/>
      <c r="J77" s="33"/>
      <c r="K77" s="33"/>
      <c r="L77" s="33"/>
      <c r="M77" s="33"/>
      <c r="N77" s="33"/>
      <c r="O77" s="33"/>
      <c r="P77" s="33"/>
      <c r="Q77" s="33"/>
    </row>
    <row r="78" spans="1:17" ht="21" customHeight="1" x14ac:dyDescent="0.25">
      <c r="A78" s="40" t="s">
        <v>725</v>
      </c>
      <c r="B78" s="33"/>
      <c r="C78" s="33"/>
      <c r="D78" s="33"/>
      <c r="E78" s="33"/>
      <c r="F78" s="33"/>
      <c r="G78" s="33"/>
      <c r="H78" s="33"/>
      <c r="I78" s="33"/>
      <c r="J78" s="33"/>
      <c r="K78" s="33"/>
      <c r="L78" s="33"/>
      <c r="M78" s="33"/>
      <c r="N78" s="33"/>
      <c r="O78" s="33"/>
      <c r="P78" s="33"/>
      <c r="Q78" s="33"/>
    </row>
    <row r="79" spans="1:17" ht="6" customHeight="1" x14ac:dyDescent="0.25"/>
    <row r="80" spans="1:17" ht="18" customHeight="1" x14ac:dyDescent="0.25">
      <c r="A80" s="43" t="s">
        <v>669</v>
      </c>
      <c r="B80" s="33"/>
      <c r="C80" s="33"/>
      <c r="D80" s="33"/>
      <c r="E80" s="33"/>
      <c r="F80" s="33"/>
      <c r="G80" s="33"/>
      <c r="H80" s="33"/>
      <c r="I80" s="33"/>
      <c r="J80" s="33"/>
      <c r="K80" s="33"/>
      <c r="L80" s="33"/>
      <c r="M80" s="33"/>
      <c r="N80" s="33"/>
      <c r="O80" s="33"/>
      <c r="P80" s="33"/>
      <c r="Q80" s="33"/>
    </row>
    <row r="81" spans="1:17" ht="36" customHeight="1" x14ac:dyDescent="0.25">
      <c r="A81" s="40" t="s">
        <v>726</v>
      </c>
      <c r="B81" s="33"/>
      <c r="C81" s="33"/>
      <c r="D81" s="33"/>
      <c r="E81" s="33"/>
      <c r="F81" s="33"/>
      <c r="G81" s="33"/>
      <c r="H81" s="33"/>
      <c r="I81" s="33"/>
      <c r="J81" s="33"/>
      <c r="K81" s="33"/>
      <c r="L81" s="33"/>
      <c r="M81" s="33"/>
      <c r="N81" s="33"/>
      <c r="O81" s="33"/>
      <c r="P81" s="33"/>
      <c r="Q81" s="33"/>
    </row>
    <row r="82" spans="1:17" ht="6" customHeight="1" x14ac:dyDescent="0.25"/>
    <row r="83" spans="1:17" ht="18" customHeight="1" x14ac:dyDescent="0.25">
      <c r="A83" s="43" t="s">
        <v>670</v>
      </c>
      <c r="B83" s="33"/>
      <c r="C83" s="33"/>
      <c r="D83" s="33"/>
      <c r="E83" s="33"/>
      <c r="F83" s="33"/>
      <c r="G83" s="33"/>
      <c r="H83" s="33"/>
      <c r="I83" s="33"/>
      <c r="J83" s="33"/>
      <c r="K83" s="33"/>
      <c r="L83" s="33"/>
      <c r="M83" s="33"/>
      <c r="N83" s="33"/>
      <c r="O83" s="33"/>
      <c r="P83" s="33"/>
      <c r="Q83" s="33"/>
    </row>
    <row r="84" spans="1:17" ht="36" customHeight="1" x14ac:dyDescent="0.25">
      <c r="A84" s="40" t="s">
        <v>727</v>
      </c>
      <c r="B84" s="33"/>
      <c r="C84" s="33"/>
      <c r="D84" s="33"/>
      <c r="E84" s="33"/>
      <c r="F84" s="33"/>
      <c r="G84" s="33"/>
      <c r="H84" s="33"/>
      <c r="I84" s="33"/>
      <c r="J84" s="33"/>
      <c r="K84" s="33"/>
      <c r="L84" s="33"/>
      <c r="M84" s="33"/>
      <c r="N84" s="33"/>
      <c r="O84" s="33"/>
      <c r="P84" s="33"/>
      <c r="Q84" s="33"/>
    </row>
    <row r="85" spans="1:17" ht="6" customHeight="1" x14ac:dyDescent="0.25"/>
    <row r="88" spans="1:17" x14ac:dyDescent="0.25">
      <c r="A88" s="39" t="s">
        <v>728</v>
      </c>
      <c r="B88" s="33"/>
      <c r="C88" s="33"/>
      <c r="D88" s="33"/>
      <c r="E88" s="33"/>
      <c r="F88" s="33"/>
      <c r="G88" s="33"/>
      <c r="H88" s="33"/>
      <c r="I88" s="33"/>
      <c r="J88" s="33"/>
      <c r="K88" s="33"/>
      <c r="L88" s="33"/>
      <c r="M88" s="33"/>
      <c r="N88" s="33"/>
      <c r="O88" s="33"/>
      <c r="P88" s="33"/>
      <c r="Q88" s="33"/>
    </row>
  </sheetData>
  <mergeCells count="33">
    <mergeCell ref="A44:Q44"/>
    <mergeCell ref="A40:Q40"/>
    <mergeCell ref="A39:Q39"/>
    <mergeCell ref="A34:Q34"/>
    <mergeCell ref="A77:Q77"/>
    <mergeCell ref="A55:Q55"/>
    <mergeCell ref="A50:Q50"/>
    <mergeCell ref="A71:Q71"/>
    <mergeCell ref="A47:Q47"/>
    <mergeCell ref="A53:Q53"/>
    <mergeCell ref="A62:Q62"/>
    <mergeCell ref="A43:Q43"/>
    <mergeCell ref="A83:Q83"/>
    <mergeCell ref="A60:Q60"/>
    <mergeCell ref="A49:Q49"/>
    <mergeCell ref="A36:Q36"/>
    <mergeCell ref="A88:Q88"/>
    <mergeCell ref="A69:Q69"/>
    <mergeCell ref="A65:Q65"/>
    <mergeCell ref="A78:Q78"/>
    <mergeCell ref="A66:Q66"/>
    <mergeCell ref="A80:Q80"/>
    <mergeCell ref="A37:Q37"/>
    <mergeCell ref="A46:Q46"/>
    <mergeCell ref="A75:Q75"/>
    <mergeCell ref="A84:Q84"/>
    <mergeCell ref="A74:Q74"/>
    <mergeCell ref="A56:Q56"/>
    <mergeCell ref="A81:Q81"/>
    <mergeCell ref="A72:Q72"/>
    <mergeCell ref="A52:Q52"/>
    <mergeCell ref="A68:Q68"/>
    <mergeCell ref="A63:Q63"/>
  </mergeCells>
  <dataValidations count="8">
    <dataValidation type="list" allowBlank="1" errorTitle="Valore non valido" error="Selezionare dalla lista." promptTitle="Author" prompt="Autore della codifica." sqref="B6:B31" xr:uid="{00000000-0002-0000-0A00-000000000000}">
      <formula1>Author_Name</formula1>
    </dataValidation>
    <dataValidation type="list" allowBlank="1" errorTitle="Valore non valido" error="Selezionare dalla lista, oppure lasciare vuoto." promptTitle="In Place" sqref="D6:D31" xr:uid="{00000000-0002-0000-0A00-000001000000}">
      <formula1>InPl_Name</formula1>
    </dataValidation>
    <dataValidation type="list" allowBlank="1" errorTitle="Valore non valido" error="Selezionare dalla lista." promptTitle="Categoria" prompt="Categoria Revit della famiglia." sqref="F6:F31" xr:uid="{00000000-0002-0000-0A00-000002000000}">
      <formula1>SE_Cat_Name</formula1>
    </dataValidation>
    <dataValidation type="list" allowBlank="1" errorTitle="Valore non valido" error="Selezionare dalla lista." promptTitle="Group1 — provenienza" sqref="H6:H31" xr:uid="{00000000-0002-0000-0A00-000003000000}">
      <formula1>PR_G1_Name</formula1>
    </dataValidation>
    <dataValidation type="list" allowBlank="1" errorTitle="Valore non valido" error="Selezionare dalla lista." promptTitle="Group2 — ambito" prompt="Ambito dell’attrezzatura. IT assorbe server, rack, stampanti e postazioni tecniche. AV assorbe proiezione, audio, schermi e registrazione. SF assorbe antincendio, evacuazione e protezione." sqref="J6:J31" xr:uid="{00000000-0002-0000-0A00-000004000000}">
      <formula1>SE_G2_Name</formula1>
    </dataValidation>
    <dataValidation type="custom" allowBlank="1" errorTitle="Non valido" error="Massimo 24 caratteri, senza spazi, e non compatibile con Group1 = Custom." promptTitle="Manufacturer" prompt="Facoltativo. Azienda produttrice. Campo libero: senza spazi, iniziali maiuscole. Non compatibile con Group1 = Custom." sqref="L6:L31" xr:uid="{00000000-0002-0000-0A00-000005000000}">
      <formula1>AND(LEN($L6)&lt;=24,ISERROR(FIND(" ",$L6)),OR($L6="",$I6&lt;&gt;"CT"))</formula1>
    </dataValidation>
    <dataValidation type="custom" allowBlank="1" errorTitle="Non valido" error="Massimo 24 caratteri, senza spazi." promptTitle="Brand" sqref="M6:M31" xr:uid="{00000000-0002-0000-0A00-000006000000}">
      <formula1>AND(LEN($M6)&lt;=24,ISERROR(FIND(" ",$M6)))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N6:N31" xr:uid="{00000000-0002-0000-0A00-000007000000}">
      <formula1>40</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91"/>
  <sheetViews>
    <sheetView showGridLines="0" workbookViewId="0">
      <pane ySplit="5" topLeftCell="A6" activePane="bottomLeft" state="frozen"/>
      <selection pane="bottomLeft" activeCell="Q6" sqref="Q6:Q31"/>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15" customWidth="1"/>
    <col min="13" max="13" width="13" customWidth="1"/>
    <col min="14" max="14" width="20" customWidth="1"/>
    <col min="15" max="15" width="12" customWidth="1"/>
    <col min="16" max="16" width="36" customWidth="1"/>
    <col min="17" max="17" width="24" customWidth="1"/>
  </cols>
  <sheetData>
    <row r="1" spans="1:17" ht="19.5" x14ac:dyDescent="0.3">
      <c r="A1" s="6" t="s">
        <v>840</v>
      </c>
    </row>
    <row r="2" spans="1:17" x14ac:dyDescent="0.25">
      <c r="A2" s="7" t="s">
        <v>652</v>
      </c>
    </row>
    <row r="3" spans="1:17" x14ac:dyDescent="0.25">
      <c r="A3" s="8" t="s">
        <v>745</v>
      </c>
    </row>
    <row r="4" spans="1:17" ht="17.100000000000001" customHeight="1" x14ac:dyDescent="0.25">
      <c r="A4" s="9" t="s">
        <v>771</v>
      </c>
      <c r="B4" s="10"/>
      <c r="C4" s="10"/>
      <c r="D4" s="10"/>
      <c r="E4" s="10"/>
      <c r="F4" s="10"/>
      <c r="G4" s="10"/>
      <c r="H4" s="10"/>
      <c r="I4" s="10"/>
      <c r="J4" s="10"/>
      <c r="K4" s="10"/>
      <c r="L4" s="10"/>
      <c r="M4" s="10"/>
      <c r="N4" s="10"/>
      <c r="O4" s="10"/>
      <c r="P4" s="10"/>
      <c r="Q4" s="10"/>
    </row>
    <row r="5" spans="1:17" ht="30" customHeight="1" x14ac:dyDescent="0.25">
      <c r="A5" s="11" t="s">
        <v>655</v>
      </c>
      <c r="B5" s="11" t="s">
        <v>85</v>
      </c>
      <c r="C5" s="11" t="s">
        <v>656</v>
      </c>
      <c r="D5" s="12" t="s">
        <v>97</v>
      </c>
      <c r="E5" s="11" t="s">
        <v>96</v>
      </c>
      <c r="F5" s="11" t="s">
        <v>657</v>
      </c>
      <c r="G5" s="11" t="s">
        <v>658</v>
      </c>
      <c r="H5" s="11" t="s">
        <v>659</v>
      </c>
      <c r="I5" s="11" t="s">
        <v>660</v>
      </c>
      <c r="J5" s="11" t="s">
        <v>661</v>
      </c>
      <c r="K5" s="11" t="s">
        <v>662</v>
      </c>
      <c r="L5" s="12" t="s">
        <v>668</v>
      </c>
      <c r="M5" s="12" t="s">
        <v>669</v>
      </c>
      <c r="N5" s="12" t="s">
        <v>670</v>
      </c>
      <c r="O5" s="11" t="s">
        <v>671</v>
      </c>
      <c r="P5" s="11" t="s">
        <v>672</v>
      </c>
      <c r="Q5" s="11" t="s">
        <v>673</v>
      </c>
    </row>
    <row r="6" spans="1:17" x14ac:dyDescent="0.25">
      <c r="A6" s="13" t="s">
        <v>675</v>
      </c>
      <c r="B6" s="14" t="s">
        <v>92</v>
      </c>
      <c r="C6" s="15" t="str">
        <f t="shared" ref="C6:C31" si="0">IFERROR(INDEX(Author_Code,MATCH($B6,Author_Name,0)),"")</f>
        <v>e</v>
      </c>
      <c r="D6" s="16"/>
      <c r="E6" s="15" t="str">
        <f t="shared" ref="E6:E31" si="1">IFERROR(INDEX(InPl_Code,MATCH($D6,InPl_Name,0)),"")</f>
        <v/>
      </c>
      <c r="F6" s="14" t="s">
        <v>472</v>
      </c>
      <c r="G6" s="15" t="str">
        <f t="shared" ref="G6:G31" si="2">IFERROR(INDEX(SI_Cat_Code,MATCH($F6,SI_Cat_Name,0)),"")</f>
        <v>SI</v>
      </c>
      <c r="H6" s="14" t="s">
        <v>94</v>
      </c>
      <c r="I6" s="15" t="str">
        <f t="shared" ref="I6:I31" si="3">IFERROR(INDEX(PR_G1_Code,MATCH($H6,PR_G1_Name,0)),"")</f>
        <v>CO</v>
      </c>
      <c r="J6" s="14" t="s">
        <v>298</v>
      </c>
      <c r="K6" s="15" t="str">
        <f t="shared" ref="K6:K31" si="4">IFERROR(INDEX(SI_G2_Code,MATCH($J6,SI_G2_Name,0)),"")</f>
        <v>FT</v>
      </c>
      <c r="L6" s="17" t="s">
        <v>774</v>
      </c>
      <c r="M6" s="17"/>
      <c r="N6" s="17"/>
      <c r="O6" s="15" t="str">
        <f t="shared" ref="O6:O31" si="5">$G6&amp;IF($I6&lt;&gt;"","."&amp;$I6,"")&amp;IF($K6&lt;&gt;"","."&amp;$K6,"")</f>
        <v>SI.CO.FT</v>
      </c>
      <c r="P6" s="18" t="str">
        <f t="shared" ref="P6:P31" si="6">IF(AND($F6&lt;&gt;"",$H6&lt;&gt;"",$J6&lt;&gt;""),$C6&amp;"_"&amp;$E6&amp;$O6&amp;IF($L6&lt;&gt;"","_"&amp;$L6,"")&amp;IF($M6&lt;&gt;"","_"&amp;$M6,"")&amp;IF($N6&lt;&gt;"","_"&amp;$N6,""),"")</f>
        <v>e_SI.CO.FT_Metalco</v>
      </c>
      <c r="Q6" s="19" t="str">
        <f>IFERROR(IF(OR($G6="",$J6=""),"",$K6&amp;"xx"&amp;"_{W}x{D}x{H}"),"")</f>
        <v>FTxx_{W}x{D}x{H}</v>
      </c>
    </row>
    <row r="7" spans="1:17" x14ac:dyDescent="0.25">
      <c r="A7" s="13" t="s">
        <v>676</v>
      </c>
      <c r="B7" s="14" t="s">
        <v>92</v>
      </c>
      <c r="C7" s="15" t="str">
        <f t="shared" si="0"/>
        <v>e</v>
      </c>
      <c r="D7" s="16"/>
      <c r="E7" s="15" t="str">
        <f t="shared" si="1"/>
        <v/>
      </c>
      <c r="F7" s="14" t="s">
        <v>472</v>
      </c>
      <c r="G7" s="15" t="str">
        <f t="shared" si="2"/>
        <v>SI</v>
      </c>
      <c r="H7" s="14" t="s">
        <v>94</v>
      </c>
      <c r="I7" s="15" t="str">
        <f t="shared" si="3"/>
        <v>CO</v>
      </c>
      <c r="J7" s="14" t="s">
        <v>474</v>
      </c>
      <c r="K7" s="15" t="str">
        <f t="shared" si="4"/>
        <v>FE</v>
      </c>
      <c r="L7" s="17"/>
      <c r="M7" s="17"/>
      <c r="N7" s="17"/>
      <c r="O7" s="15" t="str">
        <f t="shared" si="5"/>
        <v>SI.CO.FE</v>
      </c>
      <c r="P7" s="18" t="str">
        <f t="shared" si="6"/>
        <v>e_SI.CO.FE</v>
      </c>
      <c r="Q7" s="19" t="str">
        <f t="shared" ref="Q7:Q31" si="7">IFERROR(IF(OR($G7="",$J7=""),"",$K7&amp;"xx"&amp;"_{W}x{D}x{H}"),"")</f>
        <v>FExx_{W}x{D}x{H}</v>
      </c>
    </row>
    <row r="8" spans="1:17" x14ac:dyDescent="0.25">
      <c r="A8" s="13" t="s">
        <v>677</v>
      </c>
      <c r="B8" s="14" t="s">
        <v>92</v>
      </c>
      <c r="C8" s="15" t="str">
        <f t="shared" si="0"/>
        <v>e</v>
      </c>
      <c r="D8" s="16"/>
      <c r="E8" s="15" t="str">
        <f t="shared" si="1"/>
        <v/>
      </c>
      <c r="F8" s="14" t="s">
        <v>472</v>
      </c>
      <c r="G8" s="15" t="str">
        <f t="shared" si="2"/>
        <v>SI</v>
      </c>
      <c r="H8" s="14" t="s">
        <v>94</v>
      </c>
      <c r="I8" s="15" t="str">
        <f t="shared" si="3"/>
        <v>CO</v>
      </c>
      <c r="J8" s="14" t="s">
        <v>483</v>
      </c>
      <c r="K8" s="15" t="str">
        <f t="shared" si="4"/>
        <v>LT</v>
      </c>
      <c r="L8" s="17" t="s">
        <v>841</v>
      </c>
      <c r="M8" s="17"/>
      <c r="N8" s="17"/>
      <c r="O8" s="15" t="str">
        <f t="shared" si="5"/>
        <v>SI.CO.LT</v>
      </c>
      <c r="P8" s="18" t="str">
        <f t="shared" si="6"/>
        <v>e_SI.CO.LT_iGuzzini</v>
      </c>
      <c r="Q8" s="19" t="str">
        <f t="shared" si="7"/>
        <v>LTxx_{W}x{D}x{H}</v>
      </c>
    </row>
    <row r="9" spans="1:17" x14ac:dyDescent="0.25">
      <c r="A9" s="13" t="s">
        <v>679</v>
      </c>
      <c r="B9" s="14" t="s">
        <v>92</v>
      </c>
      <c r="C9" s="15" t="str">
        <f t="shared" si="0"/>
        <v>e</v>
      </c>
      <c r="D9" s="16"/>
      <c r="E9" s="15" t="str">
        <f t="shared" si="1"/>
        <v/>
      </c>
      <c r="F9" s="14" t="s">
        <v>472</v>
      </c>
      <c r="G9" s="15" t="str">
        <f t="shared" si="2"/>
        <v>SI</v>
      </c>
      <c r="H9" s="14" t="s">
        <v>99</v>
      </c>
      <c r="I9" s="15" t="str">
        <f t="shared" si="3"/>
        <v>CT</v>
      </c>
      <c r="J9" s="14" t="s">
        <v>155</v>
      </c>
      <c r="K9" s="15" t="str">
        <f t="shared" si="4"/>
        <v>GT</v>
      </c>
      <c r="L9" s="17"/>
      <c r="M9" s="17"/>
      <c r="N9" s="17"/>
      <c r="O9" s="15" t="str">
        <f t="shared" si="5"/>
        <v>SI.CT.GT</v>
      </c>
      <c r="P9" s="18" t="str">
        <f t="shared" si="6"/>
        <v>e_SI.CT.GT</v>
      </c>
      <c r="Q9" s="19" t="str">
        <f t="shared" si="7"/>
        <v>GTxx_{W}x{D}x{H}</v>
      </c>
    </row>
    <row r="10" spans="1:17" x14ac:dyDescent="0.25">
      <c r="A10" s="13" t="s">
        <v>680</v>
      </c>
      <c r="B10" s="14" t="s">
        <v>92</v>
      </c>
      <c r="C10" s="15" t="str">
        <f t="shared" si="0"/>
        <v>e</v>
      </c>
      <c r="D10" s="16"/>
      <c r="E10" s="15" t="str">
        <f t="shared" si="1"/>
        <v/>
      </c>
      <c r="F10" s="14" t="s">
        <v>472</v>
      </c>
      <c r="G10" s="15" t="str">
        <f t="shared" si="2"/>
        <v>SI</v>
      </c>
      <c r="H10" s="14" t="s">
        <v>99</v>
      </c>
      <c r="I10" s="15" t="str">
        <f t="shared" si="3"/>
        <v>CT</v>
      </c>
      <c r="J10" s="14" t="s">
        <v>487</v>
      </c>
      <c r="K10" s="15" t="str">
        <f t="shared" si="4"/>
        <v>SG</v>
      </c>
      <c r="L10" s="17"/>
      <c r="M10" s="17" t="s">
        <v>144</v>
      </c>
      <c r="N10" s="17"/>
      <c r="O10" s="15" t="str">
        <f t="shared" si="5"/>
        <v>SI.CT.SG</v>
      </c>
      <c r="P10" s="18" t="str">
        <f t="shared" si="6"/>
        <v>e_SI.CT.SG_SL</v>
      </c>
      <c r="Q10" s="19" t="str">
        <f t="shared" si="7"/>
        <v>SGxx_{W}x{D}x{H}</v>
      </c>
    </row>
    <row r="11" spans="1:17" x14ac:dyDescent="0.25">
      <c r="A11" s="13" t="s">
        <v>682</v>
      </c>
      <c r="B11" s="14" t="s">
        <v>92</v>
      </c>
      <c r="C11" s="15" t="str">
        <f t="shared" si="0"/>
        <v>e</v>
      </c>
      <c r="D11" s="16"/>
      <c r="E11" s="15" t="str">
        <f t="shared" si="1"/>
        <v/>
      </c>
      <c r="F11" s="14" t="s">
        <v>472</v>
      </c>
      <c r="G11" s="15" t="str">
        <f t="shared" si="2"/>
        <v>SI</v>
      </c>
      <c r="H11" s="14" t="s">
        <v>94</v>
      </c>
      <c r="I11" s="15" t="str">
        <f t="shared" si="3"/>
        <v>CO</v>
      </c>
      <c r="J11" s="14" t="s">
        <v>490</v>
      </c>
      <c r="K11" s="15" t="str">
        <f t="shared" si="4"/>
        <v>MH</v>
      </c>
      <c r="L11" s="17"/>
      <c r="M11" s="17"/>
      <c r="N11" s="17"/>
      <c r="O11" s="15" t="str">
        <f t="shared" si="5"/>
        <v>SI.CO.MH</v>
      </c>
      <c r="P11" s="18" t="str">
        <f t="shared" si="6"/>
        <v>e_SI.CO.MH</v>
      </c>
      <c r="Q11" s="19" t="str">
        <f t="shared" si="7"/>
        <v>MHxx_{W}x{D}x{H}</v>
      </c>
    </row>
    <row r="12" spans="1:17" x14ac:dyDescent="0.25">
      <c r="A12" s="13" t="s">
        <v>685</v>
      </c>
      <c r="B12" s="14" t="s">
        <v>92</v>
      </c>
      <c r="C12" s="15" t="str">
        <f t="shared" si="0"/>
        <v>e</v>
      </c>
      <c r="D12" s="16"/>
      <c r="E12" s="15" t="str">
        <f t="shared" si="1"/>
        <v/>
      </c>
      <c r="F12" s="14" t="s">
        <v>472</v>
      </c>
      <c r="G12" s="15" t="str">
        <f t="shared" si="2"/>
        <v>SI</v>
      </c>
      <c r="H12" s="14" t="s">
        <v>99</v>
      </c>
      <c r="I12" s="15" t="str">
        <f t="shared" si="3"/>
        <v>CT</v>
      </c>
      <c r="J12" s="14" t="s">
        <v>493</v>
      </c>
      <c r="K12" s="15" t="str">
        <f t="shared" si="4"/>
        <v>SH</v>
      </c>
      <c r="L12" s="17"/>
      <c r="M12" s="17"/>
      <c r="N12" s="17"/>
      <c r="O12" s="15" t="str">
        <f t="shared" si="5"/>
        <v>SI.CT.SH</v>
      </c>
      <c r="P12" s="18" t="str">
        <f t="shared" si="6"/>
        <v>e_SI.CT.SH</v>
      </c>
      <c r="Q12" s="19" t="str">
        <f t="shared" si="7"/>
        <v>SHxx_{W}x{D}x{H}</v>
      </c>
    </row>
    <row r="13" spans="1:17" x14ac:dyDescent="0.25">
      <c r="A13" s="13" t="s">
        <v>687</v>
      </c>
      <c r="B13" s="14" t="s">
        <v>92</v>
      </c>
      <c r="C13" s="15" t="str">
        <f t="shared" si="0"/>
        <v>e</v>
      </c>
      <c r="D13" s="16"/>
      <c r="E13" s="15" t="str">
        <f t="shared" si="1"/>
        <v/>
      </c>
      <c r="F13" s="14" t="s">
        <v>472</v>
      </c>
      <c r="G13" s="15" t="str">
        <f t="shared" si="2"/>
        <v>SI</v>
      </c>
      <c r="H13" s="14" t="s">
        <v>94</v>
      </c>
      <c r="I13" s="15" t="str">
        <f t="shared" si="3"/>
        <v>CO</v>
      </c>
      <c r="J13" s="14" t="s">
        <v>478</v>
      </c>
      <c r="K13" s="15" t="str">
        <f t="shared" si="4"/>
        <v>BR</v>
      </c>
      <c r="L13" s="17"/>
      <c r="M13" s="17"/>
      <c r="N13" s="17"/>
      <c r="O13" s="15" t="str">
        <f t="shared" si="5"/>
        <v>SI.CO.BR</v>
      </c>
      <c r="P13" s="18" t="str">
        <f t="shared" si="6"/>
        <v>e_SI.CO.BR</v>
      </c>
      <c r="Q13" s="19" t="str">
        <f t="shared" si="7"/>
        <v>BRxx_{W}x{D}x{H}</v>
      </c>
    </row>
    <row r="14" spans="1:17" x14ac:dyDescent="0.25">
      <c r="A14" s="13" t="s">
        <v>689</v>
      </c>
      <c r="B14" s="14" t="s">
        <v>92</v>
      </c>
      <c r="C14" s="15" t="str">
        <f t="shared" si="0"/>
        <v>e</v>
      </c>
      <c r="D14" s="16"/>
      <c r="E14" s="15" t="str">
        <f t="shared" si="1"/>
        <v/>
      </c>
      <c r="F14" s="14" t="s">
        <v>472</v>
      </c>
      <c r="G14" s="15" t="str">
        <f t="shared" si="2"/>
        <v>SI</v>
      </c>
      <c r="H14" s="14" t="s">
        <v>94</v>
      </c>
      <c r="I14" s="15" t="str">
        <f t="shared" si="3"/>
        <v>CO</v>
      </c>
      <c r="J14" s="14" t="s">
        <v>432</v>
      </c>
      <c r="K14" s="15" t="str">
        <f t="shared" si="4"/>
        <v>SP</v>
      </c>
      <c r="L14" s="17" t="s">
        <v>842</v>
      </c>
      <c r="M14" s="17"/>
      <c r="N14" s="17"/>
      <c r="O14" s="15" t="str">
        <f t="shared" si="5"/>
        <v>SI.CO.SP</v>
      </c>
      <c r="P14" s="18" t="str">
        <f t="shared" si="6"/>
        <v>e_SI.CO.SP_Kompan</v>
      </c>
      <c r="Q14" s="19" t="str">
        <f t="shared" si="7"/>
        <v>SPxx_{W}x{D}x{H}</v>
      </c>
    </row>
    <row r="15" spans="1:17" x14ac:dyDescent="0.25">
      <c r="A15" s="13" t="s">
        <v>691</v>
      </c>
      <c r="B15" s="14" t="s">
        <v>92</v>
      </c>
      <c r="C15" s="15" t="str">
        <f t="shared" si="0"/>
        <v>e</v>
      </c>
      <c r="D15" s="16"/>
      <c r="E15" s="15" t="str">
        <f t="shared" si="1"/>
        <v/>
      </c>
      <c r="F15" s="14" t="s">
        <v>472</v>
      </c>
      <c r="G15" s="15" t="str">
        <f t="shared" si="2"/>
        <v>SI</v>
      </c>
      <c r="H15" s="14" t="s">
        <v>108</v>
      </c>
      <c r="I15" s="15" t="str">
        <f t="shared" si="3"/>
        <v>SY</v>
      </c>
      <c r="J15" s="14" t="s">
        <v>495</v>
      </c>
      <c r="K15" s="15" t="str">
        <f t="shared" si="4"/>
        <v>SF</v>
      </c>
      <c r="L15" s="17"/>
      <c r="M15" s="17"/>
      <c r="N15" s="17"/>
      <c r="O15" s="15" t="str">
        <f t="shared" si="5"/>
        <v>SI.SY.SF</v>
      </c>
      <c r="P15" s="18" t="str">
        <f t="shared" si="6"/>
        <v>e_SI.SY.SF</v>
      </c>
      <c r="Q15" s="19" t="str">
        <f t="shared" si="7"/>
        <v>SFxx_{W}x{D}x{H}</v>
      </c>
    </row>
    <row r="16" spans="1:17" x14ac:dyDescent="0.25">
      <c r="A16" s="13" t="s">
        <v>693</v>
      </c>
      <c r="B16" s="14" t="s">
        <v>92</v>
      </c>
      <c r="C16" s="15" t="str">
        <f t="shared" si="0"/>
        <v>e</v>
      </c>
      <c r="D16" s="16" t="s">
        <v>97</v>
      </c>
      <c r="E16" s="15" t="str">
        <f t="shared" si="1"/>
        <v>(I)</v>
      </c>
      <c r="F16" s="14" t="s">
        <v>472</v>
      </c>
      <c r="G16" s="15" t="str">
        <f t="shared" si="2"/>
        <v>SI</v>
      </c>
      <c r="H16" s="14" t="s">
        <v>94</v>
      </c>
      <c r="I16" s="15" t="str">
        <f t="shared" si="3"/>
        <v>CO</v>
      </c>
      <c r="J16" s="14" t="s">
        <v>298</v>
      </c>
      <c r="K16" s="15" t="str">
        <f t="shared" si="4"/>
        <v>FT</v>
      </c>
      <c r="L16" s="17" t="s">
        <v>774</v>
      </c>
      <c r="M16" s="17"/>
      <c r="N16" s="17"/>
      <c r="O16" s="15" t="str">
        <f t="shared" si="5"/>
        <v>SI.CO.FT</v>
      </c>
      <c r="P16" s="18" t="str">
        <f t="shared" si="6"/>
        <v>e_(I)SI.CO.FT_Metalco</v>
      </c>
      <c r="Q16" s="19" t="str">
        <f t="shared" si="7"/>
        <v>FTxx_{W}x{D}x{H}</v>
      </c>
    </row>
    <row r="17" spans="1:17" x14ac:dyDescent="0.25">
      <c r="A17" s="21">
        <v>1</v>
      </c>
      <c r="B17" s="22"/>
      <c r="C17" s="23" t="str">
        <f t="shared" si="0"/>
        <v/>
      </c>
      <c r="D17" s="24"/>
      <c r="E17" s="23" t="str">
        <f t="shared" si="1"/>
        <v/>
      </c>
      <c r="F17" s="22"/>
      <c r="G17" s="23" t="str">
        <f t="shared" si="2"/>
        <v/>
      </c>
      <c r="H17" s="22"/>
      <c r="I17" s="23" t="str">
        <f t="shared" si="3"/>
        <v/>
      </c>
      <c r="J17" s="22"/>
      <c r="K17" s="23" t="str">
        <f t="shared" si="4"/>
        <v/>
      </c>
      <c r="L17" s="25"/>
      <c r="M17" s="25"/>
      <c r="N17" s="25"/>
      <c r="O17" s="23" t="str">
        <f t="shared" si="5"/>
        <v/>
      </c>
      <c r="P17" s="26" t="str">
        <f t="shared" si="6"/>
        <v/>
      </c>
      <c r="Q17" s="19" t="str">
        <f t="shared" si="7"/>
        <v/>
      </c>
    </row>
    <row r="18" spans="1:17" x14ac:dyDescent="0.25">
      <c r="A18" s="21">
        <v>2</v>
      </c>
      <c r="B18" s="22"/>
      <c r="C18" s="23" t="str">
        <f t="shared" si="0"/>
        <v/>
      </c>
      <c r="D18" s="24"/>
      <c r="E18" s="23" t="str">
        <f t="shared" si="1"/>
        <v/>
      </c>
      <c r="F18" s="22"/>
      <c r="G18" s="23" t="str">
        <f t="shared" si="2"/>
        <v/>
      </c>
      <c r="H18" s="22"/>
      <c r="I18" s="23" t="str">
        <f t="shared" si="3"/>
        <v/>
      </c>
      <c r="J18" s="22"/>
      <c r="K18" s="23" t="str">
        <f t="shared" si="4"/>
        <v/>
      </c>
      <c r="L18" s="25"/>
      <c r="M18" s="25"/>
      <c r="N18" s="25"/>
      <c r="O18" s="23" t="str">
        <f t="shared" si="5"/>
        <v/>
      </c>
      <c r="P18" s="26" t="str">
        <f t="shared" si="6"/>
        <v/>
      </c>
      <c r="Q18" s="19" t="str">
        <f t="shared" si="7"/>
        <v/>
      </c>
    </row>
    <row r="19" spans="1:17" x14ac:dyDescent="0.25">
      <c r="A19" s="21">
        <v>3</v>
      </c>
      <c r="B19" s="22"/>
      <c r="C19" s="23" t="str">
        <f t="shared" si="0"/>
        <v/>
      </c>
      <c r="D19" s="24"/>
      <c r="E19" s="23" t="str">
        <f t="shared" si="1"/>
        <v/>
      </c>
      <c r="F19" s="22"/>
      <c r="G19" s="23" t="str">
        <f t="shared" si="2"/>
        <v/>
      </c>
      <c r="H19" s="22"/>
      <c r="I19" s="23" t="str">
        <f t="shared" si="3"/>
        <v/>
      </c>
      <c r="J19" s="22"/>
      <c r="K19" s="23" t="str">
        <f t="shared" si="4"/>
        <v/>
      </c>
      <c r="L19" s="25"/>
      <c r="M19" s="25"/>
      <c r="N19" s="25"/>
      <c r="O19" s="23" t="str">
        <f t="shared" si="5"/>
        <v/>
      </c>
      <c r="P19" s="26" t="str">
        <f t="shared" si="6"/>
        <v/>
      </c>
      <c r="Q19" s="19" t="str">
        <f t="shared" si="7"/>
        <v/>
      </c>
    </row>
    <row r="20" spans="1:17" x14ac:dyDescent="0.25">
      <c r="A20" s="21">
        <v>4</v>
      </c>
      <c r="B20" s="22"/>
      <c r="C20" s="23" t="str">
        <f t="shared" si="0"/>
        <v/>
      </c>
      <c r="D20" s="24"/>
      <c r="E20" s="23" t="str">
        <f t="shared" si="1"/>
        <v/>
      </c>
      <c r="F20" s="22"/>
      <c r="G20" s="23" t="str">
        <f t="shared" si="2"/>
        <v/>
      </c>
      <c r="H20" s="22"/>
      <c r="I20" s="23" t="str">
        <f t="shared" si="3"/>
        <v/>
      </c>
      <c r="J20" s="22"/>
      <c r="K20" s="23" t="str">
        <f t="shared" si="4"/>
        <v/>
      </c>
      <c r="L20" s="25"/>
      <c r="M20" s="25"/>
      <c r="N20" s="25"/>
      <c r="O20" s="23" t="str">
        <f t="shared" si="5"/>
        <v/>
      </c>
      <c r="P20" s="26" t="str">
        <f t="shared" si="6"/>
        <v/>
      </c>
      <c r="Q20" s="19" t="str">
        <f t="shared" si="7"/>
        <v/>
      </c>
    </row>
    <row r="21" spans="1:17" x14ac:dyDescent="0.25">
      <c r="A21" s="21">
        <v>5</v>
      </c>
      <c r="B21" s="22"/>
      <c r="C21" s="23" t="str">
        <f t="shared" si="0"/>
        <v/>
      </c>
      <c r="D21" s="24"/>
      <c r="E21" s="23" t="str">
        <f t="shared" si="1"/>
        <v/>
      </c>
      <c r="F21" s="22"/>
      <c r="G21" s="23" t="str">
        <f t="shared" si="2"/>
        <v/>
      </c>
      <c r="H21" s="22"/>
      <c r="I21" s="23" t="str">
        <f t="shared" si="3"/>
        <v/>
      </c>
      <c r="J21" s="22"/>
      <c r="K21" s="23" t="str">
        <f t="shared" si="4"/>
        <v/>
      </c>
      <c r="L21" s="25"/>
      <c r="M21" s="25"/>
      <c r="N21" s="25"/>
      <c r="O21" s="23" t="str">
        <f t="shared" si="5"/>
        <v/>
      </c>
      <c r="P21" s="26" t="str">
        <f t="shared" si="6"/>
        <v/>
      </c>
      <c r="Q21" s="19" t="str">
        <f t="shared" si="7"/>
        <v/>
      </c>
    </row>
    <row r="22" spans="1:17" x14ac:dyDescent="0.25">
      <c r="A22" s="21">
        <v>6</v>
      </c>
      <c r="B22" s="22"/>
      <c r="C22" s="23" t="str">
        <f t="shared" si="0"/>
        <v/>
      </c>
      <c r="D22" s="24"/>
      <c r="E22" s="23" t="str">
        <f t="shared" si="1"/>
        <v/>
      </c>
      <c r="F22" s="22"/>
      <c r="G22" s="23" t="str">
        <f t="shared" si="2"/>
        <v/>
      </c>
      <c r="H22" s="22"/>
      <c r="I22" s="23" t="str">
        <f t="shared" si="3"/>
        <v/>
      </c>
      <c r="J22" s="22"/>
      <c r="K22" s="23" t="str">
        <f t="shared" si="4"/>
        <v/>
      </c>
      <c r="L22" s="25"/>
      <c r="M22" s="25"/>
      <c r="N22" s="25"/>
      <c r="O22" s="23" t="str">
        <f t="shared" si="5"/>
        <v/>
      </c>
      <c r="P22" s="26" t="str">
        <f t="shared" si="6"/>
        <v/>
      </c>
      <c r="Q22" s="19" t="str">
        <f t="shared" si="7"/>
        <v/>
      </c>
    </row>
    <row r="23" spans="1:17" x14ac:dyDescent="0.25">
      <c r="A23" s="21">
        <v>7</v>
      </c>
      <c r="B23" s="22"/>
      <c r="C23" s="23" t="str">
        <f t="shared" si="0"/>
        <v/>
      </c>
      <c r="D23" s="24"/>
      <c r="E23" s="23" t="str">
        <f t="shared" si="1"/>
        <v/>
      </c>
      <c r="F23" s="22"/>
      <c r="G23" s="23" t="str">
        <f t="shared" si="2"/>
        <v/>
      </c>
      <c r="H23" s="22"/>
      <c r="I23" s="23" t="str">
        <f t="shared" si="3"/>
        <v/>
      </c>
      <c r="J23" s="22"/>
      <c r="K23" s="23" t="str">
        <f t="shared" si="4"/>
        <v/>
      </c>
      <c r="L23" s="25"/>
      <c r="M23" s="25"/>
      <c r="N23" s="25"/>
      <c r="O23" s="23" t="str">
        <f t="shared" si="5"/>
        <v/>
      </c>
      <c r="P23" s="26" t="str">
        <f t="shared" si="6"/>
        <v/>
      </c>
      <c r="Q23" s="19" t="str">
        <f t="shared" si="7"/>
        <v/>
      </c>
    </row>
    <row r="24" spans="1:17" x14ac:dyDescent="0.25">
      <c r="A24" s="21">
        <v>8</v>
      </c>
      <c r="B24" s="22"/>
      <c r="C24" s="23" t="str">
        <f t="shared" si="0"/>
        <v/>
      </c>
      <c r="D24" s="24"/>
      <c r="E24" s="23" t="str">
        <f t="shared" si="1"/>
        <v/>
      </c>
      <c r="F24" s="22"/>
      <c r="G24" s="23" t="str">
        <f t="shared" si="2"/>
        <v/>
      </c>
      <c r="H24" s="22"/>
      <c r="I24" s="23" t="str">
        <f t="shared" si="3"/>
        <v/>
      </c>
      <c r="J24" s="22"/>
      <c r="K24" s="23" t="str">
        <f t="shared" si="4"/>
        <v/>
      </c>
      <c r="L24" s="25"/>
      <c r="M24" s="25"/>
      <c r="N24" s="25"/>
      <c r="O24" s="23" t="str">
        <f t="shared" si="5"/>
        <v/>
      </c>
      <c r="P24" s="26" t="str">
        <f t="shared" si="6"/>
        <v/>
      </c>
      <c r="Q24" s="19" t="str">
        <f t="shared" si="7"/>
        <v/>
      </c>
    </row>
    <row r="25" spans="1:17" x14ac:dyDescent="0.25">
      <c r="A25" s="21">
        <v>9</v>
      </c>
      <c r="B25" s="22"/>
      <c r="C25" s="23" t="str">
        <f t="shared" si="0"/>
        <v/>
      </c>
      <c r="D25" s="24"/>
      <c r="E25" s="23" t="str">
        <f t="shared" si="1"/>
        <v/>
      </c>
      <c r="F25" s="22"/>
      <c r="G25" s="23" t="str">
        <f t="shared" si="2"/>
        <v/>
      </c>
      <c r="H25" s="22"/>
      <c r="I25" s="23" t="str">
        <f t="shared" si="3"/>
        <v/>
      </c>
      <c r="J25" s="22"/>
      <c r="K25" s="23" t="str">
        <f t="shared" si="4"/>
        <v/>
      </c>
      <c r="L25" s="25"/>
      <c r="M25" s="25"/>
      <c r="N25" s="25"/>
      <c r="O25" s="23" t="str">
        <f t="shared" si="5"/>
        <v/>
      </c>
      <c r="P25" s="26" t="str">
        <f t="shared" si="6"/>
        <v/>
      </c>
      <c r="Q25" s="19" t="str">
        <f t="shared" si="7"/>
        <v/>
      </c>
    </row>
    <row r="26" spans="1:17" x14ac:dyDescent="0.25">
      <c r="A26" s="21">
        <v>10</v>
      </c>
      <c r="B26" s="22"/>
      <c r="C26" s="23" t="str">
        <f t="shared" si="0"/>
        <v/>
      </c>
      <c r="D26" s="24"/>
      <c r="E26" s="23" t="str">
        <f t="shared" si="1"/>
        <v/>
      </c>
      <c r="F26" s="22"/>
      <c r="G26" s="23" t="str">
        <f t="shared" si="2"/>
        <v/>
      </c>
      <c r="H26" s="22"/>
      <c r="I26" s="23" t="str">
        <f t="shared" si="3"/>
        <v/>
      </c>
      <c r="J26" s="22"/>
      <c r="K26" s="23" t="str">
        <f t="shared" si="4"/>
        <v/>
      </c>
      <c r="L26" s="25"/>
      <c r="M26" s="25"/>
      <c r="N26" s="25"/>
      <c r="O26" s="23" t="str">
        <f t="shared" si="5"/>
        <v/>
      </c>
      <c r="P26" s="26" t="str">
        <f t="shared" si="6"/>
        <v/>
      </c>
      <c r="Q26" s="19" t="str">
        <f t="shared" si="7"/>
        <v/>
      </c>
    </row>
    <row r="27" spans="1:17" x14ac:dyDescent="0.25">
      <c r="A27" s="21">
        <v>11</v>
      </c>
      <c r="B27" s="22"/>
      <c r="C27" s="23" t="str">
        <f t="shared" si="0"/>
        <v/>
      </c>
      <c r="D27" s="24"/>
      <c r="E27" s="23" t="str">
        <f t="shared" si="1"/>
        <v/>
      </c>
      <c r="F27" s="22"/>
      <c r="G27" s="23" t="str">
        <f t="shared" si="2"/>
        <v/>
      </c>
      <c r="H27" s="22"/>
      <c r="I27" s="23" t="str">
        <f t="shared" si="3"/>
        <v/>
      </c>
      <c r="J27" s="22"/>
      <c r="K27" s="23" t="str">
        <f t="shared" si="4"/>
        <v/>
      </c>
      <c r="L27" s="25"/>
      <c r="M27" s="25"/>
      <c r="N27" s="25"/>
      <c r="O27" s="23" t="str">
        <f t="shared" si="5"/>
        <v/>
      </c>
      <c r="P27" s="26" t="str">
        <f t="shared" si="6"/>
        <v/>
      </c>
      <c r="Q27" s="19" t="str">
        <f t="shared" si="7"/>
        <v/>
      </c>
    </row>
    <row r="28" spans="1:17" x14ac:dyDescent="0.25">
      <c r="A28" s="21">
        <v>12</v>
      </c>
      <c r="B28" s="22"/>
      <c r="C28" s="23" t="str">
        <f t="shared" si="0"/>
        <v/>
      </c>
      <c r="D28" s="24"/>
      <c r="E28" s="23" t="str">
        <f t="shared" si="1"/>
        <v/>
      </c>
      <c r="F28" s="22"/>
      <c r="G28" s="23" t="str">
        <f t="shared" si="2"/>
        <v/>
      </c>
      <c r="H28" s="22"/>
      <c r="I28" s="23" t="str">
        <f t="shared" si="3"/>
        <v/>
      </c>
      <c r="J28" s="22"/>
      <c r="K28" s="23" t="str">
        <f t="shared" si="4"/>
        <v/>
      </c>
      <c r="L28" s="25"/>
      <c r="M28" s="25"/>
      <c r="N28" s="25"/>
      <c r="O28" s="23" t="str">
        <f t="shared" si="5"/>
        <v/>
      </c>
      <c r="P28" s="26" t="str">
        <f t="shared" si="6"/>
        <v/>
      </c>
      <c r="Q28" s="19" t="str">
        <f t="shared" si="7"/>
        <v/>
      </c>
    </row>
    <row r="29" spans="1:17" x14ac:dyDescent="0.25">
      <c r="A29" s="21">
        <v>13</v>
      </c>
      <c r="B29" s="22"/>
      <c r="C29" s="23" t="str">
        <f t="shared" si="0"/>
        <v/>
      </c>
      <c r="D29" s="24"/>
      <c r="E29" s="23" t="str">
        <f t="shared" si="1"/>
        <v/>
      </c>
      <c r="F29" s="22"/>
      <c r="G29" s="23" t="str">
        <f t="shared" si="2"/>
        <v/>
      </c>
      <c r="H29" s="22"/>
      <c r="I29" s="23" t="str">
        <f t="shared" si="3"/>
        <v/>
      </c>
      <c r="J29" s="22"/>
      <c r="K29" s="23" t="str">
        <f t="shared" si="4"/>
        <v/>
      </c>
      <c r="L29" s="25"/>
      <c r="M29" s="25"/>
      <c r="N29" s="25"/>
      <c r="O29" s="23" t="str">
        <f t="shared" si="5"/>
        <v/>
      </c>
      <c r="P29" s="26" t="str">
        <f t="shared" si="6"/>
        <v/>
      </c>
      <c r="Q29" s="19" t="str">
        <f t="shared" si="7"/>
        <v/>
      </c>
    </row>
    <row r="30" spans="1:17" x14ac:dyDescent="0.25">
      <c r="A30" s="21">
        <v>14</v>
      </c>
      <c r="B30" s="22"/>
      <c r="C30" s="23" t="str">
        <f t="shared" si="0"/>
        <v/>
      </c>
      <c r="D30" s="24"/>
      <c r="E30" s="23" t="str">
        <f t="shared" si="1"/>
        <v/>
      </c>
      <c r="F30" s="22"/>
      <c r="G30" s="23" t="str">
        <f t="shared" si="2"/>
        <v/>
      </c>
      <c r="H30" s="22"/>
      <c r="I30" s="23" t="str">
        <f t="shared" si="3"/>
        <v/>
      </c>
      <c r="J30" s="22"/>
      <c r="K30" s="23" t="str">
        <f t="shared" si="4"/>
        <v/>
      </c>
      <c r="L30" s="25"/>
      <c r="M30" s="25"/>
      <c r="N30" s="25"/>
      <c r="O30" s="23" t="str">
        <f t="shared" si="5"/>
        <v/>
      </c>
      <c r="P30" s="26" t="str">
        <f t="shared" si="6"/>
        <v/>
      </c>
      <c r="Q30" s="19" t="str">
        <f t="shared" si="7"/>
        <v/>
      </c>
    </row>
    <row r="31" spans="1:17" x14ac:dyDescent="0.25">
      <c r="A31" s="21">
        <v>15</v>
      </c>
      <c r="B31" s="22"/>
      <c r="C31" s="23" t="str">
        <f t="shared" si="0"/>
        <v/>
      </c>
      <c r="D31" s="24"/>
      <c r="E31" s="23" t="str">
        <f t="shared" si="1"/>
        <v/>
      </c>
      <c r="F31" s="22"/>
      <c r="G31" s="23" t="str">
        <f t="shared" si="2"/>
        <v/>
      </c>
      <c r="H31" s="22"/>
      <c r="I31" s="23" t="str">
        <f t="shared" si="3"/>
        <v/>
      </c>
      <c r="J31" s="22"/>
      <c r="K31" s="23" t="str">
        <f t="shared" si="4"/>
        <v/>
      </c>
      <c r="L31" s="25"/>
      <c r="M31" s="25"/>
      <c r="N31" s="25"/>
      <c r="O31" s="23" t="str">
        <f t="shared" si="5"/>
        <v/>
      </c>
      <c r="P31" s="26" t="str">
        <f t="shared" si="6"/>
        <v/>
      </c>
      <c r="Q31" s="19" t="str">
        <f t="shared" si="7"/>
        <v/>
      </c>
    </row>
    <row r="34" spans="1:17" ht="21.95" customHeight="1" x14ac:dyDescent="0.25">
      <c r="A34" s="41" t="s">
        <v>700</v>
      </c>
      <c r="B34" s="42"/>
      <c r="C34" s="42"/>
      <c r="D34" s="42"/>
      <c r="E34" s="42"/>
      <c r="F34" s="42"/>
      <c r="G34" s="42"/>
      <c r="H34" s="42"/>
      <c r="I34" s="42"/>
      <c r="J34" s="42"/>
      <c r="K34" s="42"/>
      <c r="L34" s="42"/>
      <c r="M34" s="42"/>
      <c r="N34" s="42"/>
      <c r="O34" s="42"/>
      <c r="P34" s="42"/>
      <c r="Q34" s="42"/>
    </row>
    <row r="36" spans="1:17" ht="24" customHeight="1" x14ac:dyDescent="0.25">
      <c r="A36" s="44" t="s">
        <v>843</v>
      </c>
      <c r="B36" s="33"/>
      <c r="C36" s="33"/>
      <c r="D36" s="33"/>
      <c r="E36" s="33"/>
      <c r="F36" s="33"/>
      <c r="G36" s="33"/>
      <c r="H36" s="33"/>
      <c r="I36" s="33"/>
      <c r="J36" s="33"/>
      <c r="K36" s="33"/>
      <c r="L36" s="33"/>
      <c r="M36" s="33"/>
      <c r="N36" s="33"/>
      <c r="O36" s="33"/>
      <c r="P36" s="33"/>
      <c r="Q36" s="33"/>
    </row>
    <row r="37" spans="1:17" ht="51" customHeight="1" x14ac:dyDescent="0.25">
      <c r="A37" s="40" t="s">
        <v>702</v>
      </c>
      <c r="B37" s="33"/>
      <c r="C37" s="33"/>
      <c r="D37" s="33"/>
      <c r="E37" s="33"/>
      <c r="F37" s="33"/>
      <c r="G37" s="33"/>
      <c r="H37" s="33"/>
      <c r="I37" s="33"/>
      <c r="J37" s="33"/>
      <c r="K37" s="33"/>
      <c r="L37" s="33"/>
      <c r="M37" s="33"/>
      <c r="N37" s="33"/>
      <c r="O37" s="33"/>
      <c r="P37" s="33"/>
      <c r="Q37" s="33"/>
    </row>
    <row r="39" spans="1:17" ht="18" customHeight="1" x14ac:dyDescent="0.25">
      <c r="A39" s="43" t="s">
        <v>777</v>
      </c>
      <c r="B39" s="33"/>
      <c r="C39" s="33"/>
      <c r="D39" s="33"/>
      <c r="E39" s="33"/>
      <c r="F39" s="33"/>
      <c r="G39" s="33"/>
      <c r="H39" s="33"/>
      <c r="I39" s="33"/>
      <c r="J39" s="33"/>
      <c r="K39" s="33"/>
      <c r="L39" s="33"/>
      <c r="M39" s="33"/>
      <c r="N39" s="33"/>
      <c r="O39" s="33"/>
      <c r="P39" s="33"/>
      <c r="Q39" s="33"/>
    </row>
    <row r="40" spans="1:17" ht="21" customHeight="1" x14ac:dyDescent="0.25">
      <c r="A40" s="40" t="s">
        <v>844</v>
      </c>
      <c r="B40" s="33"/>
      <c r="C40" s="33"/>
      <c r="D40" s="33"/>
      <c r="E40" s="33"/>
      <c r="F40" s="33"/>
      <c r="G40" s="33"/>
      <c r="H40" s="33"/>
      <c r="I40" s="33"/>
      <c r="J40" s="33"/>
      <c r="K40" s="33"/>
      <c r="L40" s="33"/>
      <c r="M40" s="33"/>
      <c r="N40" s="33"/>
      <c r="O40" s="33"/>
      <c r="P40" s="33"/>
      <c r="Q40" s="33"/>
    </row>
    <row r="43" spans="1:17" ht="21.95" customHeight="1" x14ac:dyDescent="0.25">
      <c r="A43" s="41" t="s">
        <v>845</v>
      </c>
      <c r="B43" s="42"/>
      <c r="C43" s="42"/>
      <c r="D43" s="42"/>
      <c r="E43" s="42"/>
      <c r="F43" s="42"/>
      <c r="G43" s="42"/>
      <c r="H43" s="42"/>
      <c r="I43" s="42"/>
      <c r="J43" s="42"/>
      <c r="K43" s="42"/>
      <c r="L43" s="42"/>
      <c r="M43" s="42"/>
      <c r="N43" s="42"/>
      <c r="O43" s="42"/>
      <c r="P43" s="42"/>
      <c r="Q43" s="42"/>
    </row>
    <row r="44" spans="1:17" ht="15.95" customHeight="1" x14ac:dyDescent="0.25">
      <c r="A44" s="39" t="s">
        <v>780</v>
      </c>
      <c r="B44" s="33"/>
      <c r="C44" s="33"/>
      <c r="D44" s="33"/>
      <c r="E44" s="33"/>
      <c r="F44" s="33"/>
      <c r="G44" s="33"/>
      <c r="H44" s="33"/>
      <c r="I44" s="33"/>
      <c r="J44" s="33"/>
      <c r="K44" s="33"/>
      <c r="L44" s="33"/>
      <c r="M44" s="33"/>
      <c r="N44" s="33"/>
      <c r="O44" s="33"/>
      <c r="P44" s="33"/>
      <c r="Q44" s="33"/>
    </row>
    <row r="46" spans="1:17" ht="18" customHeight="1" x14ac:dyDescent="0.25">
      <c r="A46" s="43" t="s">
        <v>846</v>
      </c>
      <c r="B46" s="33"/>
      <c r="C46" s="33"/>
      <c r="D46" s="33"/>
      <c r="E46" s="33"/>
      <c r="F46" s="33"/>
      <c r="G46" s="33"/>
      <c r="H46" s="33"/>
      <c r="I46" s="33"/>
      <c r="J46" s="33"/>
      <c r="K46" s="33"/>
      <c r="L46" s="33"/>
      <c r="M46" s="33"/>
      <c r="N46" s="33"/>
      <c r="O46" s="33"/>
      <c r="P46" s="33"/>
      <c r="Q46" s="33"/>
    </row>
    <row r="47" spans="1:17" ht="21" customHeight="1" x14ac:dyDescent="0.25">
      <c r="A47" s="40" t="s">
        <v>847</v>
      </c>
      <c r="B47" s="33"/>
      <c r="C47" s="33"/>
      <c r="D47" s="33"/>
      <c r="E47" s="33"/>
      <c r="F47" s="33"/>
      <c r="G47" s="33"/>
      <c r="H47" s="33"/>
      <c r="I47" s="33"/>
      <c r="J47" s="33"/>
      <c r="K47" s="33"/>
      <c r="L47" s="33"/>
      <c r="M47" s="33"/>
      <c r="N47" s="33"/>
      <c r="O47" s="33"/>
      <c r="P47" s="33"/>
      <c r="Q47" s="33"/>
    </row>
    <row r="48" spans="1:17" ht="6" customHeight="1" x14ac:dyDescent="0.25"/>
    <row r="49" spans="1:17" ht="18" customHeight="1" x14ac:dyDescent="0.25">
      <c r="A49" s="43" t="s">
        <v>848</v>
      </c>
      <c r="B49" s="33"/>
      <c r="C49" s="33"/>
      <c r="D49" s="33"/>
      <c r="E49" s="33"/>
      <c r="F49" s="33"/>
      <c r="G49" s="33"/>
      <c r="H49" s="33"/>
      <c r="I49" s="33"/>
      <c r="J49" s="33"/>
      <c r="K49" s="33"/>
      <c r="L49" s="33"/>
      <c r="M49" s="33"/>
      <c r="N49" s="33"/>
      <c r="O49" s="33"/>
      <c r="P49" s="33"/>
      <c r="Q49" s="33"/>
    </row>
    <row r="50" spans="1:17" ht="21" customHeight="1" x14ac:dyDescent="0.25">
      <c r="A50" s="40" t="s">
        <v>849</v>
      </c>
      <c r="B50" s="33"/>
      <c r="C50" s="33"/>
      <c r="D50" s="33"/>
      <c r="E50" s="33"/>
      <c r="F50" s="33"/>
      <c r="G50" s="33"/>
      <c r="H50" s="33"/>
      <c r="I50" s="33"/>
      <c r="J50" s="33"/>
      <c r="K50" s="33"/>
      <c r="L50" s="33"/>
      <c r="M50" s="33"/>
      <c r="N50" s="33"/>
      <c r="O50" s="33"/>
      <c r="P50" s="33"/>
      <c r="Q50" s="33"/>
    </row>
    <row r="51" spans="1:17" ht="6" customHeight="1" x14ac:dyDescent="0.25"/>
    <row r="52" spans="1:17" ht="18" customHeight="1" x14ac:dyDescent="0.25">
      <c r="A52" s="43" t="s">
        <v>711</v>
      </c>
      <c r="B52" s="33"/>
      <c r="C52" s="33"/>
      <c r="D52" s="33"/>
      <c r="E52" s="33"/>
      <c r="F52" s="33"/>
      <c r="G52" s="33"/>
      <c r="H52" s="33"/>
      <c r="I52" s="33"/>
      <c r="J52" s="33"/>
      <c r="K52" s="33"/>
      <c r="L52" s="33"/>
      <c r="M52" s="33"/>
      <c r="N52" s="33"/>
      <c r="O52" s="33"/>
      <c r="P52" s="33"/>
      <c r="Q52" s="33"/>
    </row>
    <row r="53" spans="1:17" ht="51" customHeight="1" x14ac:dyDescent="0.25">
      <c r="A53" s="40" t="s">
        <v>712</v>
      </c>
      <c r="B53" s="33"/>
      <c r="C53" s="33"/>
      <c r="D53" s="33"/>
      <c r="E53" s="33"/>
      <c r="F53" s="33"/>
      <c r="G53" s="33"/>
      <c r="H53" s="33"/>
      <c r="I53" s="33"/>
      <c r="J53" s="33"/>
      <c r="K53" s="33"/>
      <c r="L53" s="33"/>
      <c r="M53" s="33"/>
      <c r="N53" s="33"/>
      <c r="O53" s="33"/>
      <c r="P53" s="33"/>
      <c r="Q53" s="33"/>
    </row>
    <row r="54" spans="1:17" ht="6" customHeight="1" x14ac:dyDescent="0.25"/>
    <row r="55" spans="1:17" ht="18" customHeight="1" x14ac:dyDescent="0.25">
      <c r="A55" s="43" t="s">
        <v>659</v>
      </c>
      <c r="B55" s="33"/>
      <c r="C55" s="33"/>
      <c r="D55" s="33"/>
      <c r="E55" s="33"/>
      <c r="F55" s="33"/>
      <c r="G55" s="33"/>
      <c r="H55" s="33"/>
      <c r="I55" s="33"/>
      <c r="J55" s="33"/>
      <c r="K55" s="33"/>
      <c r="L55" s="33"/>
      <c r="M55" s="33"/>
      <c r="N55" s="33"/>
      <c r="O55" s="33"/>
      <c r="P55" s="33"/>
      <c r="Q55" s="33"/>
    </row>
    <row r="56" spans="1:17" ht="36" customHeight="1" x14ac:dyDescent="0.25">
      <c r="A56" s="40" t="s">
        <v>787</v>
      </c>
      <c r="B56" s="33"/>
      <c r="C56" s="33"/>
      <c r="D56" s="33"/>
      <c r="E56" s="33"/>
      <c r="F56" s="33"/>
      <c r="G56" s="33"/>
      <c r="H56" s="33"/>
      <c r="I56" s="33"/>
      <c r="J56" s="33"/>
      <c r="K56" s="33"/>
      <c r="L56" s="33"/>
      <c r="M56" s="33"/>
      <c r="N56" s="33"/>
      <c r="O56" s="33"/>
      <c r="P56" s="33"/>
      <c r="Q56" s="33"/>
    </row>
    <row r="57" spans="1:17" ht="6" customHeight="1" x14ac:dyDescent="0.25"/>
    <row r="58" spans="1:17" ht="18" customHeight="1" x14ac:dyDescent="0.25">
      <c r="A58" s="43" t="s">
        <v>62</v>
      </c>
      <c r="B58" s="33"/>
      <c r="C58" s="33"/>
      <c r="D58" s="33"/>
      <c r="E58" s="33"/>
      <c r="F58" s="33"/>
      <c r="G58" s="33"/>
      <c r="H58" s="33"/>
      <c r="I58" s="33"/>
      <c r="J58" s="33"/>
      <c r="K58" s="33"/>
      <c r="L58" s="33"/>
      <c r="M58" s="33"/>
      <c r="N58" s="33"/>
      <c r="O58" s="33"/>
      <c r="P58" s="33"/>
      <c r="Q58" s="33"/>
    </row>
    <row r="59" spans="1:17" ht="51" customHeight="1" x14ac:dyDescent="0.25">
      <c r="A59" s="40" t="s">
        <v>788</v>
      </c>
      <c r="B59" s="33"/>
      <c r="C59" s="33"/>
      <c r="D59" s="33"/>
      <c r="E59" s="33"/>
      <c r="F59" s="33"/>
      <c r="G59" s="33"/>
      <c r="H59" s="33"/>
      <c r="I59" s="33"/>
      <c r="J59" s="33"/>
      <c r="K59" s="33"/>
      <c r="L59" s="33"/>
      <c r="M59" s="33"/>
      <c r="N59" s="33"/>
      <c r="O59" s="33"/>
      <c r="P59" s="33"/>
      <c r="Q59" s="33"/>
    </row>
    <row r="60" spans="1:17" ht="6" customHeight="1" x14ac:dyDescent="0.25"/>
    <row r="63" spans="1:17" ht="21.95" customHeight="1" x14ac:dyDescent="0.25">
      <c r="A63" s="41" t="s">
        <v>715</v>
      </c>
      <c r="B63" s="42"/>
      <c r="C63" s="42"/>
      <c r="D63" s="42"/>
      <c r="E63" s="42"/>
      <c r="F63" s="42"/>
      <c r="G63" s="42"/>
      <c r="H63" s="42"/>
      <c r="I63" s="42"/>
      <c r="J63" s="42"/>
      <c r="K63" s="42"/>
      <c r="L63" s="42"/>
      <c r="M63" s="42"/>
      <c r="N63" s="42"/>
      <c r="O63" s="42"/>
      <c r="P63" s="42"/>
      <c r="Q63" s="42"/>
    </row>
    <row r="65" spans="1:17" ht="18" customHeight="1" x14ac:dyDescent="0.25">
      <c r="A65" s="43" t="s">
        <v>85</v>
      </c>
      <c r="B65" s="33"/>
      <c r="C65" s="33"/>
      <c r="D65" s="33"/>
      <c r="E65" s="33"/>
      <c r="F65" s="33"/>
      <c r="G65" s="33"/>
      <c r="H65" s="33"/>
      <c r="I65" s="33"/>
      <c r="J65" s="33"/>
      <c r="K65" s="33"/>
      <c r="L65" s="33"/>
      <c r="M65" s="33"/>
      <c r="N65" s="33"/>
      <c r="O65" s="33"/>
      <c r="P65" s="33"/>
      <c r="Q65" s="33"/>
    </row>
    <row r="66" spans="1:17" ht="21" customHeight="1" x14ac:dyDescent="0.25">
      <c r="A66" s="40" t="s">
        <v>716</v>
      </c>
      <c r="B66" s="33"/>
      <c r="C66" s="33"/>
      <c r="D66" s="33"/>
      <c r="E66" s="33"/>
      <c r="F66" s="33"/>
      <c r="G66" s="33"/>
      <c r="H66" s="33"/>
      <c r="I66" s="33"/>
      <c r="J66" s="33"/>
      <c r="K66" s="33"/>
      <c r="L66" s="33"/>
      <c r="M66" s="33"/>
      <c r="N66" s="33"/>
      <c r="O66" s="33"/>
      <c r="P66" s="33"/>
      <c r="Q66" s="33"/>
    </row>
    <row r="67" spans="1:17" ht="6" customHeight="1" x14ac:dyDescent="0.25"/>
    <row r="68" spans="1:17" ht="18" customHeight="1" x14ac:dyDescent="0.25">
      <c r="A68" s="43" t="s">
        <v>97</v>
      </c>
      <c r="B68" s="33"/>
      <c r="C68" s="33"/>
      <c r="D68" s="33"/>
      <c r="E68" s="33"/>
      <c r="F68" s="33"/>
      <c r="G68" s="33"/>
      <c r="H68" s="33"/>
      <c r="I68" s="33"/>
      <c r="J68" s="33"/>
      <c r="K68" s="33"/>
      <c r="L68" s="33"/>
      <c r="M68" s="33"/>
      <c r="N68" s="33"/>
      <c r="O68" s="33"/>
      <c r="P68" s="33"/>
      <c r="Q68" s="33"/>
    </row>
    <row r="69" spans="1:17" ht="36" customHeight="1" x14ac:dyDescent="0.25">
      <c r="A69" s="40" t="s">
        <v>717</v>
      </c>
      <c r="B69" s="33"/>
      <c r="C69" s="33"/>
      <c r="D69" s="33"/>
      <c r="E69" s="33"/>
      <c r="F69" s="33"/>
      <c r="G69" s="33"/>
      <c r="H69" s="33"/>
      <c r="I69" s="33"/>
      <c r="J69" s="33"/>
      <c r="K69" s="33"/>
      <c r="L69" s="33"/>
      <c r="M69" s="33"/>
      <c r="N69" s="33"/>
      <c r="O69" s="33"/>
      <c r="P69" s="33"/>
      <c r="Q69" s="33"/>
    </row>
    <row r="70" spans="1:17" ht="6" customHeight="1" x14ac:dyDescent="0.25"/>
    <row r="71" spans="1:17" ht="18" customHeight="1" x14ac:dyDescent="0.25">
      <c r="A71" s="43" t="s">
        <v>657</v>
      </c>
      <c r="B71" s="33"/>
      <c r="C71" s="33"/>
      <c r="D71" s="33"/>
      <c r="E71" s="33"/>
      <c r="F71" s="33"/>
      <c r="G71" s="33"/>
      <c r="H71" s="33"/>
      <c r="I71" s="33"/>
      <c r="J71" s="33"/>
      <c r="K71" s="33"/>
      <c r="L71" s="33"/>
      <c r="M71" s="33"/>
      <c r="N71" s="33"/>
      <c r="O71" s="33"/>
      <c r="P71" s="33"/>
      <c r="Q71" s="33"/>
    </row>
    <row r="72" spans="1:17" ht="21" customHeight="1" x14ac:dyDescent="0.25">
      <c r="A72" s="40" t="s">
        <v>718</v>
      </c>
      <c r="B72" s="33"/>
      <c r="C72" s="33"/>
      <c r="D72" s="33"/>
      <c r="E72" s="33"/>
      <c r="F72" s="33"/>
      <c r="G72" s="33"/>
      <c r="H72" s="33"/>
      <c r="I72" s="33"/>
      <c r="J72" s="33"/>
      <c r="K72" s="33"/>
      <c r="L72" s="33"/>
      <c r="M72" s="33"/>
      <c r="N72" s="33"/>
      <c r="O72" s="33"/>
      <c r="P72" s="33"/>
      <c r="Q72" s="33"/>
    </row>
    <row r="73" spans="1:17" ht="6" customHeight="1" x14ac:dyDescent="0.25"/>
    <row r="74" spans="1:17" ht="18" customHeight="1" x14ac:dyDescent="0.25">
      <c r="A74" s="43" t="s">
        <v>659</v>
      </c>
      <c r="B74" s="33"/>
      <c r="C74" s="33"/>
      <c r="D74" s="33"/>
      <c r="E74" s="33"/>
      <c r="F74" s="33"/>
      <c r="G74" s="33"/>
      <c r="H74" s="33"/>
      <c r="I74" s="33"/>
      <c r="J74" s="33"/>
      <c r="K74" s="33"/>
      <c r="L74" s="33"/>
      <c r="M74" s="33"/>
      <c r="N74" s="33"/>
      <c r="O74" s="33"/>
      <c r="P74" s="33"/>
      <c r="Q74" s="33"/>
    </row>
    <row r="75" spans="1:17" ht="36" customHeight="1" x14ac:dyDescent="0.25">
      <c r="A75" s="40" t="s">
        <v>789</v>
      </c>
      <c r="B75" s="33"/>
      <c r="C75" s="33"/>
      <c r="D75" s="33"/>
      <c r="E75" s="33"/>
      <c r="F75" s="33"/>
      <c r="G75" s="33"/>
      <c r="H75" s="33"/>
      <c r="I75" s="33"/>
      <c r="J75" s="33"/>
      <c r="K75" s="33"/>
      <c r="L75" s="33"/>
      <c r="M75" s="33"/>
      <c r="N75" s="33"/>
      <c r="O75" s="33"/>
      <c r="P75" s="33"/>
      <c r="Q75" s="33"/>
    </row>
    <row r="76" spans="1:17" ht="6" customHeight="1" x14ac:dyDescent="0.25"/>
    <row r="77" spans="1:17" ht="18" customHeight="1" x14ac:dyDescent="0.25">
      <c r="A77" s="43" t="s">
        <v>661</v>
      </c>
      <c r="B77" s="33"/>
      <c r="C77" s="33"/>
      <c r="D77" s="33"/>
      <c r="E77" s="33"/>
      <c r="F77" s="33"/>
      <c r="G77" s="33"/>
      <c r="H77" s="33"/>
      <c r="I77" s="33"/>
      <c r="J77" s="33"/>
      <c r="K77" s="33"/>
      <c r="L77" s="33"/>
      <c r="M77" s="33"/>
      <c r="N77" s="33"/>
      <c r="O77" s="33"/>
      <c r="P77" s="33"/>
      <c r="Q77" s="33"/>
    </row>
    <row r="78" spans="1:17" ht="21" customHeight="1" x14ac:dyDescent="0.25">
      <c r="A78" s="40" t="s">
        <v>850</v>
      </c>
      <c r="B78" s="33"/>
      <c r="C78" s="33"/>
      <c r="D78" s="33"/>
      <c r="E78" s="33"/>
      <c r="F78" s="33"/>
      <c r="G78" s="33"/>
      <c r="H78" s="33"/>
      <c r="I78" s="33"/>
      <c r="J78" s="33"/>
      <c r="K78" s="33"/>
      <c r="L78" s="33"/>
      <c r="M78" s="33"/>
      <c r="N78" s="33"/>
      <c r="O78" s="33"/>
      <c r="P78" s="33"/>
      <c r="Q78" s="33"/>
    </row>
    <row r="79" spans="1:17" ht="6" customHeight="1" x14ac:dyDescent="0.25"/>
    <row r="80" spans="1:17" ht="18" customHeight="1" x14ac:dyDescent="0.25">
      <c r="A80" s="43" t="s">
        <v>668</v>
      </c>
      <c r="B80" s="33"/>
      <c r="C80" s="33"/>
      <c r="D80" s="33"/>
      <c r="E80" s="33"/>
      <c r="F80" s="33"/>
      <c r="G80" s="33"/>
      <c r="H80" s="33"/>
      <c r="I80" s="33"/>
      <c r="J80" s="33"/>
      <c r="K80" s="33"/>
      <c r="L80" s="33"/>
      <c r="M80" s="33"/>
      <c r="N80" s="33"/>
      <c r="O80" s="33"/>
      <c r="P80" s="33"/>
      <c r="Q80" s="33"/>
    </row>
    <row r="81" spans="1:17" ht="21" customHeight="1" x14ac:dyDescent="0.25">
      <c r="A81" s="40" t="s">
        <v>725</v>
      </c>
      <c r="B81" s="33"/>
      <c r="C81" s="33"/>
      <c r="D81" s="33"/>
      <c r="E81" s="33"/>
      <c r="F81" s="33"/>
      <c r="G81" s="33"/>
      <c r="H81" s="33"/>
      <c r="I81" s="33"/>
      <c r="J81" s="33"/>
      <c r="K81" s="33"/>
      <c r="L81" s="33"/>
      <c r="M81" s="33"/>
      <c r="N81" s="33"/>
      <c r="O81" s="33"/>
      <c r="P81" s="33"/>
      <c r="Q81" s="33"/>
    </row>
    <row r="82" spans="1:17" ht="6" customHeight="1" x14ac:dyDescent="0.25"/>
    <row r="83" spans="1:17" ht="18" customHeight="1" x14ac:dyDescent="0.25">
      <c r="A83" s="43" t="s">
        <v>669</v>
      </c>
      <c r="B83" s="33"/>
      <c r="C83" s="33"/>
      <c r="D83" s="33"/>
      <c r="E83" s="33"/>
      <c r="F83" s="33"/>
      <c r="G83" s="33"/>
      <c r="H83" s="33"/>
      <c r="I83" s="33"/>
      <c r="J83" s="33"/>
      <c r="K83" s="33"/>
      <c r="L83" s="33"/>
      <c r="M83" s="33"/>
      <c r="N83" s="33"/>
      <c r="O83" s="33"/>
      <c r="P83" s="33"/>
      <c r="Q83" s="33"/>
    </row>
    <row r="84" spans="1:17" ht="36" customHeight="1" x14ac:dyDescent="0.25">
      <c r="A84" s="40" t="s">
        <v>726</v>
      </c>
      <c r="B84" s="33"/>
      <c r="C84" s="33"/>
      <c r="D84" s="33"/>
      <c r="E84" s="33"/>
      <c r="F84" s="33"/>
      <c r="G84" s="33"/>
      <c r="H84" s="33"/>
      <c r="I84" s="33"/>
      <c r="J84" s="33"/>
      <c r="K84" s="33"/>
      <c r="L84" s="33"/>
      <c r="M84" s="33"/>
      <c r="N84" s="33"/>
      <c r="O84" s="33"/>
      <c r="P84" s="33"/>
      <c r="Q84" s="33"/>
    </row>
    <row r="85" spans="1:17" ht="6" customHeight="1" x14ac:dyDescent="0.25"/>
    <row r="86" spans="1:17" ht="18" customHeight="1" x14ac:dyDescent="0.25">
      <c r="A86" s="43" t="s">
        <v>670</v>
      </c>
      <c r="B86" s="33"/>
      <c r="C86" s="33"/>
      <c r="D86" s="33"/>
      <c r="E86" s="33"/>
      <c r="F86" s="33"/>
      <c r="G86" s="33"/>
      <c r="H86" s="33"/>
      <c r="I86" s="33"/>
      <c r="J86" s="33"/>
      <c r="K86" s="33"/>
      <c r="L86" s="33"/>
      <c r="M86" s="33"/>
      <c r="N86" s="33"/>
      <c r="O86" s="33"/>
      <c r="P86" s="33"/>
      <c r="Q86" s="33"/>
    </row>
    <row r="87" spans="1:17" ht="36" customHeight="1" x14ac:dyDescent="0.25">
      <c r="A87" s="40" t="s">
        <v>727</v>
      </c>
      <c r="B87" s="33"/>
      <c r="C87" s="33"/>
      <c r="D87" s="33"/>
      <c r="E87" s="33"/>
      <c r="F87" s="33"/>
      <c r="G87" s="33"/>
      <c r="H87" s="33"/>
      <c r="I87" s="33"/>
      <c r="J87" s="33"/>
      <c r="K87" s="33"/>
      <c r="L87" s="33"/>
      <c r="M87" s="33"/>
      <c r="N87" s="33"/>
      <c r="O87" s="33"/>
      <c r="P87" s="33"/>
      <c r="Q87" s="33"/>
    </row>
    <row r="88" spans="1:17" ht="6" customHeight="1" x14ac:dyDescent="0.25"/>
    <row r="91" spans="1:17" x14ac:dyDescent="0.25">
      <c r="A91" s="39" t="s">
        <v>728</v>
      </c>
      <c r="B91" s="33"/>
      <c r="C91" s="33"/>
      <c r="D91" s="33"/>
      <c r="E91" s="33"/>
      <c r="F91" s="33"/>
      <c r="G91" s="33"/>
      <c r="H91" s="33"/>
      <c r="I91" s="33"/>
      <c r="J91" s="33"/>
      <c r="K91" s="33"/>
      <c r="L91" s="33"/>
      <c r="M91" s="33"/>
      <c r="N91" s="33"/>
      <c r="O91" s="33"/>
      <c r="P91" s="33"/>
      <c r="Q91" s="33"/>
    </row>
  </sheetData>
  <mergeCells count="35">
    <mergeCell ref="A34:Q34"/>
    <mergeCell ref="A36:Q36"/>
    <mergeCell ref="A69:Q69"/>
    <mergeCell ref="A37:Q37"/>
    <mergeCell ref="A46:Q46"/>
    <mergeCell ref="A56:Q56"/>
    <mergeCell ref="A55:Q55"/>
    <mergeCell ref="A50:Q50"/>
    <mergeCell ref="A47:Q47"/>
    <mergeCell ref="A53:Q53"/>
    <mergeCell ref="A44:Q44"/>
    <mergeCell ref="A58:Q58"/>
    <mergeCell ref="A40:Q40"/>
    <mergeCell ref="A39:Q39"/>
    <mergeCell ref="A71:Q71"/>
    <mergeCell ref="A77:Q77"/>
    <mergeCell ref="A59:Q59"/>
    <mergeCell ref="A83:Q83"/>
    <mergeCell ref="A49:Q49"/>
    <mergeCell ref="A91:Q91"/>
    <mergeCell ref="A43:Q43"/>
    <mergeCell ref="A81:Q81"/>
    <mergeCell ref="A72:Q72"/>
    <mergeCell ref="A52:Q52"/>
    <mergeCell ref="A68:Q68"/>
    <mergeCell ref="A63:Q63"/>
    <mergeCell ref="A87:Q87"/>
    <mergeCell ref="A65:Q65"/>
    <mergeCell ref="A78:Q78"/>
    <mergeCell ref="A66:Q66"/>
    <mergeCell ref="A80:Q80"/>
    <mergeCell ref="A75:Q75"/>
    <mergeCell ref="A84:Q84"/>
    <mergeCell ref="A74:Q74"/>
    <mergeCell ref="A86:Q86"/>
  </mergeCells>
  <dataValidations count="8">
    <dataValidation type="list" allowBlank="1" errorTitle="Valore non valido" error="Selezionare dalla lista." promptTitle="Author" prompt="Autore della codifica." sqref="B6:B31" xr:uid="{00000000-0002-0000-0B00-000000000000}">
      <formula1>Author_Name</formula1>
    </dataValidation>
    <dataValidation type="list" allowBlank="1" errorTitle="Valore non valido" error="Selezionare dalla lista, oppure lasciare vuoto." promptTitle="In Place" sqref="D6:D31" xr:uid="{00000000-0002-0000-0B00-000001000000}">
      <formula1>InPl_Name</formula1>
    </dataValidation>
    <dataValidation type="list" allowBlank="1" errorTitle="Valore non valido" error="Selezionare dalla lista." promptTitle="Categoria" prompt="Categoria Revit della famiglia." sqref="F6:F31" xr:uid="{00000000-0002-0000-0B00-000002000000}">
      <formula1>SI_Cat_Name</formula1>
    </dataValidation>
    <dataValidation type="list" allowBlank="1" errorTitle="Valore non valido" error="Selezionare dalla lista." promptTitle="Group1 — provenienza" sqref="H6:H31" xr:uid="{00000000-0002-0000-0B00-000003000000}">
      <formula1>PR_G1_Name</formula1>
    </dataValidation>
    <dataValidation type="list" allowBlank="1" errorTitle="Valore non valido" error="Selezionare dalla lista." promptTitle="Group2 — tipo di elemento" prompt="Tipo di elemento di sito." sqref="J6:J31" xr:uid="{00000000-0002-0000-0B00-000004000000}">
      <formula1>SI_G2_Name</formula1>
    </dataValidation>
    <dataValidation type="custom" allowBlank="1" errorTitle="Non valido" error="Massimo 24 caratteri, senza spazi, e non compatibile con Group1 = Custom." promptTitle="Manufacturer" prompt="Facoltativo. Azienda produttrice. Campo libero: senza spazi, iniziali maiuscole. Non compatibile con Group1 = Custom." sqref="L6:L31" xr:uid="{00000000-0002-0000-0B00-000005000000}">
      <formula1>AND(LEN($L6)&lt;=24,ISERROR(FIND(" ",$L6)),OR($L6="",$I6&lt;&gt;"CT"))</formula1>
    </dataValidation>
    <dataValidation type="custom" allowBlank="1" errorTitle="Non valido" error="Massimo 24 caratteri, senza spazi." promptTitle="Brand" sqref="M6:M31" xr:uid="{00000000-0002-0000-0B00-000006000000}">
      <formula1>AND(LEN($M6)&lt;=24,ISERROR(FIND(" ",$M6)))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N6:N31" xr:uid="{00000000-0002-0000-0B00-000007000000}">
      <formula1>40</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6"/>
  <sheetViews>
    <sheetView showGridLines="0" workbookViewId="0">
      <pane ySplit="5" topLeftCell="A6" activePane="bottomLeft" state="frozen"/>
      <selection pane="bottomLeft" activeCell="Q6" sqref="Q6"/>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15" customWidth="1"/>
    <col min="13" max="13" width="13" customWidth="1"/>
    <col min="14" max="14" width="20" customWidth="1"/>
    <col min="15" max="15" width="12" customWidth="1"/>
    <col min="16" max="16" width="36" customWidth="1"/>
    <col min="17" max="17" width="24" customWidth="1"/>
  </cols>
  <sheetData>
    <row r="1" spans="1:17" ht="19.5" x14ac:dyDescent="0.3">
      <c r="A1" s="6" t="s">
        <v>851</v>
      </c>
    </row>
    <row r="2" spans="1:17" x14ac:dyDescent="0.25">
      <c r="A2" s="7" t="s">
        <v>652</v>
      </c>
    </row>
    <row r="3" spans="1:17" x14ac:dyDescent="0.25">
      <c r="A3" s="8" t="s">
        <v>745</v>
      </c>
    </row>
    <row r="4" spans="1:17" ht="17.100000000000001" customHeight="1" x14ac:dyDescent="0.25">
      <c r="A4" s="9" t="s">
        <v>852</v>
      </c>
      <c r="B4" s="10"/>
      <c r="C4" s="10"/>
      <c r="D4" s="10"/>
      <c r="E4" s="10"/>
      <c r="F4" s="10"/>
      <c r="G4" s="10"/>
      <c r="H4" s="10"/>
      <c r="I4" s="10"/>
      <c r="J4" s="10"/>
      <c r="K4" s="10"/>
      <c r="L4" s="10"/>
      <c r="M4" s="10"/>
      <c r="N4" s="10"/>
      <c r="O4" s="10"/>
      <c r="P4" s="10"/>
      <c r="Q4" s="10"/>
    </row>
    <row r="5" spans="1:17" ht="30" customHeight="1" x14ac:dyDescent="0.25">
      <c r="A5" s="11" t="s">
        <v>655</v>
      </c>
      <c r="B5" s="11" t="s">
        <v>85</v>
      </c>
      <c r="C5" s="11" t="s">
        <v>656</v>
      </c>
      <c r="D5" s="12" t="s">
        <v>97</v>
      </c>
      <c r="E5" s="11" t="s">
        <v>96</v>
      </c>
      <c r="F5" s="11" t="s">
        <v>657</v>
      </c>
      <c r="G5" s="11" t="s">
        <v>658</v>
      </c>
      <c r="H5" s="11" t="s">
        <v>659</v>
      </c>
      <c r="I5" s="11" t="s">
        <v>660</v>
      </c>
      <c r="J5" s="11" t="s">
        <v>661</v>
      </c>
      <c r="K5" s="11" t="s">
        <v>662</v>
      </c>
      <c r="L5" s="12" t="s">
        <v>668</v>
      </c>
      <c r="M5" s="12" t="s">
        <v>669</v>
      </c>
      <c r="N5" s="12" t="s">
        <v>670</v>
      </c>
      <c r="O5" s="11" t="s">
        <v>671</v>
      </c>
      <c r="P5" s="11" t="s">
        <v>672</v>
      </c>
      <c r="Q5" s="11" t="s">
        <v>673</v>
      </c>
    </row>
    <row r="6" spans="1:17" x14ac:dyDescent="0.25">
      <c r="A6" s="13" t="s">
        <v>675</v>
      </c>
      <c r="B6" s="14" t="s">
        <v>92</v>
      </c>
      <c r="C6" s="15" t="str">
        <f t="shared" ref="C6:C29" si="0">IFERROR(INDEX(Author_Code,MATCH($B6,Author_Name,0)),"")</f>
        <v>e</v>
      </c>
      <c r="D6" s="16"/>
      <c r="E6" s="15" t="str">
        <f t="shared" ref="E6:E29" si="1">IFERROR(INDEX(InPl_Code,MATCH($D6,InPl_Name,0)),"")</f>
        <v/>
      </c>
      <c r="F6" s="14" t="s">
        <v>507</v>
      </c>
      <c r="G6" s="15" t="str">
        <f t="shared" ref="G6:G29" si="2">IFERROR(INDEX(PK_Cat_Code,MATCH($F6,PK_Cat_Name,0)),"")</f>
        <v>PK</v>
      </c>
      <c r="H6" s="14" t="s">
        <v>512</v>
      </c>
      <c r="I6" s="15" t="str">
        <f t="shared" ref="I6:I29" si="3">IFERROR(INDEX(PK_G1_Code,MATCH($H6,PK_G1_Name,0)),"")</f>
        <v>PP</v>
      </c>
      <c r="J6" s="14" t="s">
        <v>509</v>
      </c>
      <c r="K6" s="15" t="str">
        <f t="shared" ref="K6:K29" si="4">IFERROR(INDEX(PK_G2_Code,MATCH($J6,PK_G2_Name,0)),"")</f>
        <v>ST</v>
      </c>
      <c r="L6" s="17"/>
      <c r="M6" s="17"/>
      <c r="N6" s="17"/>
      <c r="O6" s="15" t="str">
        <f t="shared" ref="O6:O29" si="5">$G6&amp;IF($I6&lt;&gt;"","."&amp;$I6,"")&amp;IF($K6&lt;&gt;"","."&amp;$K6,"")</f>
        <v>PK.PP.ST</v>
      </c>
      <c r="P6" s="18" t="str">
        <f t="shared" ref="P6:P29" si="6">IF(AND($F6&lt;&gt;"",$H6&lt;&gt;"",$J6&lt;&gt;""),$C6&amp;"_"&amp;$E6&amp;$O6&amp;IF($L6&lt;&gt;"","_"&amp;$L6,"")&amp;IF($M6&lt;&gt;"","_"&amp;$M6,"")&amp;IF($N6&lt;&gt;"","_"&amp;$N6,""),"")</f>
        <v>e_PK.PP.ST</v>
      </c>
      <c r="Q6" s="19" t="str">
        <f t="shared" ref="Q6:Q29" si="7">IFERROR(IF(OR($G6="",$J6=""),"",$G6&amp;"-"&amp;LEFT(INDEX(PK_G2_TM,MATCH($J6,PK_G2_Name,0)),1)&amp;"xx"&amp;"_{W}x{L}"),"")</f>
        <v>PK-1xx_{W}x{L}</v>
      </c>
    </row>
    <row r="7" spans="1:17" x14ac:dyDescent="0.25">
      <c r="A7" s="13" t="s">
        <v>676</v>
      </c>
      <c r="B7" s="14" t="s">
        <v>92</v>
      </c>
      <c r="C7" s="15" t="str">
        <f t="shared" si="0"/>
        <v>e</v>
      </c>
      <c r="D7" s="16"/>
      <c r="E7" s="15" t="str">
        <f t="shared" si="1"/>
        <v/>
      </c>
      <c r="F7" s="14" t="s">
        <v>507</v>
      </c>
      <c r="G7" s="15" t="str">
        <f t="shared" si="2"/>
        <v>PK</v>
      </c>
      <c r="H7" s="14" t="s">
        <v>512</v>
      </c>
      <c r="I7" s="15" t="str">
        <f t="shared" si="3"/>
        <v>PP</v>
      </c>
      <c r="J7" s="14" t="s">
        <v>514</v>
      </c>
      <c r="K7" s="15" t="str">
        <f t="shared" si="4"/>
        <v>AC</v>
      </c>
      <c r="L7" s="17"/>
      <c r="M7" s="17"/>
      <c r="N7" s="17"/>
      <c r="O7" s="15" t="str">
        <f t="shared" si="5"/>
        <v>PK.PP.AC</v>
      </c>
      <c r="P7" s="18" t="str">
        <f t="shared" si="6"/>
        <v>e_PK.PP.AC</v>
      </c>
      <c r="Q7" s="19" t="str">
        <f t="shared" si="7"/>
        <v>PK-2xx_{W}x{L}</v>
      </c>
    </row>
    <row r="8" spans="1:17" x14ac:dyDescent="0.25">
      <c r="A8" s="13" t="s">
        <v>677</v>
      </c>
      <c r="B8" s="14" t="s">
        <v>92</v>
      </c>
      <c r="C8" s="15" t="str">
        <f t="shared" si="0"/>
        <v>e</v>
      </c>
      <c r="D8" s="16"/>
      <c r="E8" s="15" t="str">
        <f t="shared" si="1"/>
        <v/>
      </c>
      <c r="F8" s="14" t="s">
        <v>507</v>
      </c>
      <c r="G8" s="15" t="str">
        <f t="shared" si="2"/>
        <v>PK</v>
      </c>
      <c r="H8" s="14" t="s">
        <v>512</v>
      </c>
      <c r="I8" s="15" t="str">
        <f t="shared" si="3"/>
        <v>PP</v>
      </c>
      <c r="J8" s="14" t="s">
        <v>520</v>
      </c>
      <c r="K8" s="15" t="str">
        <f t="shared" si="4"/>
        <v>EV</v>
      </c>
      <c r="L8" s="17"/>
      <c r="M8" s="17"/>
      <c r="N8" s="17"/>
      <c r="O8" s="15" t="str">
        <f t="shared" si="5"/>
        <v>PK.PP.EV</v>
      </c>
      <c r="P8" s="18" t="str">
        <f t="shared" si="6"/>
        <v>e_PK.PP.EV</v>
      </c>
      <c r="Q8" s="19" t="str">
        <f t="shared" si="7"/>
        <v>PK-3xx_{W}x{L}</v>
      </c>
    </row>
    <row r="9" spans="1:17" x14ac:dyDescent="0.25">
      <c r="A9" s="13" t="s">
        <v>679</v>
      </c>
      <c r="B9" s="14" t="s">
        <v>92</v>
      </c>
      <c r="C9" s="15" t="str">
        <f t="shared" si="0"/>
        <v>e</v>
      </c>
      <c r="D9" s="16"/>
      <c r="E9" s="15" t="str">
        <f t="shared" si="1"/>
        <v/>
      </c>
      <c r="F9" s="14" t="s">
        <v>507</v>
      </c>
      <c r="G9" s="15" t="str">
        <f t="shared" si="2"/>
        <v>PK</v>
      </c>
      <c r="H9" s="14" t="s">
        <v>522</v>
      </c>
      <c r="I9" s="15" t="str">
        <f t="shared" si="3"/>
        <v>PR</v>
      </c>
      <c r="J9" s="14" t="s">
        <v>509</v>
      </c>
      <c r="K9" s="15" t="str">
        <f t="shared" si="4"/>
        <v>ST</v>
      </c>
      <c r="L9" s="17"/>
      <c r="M9" s="17"/>
      <c r="N9" s="17"/>
      <c r="O9" s="15" t="str">
        <f t="shared" si="5"/>
        <v>PK.PR.ST</v>
      </c>
      <c r="P9" s="18" t="str">
        <f t="shared" si="6"/>
        <v>e_PK.PR.ST</v>
      </c>
      <c r="Q9" s="19" t="str">
        <f t="shared" si="7"/>
        <v>PK-1xx_{W}x{L}</v>
      </c>
    </row>
    <row r="10" spans="1:17" x14ac:dyDescent="0.25">
      <c r="A10" s="13" t="s">
        <v>680</v>
      </c>
      <c r="B10" s="14" t="s">
        <v>92</v>
      </c>
      <c r="C10" s="15" t="str">
        <f t="shared" si="0"/>
        <v>e</v>
      </c>
      <c r="D10" s="16"/>
      <c r="E10" s="15" t="str">
        <f t="shared" si="1"/>
        <v/>
      </c>
      <c r="F10" s="14" t="s">
        <v>507</v>
      </c>
      <c r="G10" s="15" t="str">
        <f t="shared" si="2"/>
        <v>PK</v>
      </c>
      <c r="H10" s="14" t="s">
        <v>517</v>
      </c>
      <c r="I10" s="15" t="str">
        <f t="shared" si="3"/>
        <v>AN</v>
      </c>
      <c r="J10" s="14" t="s">
        <v>509</v>
      </c>
      <c r="K10" s="15" t="str">
        <f t="shared" si="4"/>
        <v>ST</v>
      </c>
      <c r="L10" s="17"/>
      <c r="M10" s="17"/>
      <c r="N10" s="17"/>
      <c r="O10" s="15" t="str">
        <f t="shared" si="5"/>
        <v>PK.AN.ST</v>
      </c>
      <c r="P10" s="18" t="str">
        <f t="shared" si="6"/>
        <v>e_PK.AN.ST</v>
      </c>
      <c r="Q10" s="19" t="str">
        <f t="shared" si="7"/>
        <v>PK-1xx_{W}x{L}</v>
      </c>
    </row>
    <row r="11" spans="1:17" x14ac:dyDescent="0.25">
      <c r="A11" s="13" t="s">
        <v>682</v>
      </c>
      <c r="B11" s="14" t="s">
        <v>92</v>
      </c>
      <c r="C11" s="15" t="str">
        <f t="shared" si="0"/>
        <v>e</v>
      </c>
      <c r="D11" s="16"/>
      <c r="E11" s="15" t="str">
        <f t="shared" si="1"/>
        <v/>
      </c>
      <c r="F11" s="14" t="s">
        <v>507</v>
      </c>
      <c r="G11" s="15" t="str">
        <f t="shared" si="2"/>
        <v>PK</v>
      </c>
      <c r="H11" s="14" t="s">
        <v>512</v>
      </c>
      <c r="I11" s="15" t="str">
        <f t="shared" si="3"/>
        <v>PP</v>
      </c>
      <c r="J11" s="14" t="s">
        <v>524</v>
      </c>
      <c r="K11" s="15" t="str">
        <f t="shared" si="4"/>
        <v>MC</v>
      </c>
      <c r="L11" s="17"/>
      <c r="M11" s="17"/>
      <c r="N11" s="17"/>
      <c r="O11" s="15" t="str">
        <f t="shared" si="5"/>
        <v>PK.PP.MC</v>
      </c>
      <c r="P11" s="18" t="str">
        <f t="shared" si="6"/>
        <v>e_PK.PP.MC</v>
      </c>
      <c r="Q11" s="19" t="str">
        <f t="shared" si="7"/>
        <v>PK-4xx_{W}x{L}</v>
      </c>
    </row>
    <row r="12" spans="1:17" x14ac:dyDescent="0.25">
      <c r="A12" s="13" t="s">
        <v>685</v>
      </c>
      <c r="B12" s="14" t="s">
        <v>92</v>
      </c>
      <c r="C12" s="15" t="str">
        <f t="shared" si="0"/>
        <v>e</v>
      </c>
      <c r="D12" s="16"/>
      <c r="E12" s="15" t="str">
        <f t="shared" si="1"/>
        <v/>
      </c>
      <c r="F12" s="14" t="s">
        <v>507</v>
      </c>
      <c r="G12" s="15" t="str">
        <f t="shared" si="2"/>
        <v>PK</v>
      </c>
      <c r="H12" s="14" t="s">
        <v>512</v>
      </c>
      <c r="I12" s="15" t="str">
        <f t="shared" si="3"/>
        <v>PP</v>
      </c>
      <c r="J12" s="14" t="s">
        <v>527</v>
      </c>
      <c r="K12" s="15" t="str">
        <f t="shared" si="4"/>
        <v>BC</v>
      </c>
      <c r="L12" s="17"/>
      <c r="M12" s="17"/>
      <c r="N12" s="17"/>
      <c r="O12" s="15" t="str">
        <f t="shared" si="5"/>
        <v>PK.PP.BC</v>
      </c>
      <c r="P12" s="18" t="str">
        <f t="shared" si="6"/>
        <v>e_PK.PP.BC</v>
      </c>
      <c r="Q12" s="19" t="str">
        <f t="shared" si="7"/>
        <v>PK-5xx_{W}x{L}</v>
      </c>
    </row>
    <row r="13" spans="1:17" x14ac:dyDescent="0.25">
      <c r="A13" s="13" t="s">
        <v>687</v>
      </c>
      <c r="B13" s="14" t="s">
        <v>92</v>
      </c>
      <c r="C13" s="15" t="str">
        <f t="shared" si="0"/>
        <v>e</v>
      </c>
      <c r="D13" s="16"/>
      <c r="E13" s="15" t="str">
        <f t="shared" si="1"/>
        <v/>
      </c>
      <c r="F13" s="14" t="s">
        <v>507</v>
      </c>
      <c r="G13" s="15" t="str">
        <f t="shared" si="2"/>
        <v>PK</v>
      </c>
      <c r="H13" s="14" t="s">
        <v>512</v>
      </c>
      <c r="I13" s="15" t="str">
        <f t="shared" si="3"/>
        <v>PP</v>
      </c>
      <c r="J13" s="14" t="s">
        <v>530</v>
      </c>
      <c r="K13" s="15" t="str">
        <f t="shared" si="4"/>
        <v>LD</v>
      </c>
      <c r="L13" s="17"/>
      <c r="M13" s="17"/>
      <c r="N13" s="17"/>
      <c r="O13" s="15" t="str">
        <f t="shared" si="5"/>
        <v>PK.PP.LD</v>
      </c>
      <c r="P13" s="18" t="str">
        <f t="shared" si="6"/>
        <v>e_PK.PP.LD</v>
      </c>
      <c r="Q13" s="19" t="str">
        <f t="shared" si="7"/>
        <v>PK-6xx_{W}x{L}</v>
      </c>
    </row>
    <row r="14" spans="1:17" x14ac:dyDescent="0.25">
      <c r="A14" s="13" t="s">
        <v>689</v>
      </c>
      <c r="B14" s="14" t="s">
        <v>92</v>
      </c>
      <c r="C14" s="15" t="str">
        <f t="shared" si="0"/>
        <v>e</v>
      </c>
      <c r="D14" s="16" t="s">
        <v>97</v>
      </c>
      <c r="E14" s="15" t="str">
        <f t="shared" si="1"/>
        <v>(I)</v>
      </c>
      <c r="F14" s="14" t="s">
        <v>507</v>
      </c>
      <c r="G14" s="15" t="str">
        <f t="shared" si="2"/>
        <v>PK</v>
      </c>
      <c r="H14" s="14" t="s">
        <v>512</v>
      </c>
      <c r="I14" s="15" t="str">
        <f t="shared" si="3"/>
        <v>PP</v>
      </c>
      <c r="J14" s="14" t="s">
        <v>509</v>
      </c>
      <c r="K14" s="15" t="str">
        <f t="shared" si="4"/>
        <v>ST</v>
      </c>
      <c r="L14" s="17"/>
      <c r="M14" s="17"/>
      <c r="N14" s="17"/>
      <c r="O14" s="15" t="str">
        <f t="shared" si="5"/>
        <v>PK.PP.ST</v>
      </c>
      <c r="P14" s="18" t="str">
        <f t="shared" si="6"/>
        <v>e_(I)PK.PP.ST</v>
      </c>
      <c r="Q14" s="19" t="str">
        <f t="shared" si="7"/>
        <v>PK-1xx_{W}x{L}</v>
      </c>
    </row>
    <row r="15" spans="1:17" x14ac:dyDescent="0.25">
      <c r="A15" s="21">
        <v>1</v>
      </c>
      <c r="B15" s="22"/>
      <c r="C15" s="23" t="str">
        <f t="shared" si="0"/>
        <v/>
      </c>
      <c r="D15" s="24"/>
      <c r="E15" s="23" t="str">
        <f t="shared" si="1"/>
        <v/>
      </c>
      <c r="F15" s="22"/>
      <c r="G15" s="23" t="str">
        <f t="shared" si="2"/>
        <v/>
      </c>
      <c r="H15" s="22"/>
      <c r="I15" s="23" t="str">
        <f t="shared" si="3"/>
        <v/>
      </c>
      <c r="J15" s="22"/>
      <c r="K15" s="23" t="str">
        <f t="shared" si="4"/>
        <v/>
      </c>
      <c r="L15" s="25"/>
      <c r="M15" s="25"/>
      <c r="N15" s="25"/>
      <c r="O15" s="23" t="str">
        <f t="shared" si="5"/>
        <v/>
      </c>
      <c r="P15" s="26" t="str">
        <f t="shared" si="6"/>
        <v/>
      </c>
      <c r="Q15" s="27" t="str">
        <f t="shared" si="7"/>
        <v/>
      </c>
    </row>
    <row r="16" spans="1:17" x14ac:dyDescent="0.25">
      <c r="A16" s="21">
        <v>2</v>
      </c>
      <c r="B16" s="22"/>
      <c r="C16" s="23" t="str">
        <f t="shared" si="0"/>
        <v/>
      </c>
      <c r="D16" s="24"/>
      <c r="E16" s="23" t="str">
        <f t="shared" si="1"/>
        <v/>
      </c>
      <c r="F16" s="22"/>
      <c r="G16" s="23" t="str">
        <f t="shared" si="2"/>
        <v/>
      </c>
      <c r="H16" s="22"/>
      <c r="I16" s="23" t="str">
        <f t="shared" si="3"/>
        <v/>
      </c>
      <c r="J16" s="22"/>
      <c r="K16" s="23" t="str">
        <f t="shared" si="4"/>
        <v/>
      </c>
      <c r="L16" s="25"/>
      <c r="M16" s="25"/>
      <c r="N16" s="25"/>
      <c r="O16" s="23" t="str">
        <f t="shared" si="5"/>
        <v/>
      </c>
      <c r="P16" s="26" t="str">
        <f t="shared" si="6"/>
        <v/>
      </c>
      <c r="Q16" s="27" t="str">
        <f t="shared" si="7"/>
        <v/>
      </c>
    </row>
    <row r="17" spans="1:17" x14ac:dyDescent="0.25">
      <c r="A17" s="21">
        <v>3</v>
      </c>
      <c r="B17" s="22"/>
      <c r="C17" s="23" t="str">
        <f t="shared" si="0"/>
        <v/>
      </c>
      <c r="D17" s="24"/>
      <c r="E17" s="23" t="str">
        <f t="shared" si="1"/>
        <v/>
      </c>
      <c r="F17" s="22"/>
      <c r="G17" s="23" t="str">
        <f t="shared" si="2"/>
        <v/>
      </c>
      <c r="H17" s="22"/>
      <c r="I17" s="23" t="str">
        <f t="shared" si="3"/>
        <v/>
      </c>
      <c r="J17" s="22"/>
      <c r="K17" s="23" t="str">
        <f t="shared" si="4"/>
        <v/>
      </c>
      <c r="L17" s="25"/>
      <c r="M17" s="25"/>
      <c r="N17" s="25"/>
      <c r="O17" s="23" t="str">
        <f t="shared" si="5"/>
        <v/>
      </c>
      <c r="P17" s="26" t="str">
        <f t="shared" si="6"/>
        <v/>
      </c>
      <c r="Q17" s="27" t="str">
        <f t="shared" si="7"/>
        <v/>
      </c>
    </row>
    <row r="18" spans="1:17" x14ac:dyDescent="0.25">
      <c r="A18" s="21">
        <v>4</v>
      </c>
      <c r="B18" s="22"/>
      <c r="C18" s="23" t="str">
        <f t="shared" si="0"/>
        <v/>
      </c>
      <c r="D18" s="24"/>
      <c r="E18" s="23" t="str">
        <f t="shared" si="1"/>
        <v/>
      </c>
      <c r="F18" s="22"/>
      <c r="G18" s="23" t="str">
        <f t="shared" si="2"/>
        <v/>
      </c>
      <c r="H18" s="22"/>
      <c r="I18" s="23" t="str">
        <f t="shared" si="3"/>
        <v/>
      </c>
      <c r="J18" s="22"/>
      <c r="K18" s="23" t="str">
        <f t="shared" si="4"/>
        <v/>
      </c>
      <c r="L18" s="25"/>
      <c r="M18" s="25"/>
      <c r="N18" s="25"/>
      <c r="O18" s="23" t="str">
        <f t="shared" si="5"/>
        <v/>
      </c>
      <c r="P18" s="26" t="str">
        <f t="shared" si="6"/>
        <v/>
      </c>
      <c r="Q18" s="27" t="str">
        <f t="shared" si="7"/>
        <v/>
      </c>
    </row>
    <row r="19" spans="1:17" x14ac:dyDescent="0.25">
      <c r="A19" s="21">
        <v>5</v>
      </c>
      <c r="B19" s="22"/>
      <c r="C19" s="23" t="str">
        <f t="shared" si="0"/>
        <v/>
      </c>
      <c r="D19" s="24"/>
      <c r="E19" s="23" t="str">
        <f t="shared" si="1"/>
        <v/>
      </c>
      <c r="F19" s="22"/>
      <c r="G19" s="23" t="str">
        <f t="shared" si="2"/>
        <v/>
      </c>
      <c r="H19" s="22"/>
      <c r="I19" s="23" t="str">
        <f t="shared" si="3"/>
        <v/>
      </c>
      <c r="J19" s="22"/>
      <c r="K19" s="23" t="str">
        <f t="shared" si="4"/>
        <v/>
      </c>
      <c r="L19" s="25"/>
      <c r="M19" s="25"/>
      <c r="N19" s="25"/>
      <c r="O19" s="23" t="str">
        <f t="shared" si="5"/>
        <v/>
      </c>
      <c r="P19" s="26" t="str">
        <f t="shared" si="6"/>
        <v/>
      </c>
      <c r="Q19" s="27" t="str">
        <f t="shared" si="7"/>
        <v/>
      </c>
    </row>
    <row r="20" spans="1:17" x14ac:dyDescent="0.25">
      <c r="A20" s="21">
        <v>6</v>
      </c>
      <c r="B20" s="22"/>
      <c r="C20" s="23" t="str">
        <f t="shared" si="0"/>
        <v/>
      </c>
      <c r="D20" s="24"/>
      <c r="E20" s="23" t="str">
        <f t="shared" si="1"/>
        <v/>
      </c>
      <c r="F20" s="22"/>
      <c r="G20" s="23" t="str">
        <f t="shared" si="2"/>
        <v/>
      </c>
      <c r="H20" s="22"/>
      <c r="I20" s="23" t="str">
        <f t="shared" si="3"/>
        <v/>
      </c>
      <c r="J20" s="22"/>
      <c r="K20" s="23" t="str">
        <f t="shared" si="4"/>
        <v/>
      </c>
      <c r="L20" s="25"/>
      <c r="M20" s="25"/>
      <c r="N20" s="25"/>
      <c r="O20" s="23" t="str">
        <f t="shared" si="5"/>
        <v/>
      </c>
      <c r="P20" s="26" t="str">
        <f t="shared" si="6"/>
        <v/>
      </c>
      <c r="Q20" s="27" t="str">
        <f t="shared" si="7"/>
        <v/>
      </c>
    </row>
    <row r="21" spans="1:17" x14ac:dyDescent="0.25">
      <c r="A21" s="21">
        <v>7</v>
      </c>
      <c r="B21" s="22"/>
      <c r="C21" s="23" t="str">
        <f t="shared" si="0"/>
        <v/>
      </c>
      <c r="D21" s="24"/>
      <c r="E21" s="23" t="str">
        <f t="shared" si="1"/>
        <v/>
      </c>
      <c r="F21" s="22"/>
      <c r="G21" s="23" t="str">
        <f t="shared" si="2"/>
        <v/>
      </c>
      <c r="H21" s="22"/>
      <c r="I21" s="23" t="str">
        <f t="shared" si="3"/>
        <v/>
      </c>
      <c r="J21" s="22"/>
      <c r="K21" s="23" t="str">
        <f t="shared" si="4"/>
        <v/>
      </c>
      <c r="L21" s="25"/>
      <c r="M21" s="25"/>
      <c r="N21" s="25"/>
      <c r="O21" s="23" t="str">
        <f t="shared" si="5"/>
        <v/>
      </c>
      <c r="P21" s="26" t="str">
        <f t="shared" si="6"/>
        <v/>
      </c>
      <c r="Q21" s="27" t="str">
        <f t="shared" si="7"/>
        <v/>
      </c>
    </row>
    <row r="22" spans="1:17" x14ac:dyDescent="0.25">
      <c r="A22" s="21">
        <v>8</v>
      </c>
      <c r="B22" s="22"/>
      <c r="C22" s="23" t="str">
        <f t="shared" si="0"/>
        <v/>
      </c>
      <c r="D22" s="24"/>
      <c r="E22" s="23" t="str">
        <f t="shared" si="1"/>
        <v/>
      </c>
      <c r="F22" s="22"/>
      <c r="G22" s="23" t="str">
        <f t="shared" si="2"/>
        <v/>
      </c>
      <c r="H22" s="22"/>
      <c r="I22" s="23" t="str">
        <f t="shared" si="3"/>
        <v/>
      </c>
      <c r="J22" s="22"/>
      <c r="K22" s="23" t="str">
        <f t="shared" si="4"/>
        <v/>
      </c>
      <c r="L22" s="25"/>
      <c r="M22" s="25"/>
      <c r="N22" s="25"/>
      <c r="O22" s="23" t="str">
        <f t="shared" si="5"/>
        <v/>
      </c>
      <c r="P22" s="26" t="str">
        <f t="shared" si="6"/>
        <v/>
      </c>
      <c r="Q22" s="27" t="str">
        <f t="shared" si="7"/>
        <v/>
      </c>
    </row>
    <row r="23" spans="1:17" x14ac:dyDescent="0.25">
      <c r="A23" s="21">
        <v>9</v>
      </c>
      <c r="B23" s="22"/>
      <c r="C23" s="23" t="str">
        <f t="shared" si="0"/>
        <v/>
      </c>
      <c r="D23" s="24"/>
      <c r="E23" s="23" t="str">
        <f t="shared" si="1"/>
        <v/>
      </c>
      <c r="F23" s="22"/>
      <c r="G23" s="23" t="str">
        <f t="shared" si="2"/>
        <v/>
      </c>
      <c r="H23" s="22"/>
      <c r="I23" s="23" t="str">
        <f t="shared" si="3"/>
        <v/>
      </c>
      <c r="J23" s="22"/>
      <c r="K23" s="23" t="str">
        <f t="shared" si="4"/>
        <v/>
      </c>
      <c r="L23" s="25"/>
      <c r="M23" s="25"/>
      <c r="N23" s="25"/>
      <c r="O23" s="23" t="str">
        <f t="shared" si="5"/>
        <v/>
      </c>
      <c r="P23" s="26" t="str">
        <f t="shared" si="6"/>
        <v/>
      </c>
      <c r="Q23" s="27" t="str">
        <f t="shared" si="7"/>
        <v/>
      </c>
    </row>
    <row r="24" spans="1:17" x14ac:dyDescent="0.25">
      <c r="A24" s="21">
        <v>10</v>
      </c>
      <c r="B24" s="22"/>
      <c r="C24" s="23" t="str">
        <f t="shared" si="0"/>
        <v/>
      </c>
      <c r="D24" s="24"/>
      <c r="E24" s="23" t="str">
        <f t="shared" si="1"/>
        <v/>
      </c>
      <c r="F24" s="22"/>
      <c r="G24" s="23" t="str">
        <f t="shared" si="2"/>
        <v/>
      </c>
      <c r="H24" s="22"/>
      <c r="I24" s="23" t="str">
        <f t="shared" si="3"/>
        <v/>
      </c>
      <c r="J24" s="22"/>
      <c r="K24" s="23" t="str">
        <f t="shared" si="4"/>
        <v/>
      </c>
      <c r="L24" s="25"/>
      <c r="M24" s="25"/>
      <c r="N24" s="25"/>
      <c r="O24" s="23" t="str">
        <f t="shared" si="5"/>
        <v/>
      </c>
      <c r="P24" s="26" t="str">
        <f t="shared" si="6"/>
        <v/>
      </c>
      <c r="Q24" s="27" t="str">
        <f t="shared" si="7"/>
        <v/>
      </c>
    </row>
    <row r="25" spans="1:17" x14ac:dyDescent="0.25">
      <c r="A25" s="21">
        <v>11</v>
      </c>
      <c r="B25" s="22"/>
      <c r="C25" s="23" t="str">
        <f t="shared" si="0"/>
        <v/>
      </c>
      <c r="D25" s="24"/>
      <c r="E25" s="23" t="str">
        <f t="shared" si="1"/>
        <v/>
      </c>
      <c r="F25" s="22"/>
      <c r="G25" s="23" t="str">
        <f t="shared" si="2"/>
        <v/>
      </c>
      <c r="H25" s="22"/>
      <c r="I25" s="23" t="str">
        <f t="shared" si="3"/>
        <v/>
      </c>
      <c r="J25" s="22"/>
      <c r="K25" s="23" t="str">
        <f t="shared" si="4"/>
        <v/>
      </c>
      <c r="L25" s="25"/>
      <c r="M25" s="25"/>
      <c r="N25" s="25"/>
      <c r="O25" s="23" t="str">
        <f t="shared" si="5"/>
        <v/>
      </c>
      <c r="P25" s="26" t="str">
        <f t="shared" si="6"/>
        <v/>
      </c>
      <c r="Q25" s="27" t="str">
        <f t="shared" si="7"/>
        <v/>
      </c>
    </row>
    <row r="26" spans="1:17" x14ac:dyDescent="0.25">
      <c r="A26" s="21">
        <v>12</v>
      </c>
      <c r="B26" s="22"/>
      <c r="C26" s="23" t="str">
        <f t="shared" si="0"/>
        <v/>
      </c>
      <c r="D26" s="24"/>
      <c r="E26" s="23" t="str">
        <f t="shared" si="1"/>
        <v/>
      </c>
      <c r="F26" s="22"/>
      <c r="G26" s="23" t="str">
        <f t="shared" si="2"/>
        <v/>
      </c>
      <c r="H26" s="22"/>
      <c r="I26" s="23" t="str">
        <f t="shared" si="3"/>
        <v/>
      </c>
      <c r="J26" s="22"/>
      <c r="K26" s="23" t="str">
        <f t="shared" si="4"/>
        <v/>
      </c>
      <c r="L26" s="25"/>
      <c r="M26" s="25"/>
      <c r="N26" s="25"/>
      <c r="O26" s="23" t="str">
        <f t="shared" si="5"/>
        <v/>
      </c>
      <c r="P26" s="26" t="str">
        <f t="shared" si="6"/>
        <v/>
      </c>
      <c r="Q26" s="27" t="str">
        <f t="shared" si="7"/>
        <v/>
      </c>
    </row>
    <row r="27" spans="1:17" x14ac:dyDescent="0.25">
      <c r="A27" s="21">
        <v>13</v>
      </c>
      <c r="B27" s="22"/>
      <c r="C27" s="23" t="str">
        <f t="shared" si="0"/>
        <v/>
      </c>
      <c r="D27" s="24"/>
      <c r="E27" s="23" t="str">
        <f t="shared" si="1"/>
        <v/>
      </c>
      <c r="F27" s="22"/>
      <c r="G27" s="23" t="str">
        <f t="shared" si="2"/>
        <v/>
      </c>
      <c r="H27" s="22"/>
      <c r="I27" s="23" t="str">
        <f t="shared" si="3"/>
        <v/>
      </c>
      <c r="J27" s="22"/>
      <c r="K27" s="23" t="str">
        <f t="shared" si="4"/>
        <v/>
      </c>
      <c r="L27" s="25"/>
      <c r="M27" s="25"/>
      <c r="N27" s="25"/>
      <c r="O27" s="23" t="str">
        <f t="shared" si="5"/>
        <v/>
      </c>
      <c r="P27" s="26" t="str">
        <f t="shared" si="6"/>
        <v/>
      </c>
      <c r="Q27" s="27" t="str">
        <f t="shared" si="7"/>
        <v/>
      </c>
    </row>
    <row r="28" spans="1:17" x14ac:dyDescent="0.25">
      <c r="A28" s="21">
        <v>14</v>
      </c>
      <c r="B28" s="22"/>
      <c r="C28" s="23" t="str">
        <f t="shared" si="0"/>
        <v/>
      </c>
      <c r="D28" s="24"/>
      <c r="E28" s="23" t="str">
        <f t="shared" si="1"/>
        <v/>
      </c>
      <c r="F28" s="22"/>
      <c r="G28" s="23" t="str">
        <f t="shared" si="2"/>
        <v/>
      </c>
      <c r="H28" s="22"/>
      <c r="I28" s="23" t="str">
        <f t="shared" si="3"/>
        <v/>
      </c>
      <c r="J28" s="22"/>
      <c r="K28" s="23" t="str">
        <f t="shared" si="4"/>
        <v/>
      </c>
      <c r="L28" s="25"/>
      <c r="M28" s="25"/>
      <c r="N28" s="25"/>
      <c r="O28" s="23" t="str">
        <f t="shared" si="5"/>
        <v/>
      </c>
      <c r="P28" s="26" t="str">
        <f t="shared" si="6"/>
        <v/>
      </c>
      <c r="Q28" s="27" t="str">
        <f t="shared" si="7"/>
        <v/>
      </c>
    </row>
    <row r="29" spans="1:17" x14ac:dyDescent="0.25">
      <c r="A29" s="21">
        <v>15</v>
      </c>
      <c r="B29" s="22"/>
      <c r="C29" s="23" t="str">
        <f t="shared" si="0"/>
        <v/>
      </c>
      <c r="D29" s="24"/>
      <c r="E29" s="23" t="str">
        <f t="shared" si="1"/>
        <v/>
      </c>
      <c r="F29" s="22"/>
      <c r="G29" s="23" t="str">
        <f t="shared" si="2"/>
        <v/>
      </c>
      <c r="H29" s="22"/>
      <c r="I29" s="23" t="str">
        <f t="shared" si="3"/>
        <v/>
      </c>
      <c r="J29" s="22"/>
      <c r="K29" s="23" t="str">
        <f t="shared" si="4"/>
        <v/>
      </c>
      <c r="L29" s="25"/>
      <c r="M29" s="25"/>
      <c r="N29" s="25"/>
      <c r="O29" s="23" t="str">
        <f t="shared" si="5"/>
        <v/>
      </c>
      <c r="P29" s="26" t="str">
        <f t="shared" si="6"/>
        <v/>
      </c>
      <c r="Q29" s="27" t="str">
        <f t="shared" si="7"/>
        <v/>
      </c>
    </row>
    <row r="32" spans="1:17" ht="21.95" customHeight="1" x14ac:dyDescent="0.25">
      <c r="A32" s="41" t="s">
        <v>700</v>
      </c>
      <c r="B32" s="42"/>
      <c r="C32" s="42"/>
      <c r="D32" s="42"/>
      <c r="E32" s="42"/>
      <c r="F32" s="42"/>
      <c r="G32" s="42"/>
      <c r="H32" s="42"/>
      <c r="I32" s="42"/>
      <c r="J32" s="42"/>
      <c r="K32" s="42"/>
      <c r="L32" s="42"/>
      <c r="M32" s="42"/>
      <c r="N32" s="42"/>
      <c r="O32" s="42"/>
      <c r="P32" s="42"/>
      <c r="Q32" s="42"/>
    </row>
    <row r="34" spans="1:17" ht="24" customHeight="1" x14ac:dyDescent="0.25">
      <c r="A34" s="44" t="s">
        <v>853</v>
      </c>
      <c r="B34" s="33"/>
      <c r="C34" s="33"/>
      <c r="D34" s="33"/>
      <c r="E34" s="33"/>
      <c r="F34" s="33"/>
      <c r="G34" s="33"/>
      <c r="H34" s="33"/>
      <c r="I34" s="33"/>
      <c r="J34" s="33"/>
      <c r="K34" s="33"/>
      <c r="L34" s="33"/>
      <c r="M34" s="33"/>
      <c r="N34" s="33"/>
      <c r="O34" s="33"/>
      <c r="P34" s="33"/>
      <c r="Q34" s="33"/>
    </row>
    <row r="35" spans="1:17" ht="51" customHeight="1" x14ac:dyDescent="0.25">
      <c r="A35" s="40" t="s">
        <v>702</v>
      </c>
      <c r="B35" s="33"/>
      <c r="C35" s="33"/>
      <c r="D35" s="33"/>
      <c r="E35" s="33"/>
      <c r="F35" s="33"/>
      <c r="G35" s="33"/>
      <c r="H35" s="33"/>
      <c r="I35" s="33"/>
      <c r="J35" s="33"/>
      <c r="K35" s="33"/>
      <c r="L35" s="33"/>
      <c r="M35" s="33"/>
      <c r="N35" s="33"/>
      <c r="O35" s="33"/>
      <c r="P35" s="33"/>
      <c r="Q35" s="33"/>
    </row>
    <row r="37" spans="1:17" ht="18" customHeight="1" x14ac:dyDescent="0.25">
      <c r="A37" s="43" t="s">
        <v>703</v>
      </c>
      <c r="B37" s="33"/>
      <c r="C37" s="33"/>
      <c r="D37" s="33"/>
      <c r="E37" s="33"/>
      <c r="F37" s="33"/>
      <c r="G37" s="33"/>
      <c r="H37" s="33"/>
      <c r="I37" s="33"/>
      <c r="J37" s="33"/>
      <c r="K37" s="33"/>
      <c r="L37" s="33"/>
      <c r="M37" s="33"/>
      <c r="N37" s="33"/>
      <c r="O37" s="33"/>
      <c r="P37" s="33"/>
      <c r="Q37" s="33"/>
    </row>
    <row r="38" spans="1:17" ht="21" customHeight="1" x14ac:dyDescent="0.25">
      <c r="A38" s="40" t="s">
        <v>854</v>
      </c>
      <c r="B38" s="33"/>
      <c r="C38" s="33"/>
      <c r="D38" s="33"/>
      <c r="E38" s="33"/>
      <c r="F38" s="33"/>
      <c r="G38" s="33"/>
      <c r="H38" s="33"/>
      <c r="I38" s="33"/>
      <c r="J38" s="33"/>
      <c r="K38" s="33"/>
      <c r="L38" s="33"/>
      <c r="M38" s="33"/>
      <c r="N38" s="33"/>
      <c r="O38" s="33"/>
      <c r="P38" s="33"/>
      <c r="Q38" s="33"/>
    </row>
    <row r="41" spans="1:17" ht="21.95" customHeight="1" x14ac:dyDescent="0.25">
      <c r="A41" s="41" t="s">
        <v>855</v>
      </c>
      <c r="B41" s="42"/>
      <c r="C41" s="42"/>
      <c r="D41" s="42"/>
      <c r="E41" s="42"/>
      <c r="F41" s="42"/>
      <c r="G41" s="42"/>
      <c r="H41" s="42"/>
      <c r="I41" s="42"/>
      <c r="J41" s="42"/>
      <c r="K41" s="42"/>
      <c r="L41" s="42"/>
      <c r="M41" s="42"/>
      <c r="N41" s="42"/>
      <c r="O41" s="42"/>
      <c r="P41" s="42"/>
      <c r="Q41" s="42"/>
    </row>
    <row r="42" spans="1:17" ht="15.95" customHeight="1" x14ac:dyDescent="0.25">
      <c r="A42" s="39" t="s">
        <v>706</v>
      </c>
      <c r="B42" s="33"/>
      <c r="C42" s="33"/>
      <c r="D42" s="33"/>
      <c r="E42" s="33"/>
      <c r="F42" s="33"/>
      <c r="G42" s="33"/>
      <c r="H42" s="33"/>
      <c r="I42" s="33"/>
      <c r="J42" s="33"/>
      <c r="K42" s="33"/>
      <c r="L42" s="33"/>
      <c r="M42" s="33"/>
      <c r="N42" s="33"/>
      <c r="O42" s="33"/>
      <c r="P42" s="33"/>
      <c r="Q42" s="33"/>
    </row>
    <row r="44" spans="1:17" ht="18" customHeight="1" x14ac:dyDescent="0.25">
      <c r="A44" s="43" t="s">
        <v>856</v>
      </c>
      <c r="B44" s="33"/>
      <c r="C44" s="33"/>
      <c r="D44" s="33"/>
      <c r="E44" s="33"/>
      <c r="F44" s="33"/>
      <c r="G44" s="33"/>
      <c r="H44" s="33"/>
      <c r="I44" s="33"/>
      <c r="J44" s="33"/>
      <c r="K44" s="33"/>
      <c r="L44" s="33"/>
      <c r="M44" s="33"/>
      <c r="N44" s="33"/>
      <c r="O44" s="33"/>
      <c r="P44" s="33"/>
      <c r="Q44" s="33"/>
    </row>
    <row r="45" spans="1:17" ht="21" customHeight="1" x14ac:dyDescent="0.25">
      <c r="A45" s="40" t="s">
        <v>857</v>
      </c>
      <c r="B45" s="33"/>
      <c r="C45" s="33"/>
      <c r="D45" s="33"/>
      <c r="E45" s="33"/>
      <c r="F45" s="33"/>
      <c r="G45" s="33"/>
      <c r="H45" s="33"/>
      <c r="I45" s="33"/>
      <c r="J45" s="33"/>
      <c r="K45" s="33"/>
      <c r="L45" s="33"/>
      <c r="M45" s="33"/>
      <c r="N45" s="33"/>
      <c r="O45" s="33"/>
      <c r="P45" s="33"/>
      <c r="Q45" s="33"/>
    </row>
    <row r="46" spans="1:17" ht="6" customHeight="1" x14ac:dyDescent="0.25"/>
    <row r="47" spans="1:17" ht="18" customHeight="1" x14ac:dyDescent="0.25">
      <c r="A47" s="43" t="s">
        <v>711</v>
      </c>
      <c r="B47" s="33"/>
      <c r="C47" s="33"/>
      <c r="D47" s="33"/>
      <c r="E47" s="33"/>
      <c r="F47" s="33"/>
      <c r="G47" s="33"/>
      <c r="H47" s="33"/>
      <c r="I47" s="33"/>
      <c r="J47" s="33"/>
      <c r="K47" s="33"/>
      <c r="L47" s="33"/>
      <c r="M47" s="33"/>
      <c r="N47" s="33"/>
      <c r="O47" s="33"/>
      <c r="P47" s="33"/>
      <c r="Q47" s="33"/>
    </row>
    <row r="48" spans="1:17" ht="51" customHeight="1" x14ac:dyDescent="0.25">
      <c r="A48" s="40" t="s">
        <v>712</v>
      </c>
      <c r="B48" s="33"/>
      <c r="C48" s="33"/>
      <c r="D48" s="33"/>
      <c r="E48" s="33"/>
      <c r="F48" s="33"/>
      <c r="G48" s="33"/>
      <c r="H48" s="33"/>
      <c r="I48" s="33"/>
      <c r="J48" s="33"/>
      <c r="K48" s="33"/>
      <c r="L48" s="33"/>
      <c r="M48" s="33"/>
      <c r="N48" s="33"/>
      <c r="O48" s="33"/>
      <c r="P48" s="33"/>
      <c r="Q48" s="33"/>
    </row>
    <row r="49" spans="1:17" ht="6" customHeight="1" x14ac:dyDescent="0.25"/>
    <row r="50" spans="1:17" ht="18" customHeight="1" x14ac:dyDescent="0.25">
      <c r="A50" s="43" t="s">
        <v>659</v>
      </c>
      <c r="B50" s="33"/>
      <c r="C50" s="33"/>
      <c r="D50" s="33"/>
      <c r="E50" s="33"/>
      <c r="F50" s="33"/>
      <c r="G50" s="33"/>
      <c r="H50" s="33"/>
      <c r="I50" s="33"/>
      <c r="J50" s="33"/>
      <c r="K50" s="33"/>
      <c r="L50" s="33"/>
      <c r="M50" s="33"/>
      <c r="N50" s="33"/>
      <c r="O50" s="33"/>
      <c r="P50" s="33"/>
      <c r="Q50" s="33"/>
    </row>
    <row r="51" spans="1:17" ht="36" customHeight="1" x14ac:dyDescent="0.25">
      <c r="A51" s="40" t="s">
        <v>713</v>
      </c>
      <c r="B51" s="33"/>
      <c r="C51" s="33"/>
      <c r="D51" s="33"/>
      <c r="E51" s="33"/>
      <c r="F51" s="33"/>
      <c r="G51" s="33"/>
      <c r="H51" s="33"/>
      <c r="I51" s="33"/>
      <c r="J51" s="33"/>
      <c r="K51" s="33"/>
      <c r="L51" s="33"/>
      <c r="M51" s="33"/>
      <c r="N51" s="33"/>
      <c r="O51" s="33"/>
      <c r="P51" s="33"/>
      <c r="Q51" s="33"/>
    </row>
    <row r="52" spans="1:17" ht="6" customHeight="1" x14ac:dyDescent="0.25"/>
    <row r="53" spans="1:17" ht="18" customHeight="1" x14ac:dyDescent="0.25">
      <c r="A53" s="43" t="s">
        <v>62</v>
      </c>
      <c r="B53" s="33"/>
      <c r="C53" s="33"/>
      <c r="D53" s="33"/>
      <c r="E53" s="33"/>
      <c r="F53" s="33"/>
      <c r="G53" s="33"/>
      <c r="H53" s="33"/>
      <c r="I53" s="33"/>
      <c r="J53" s="33"/>
      <c r="K53" s="33"/>
      <c r="L53" s="33"/>
      <c r="M53" s="33"/>
      <c r="N53" s="33"/>
      <c r="O53" s="33"/>
      <c r="P53" s="33"/>
      <c r="Q53" s="33"/>
    </row>
    <row r="54" spans="1:17" ht="36" customHeight="1" x14ac:dyDescent="0.25">
      <c r="A54" s="40" t="s">
        <v>714</v>
      </c>
      <c r="B54" s="33"/>
      <c r="C54" s="33"/>
      <c r="D54" s="33"/>
      <c r="E54" s="33"/>
      <c r="F54" s="33"/>
      <c r="G54" s="33"/>
      <c r="H54" s="33"/>
      <c r="I54" s="33"/>
      <c r="J54" s="33"/>
      <c r="K54" s="33"/>
      <c r="L54" s="33"/>
      <c r="M54" s="33"/>
      <c r="N54" s="33"/>
      <c r="O54" s="33"/>
      <c r="P54" s="33"/>
      <c r="Q54" s="33"/>
    </row>
    <row r="55" spans="1:17" ht="6" customHeight="1" x14ac:dyDescent="0.25"/>
    <row r="58" spans="1:17" ht="21.95" customHeight="1" x14ac:dyDescent="0.25">
      <c r="A58" s="41" t="s">
        <v>715</v>
      </c>
      <c r="B58" s="42"/>
      <c r="C58" s="42"/>
      <c r="D58" s="42"/>
      <c r="E58" s="42"/>
      <c r="F58" s="42"/>
      <c r="G58" s="42"/>
      <c r="H58" s="42"/>
      <c r="I58" s="42"/>
      <c r="J58" s="42"/>
      <c r="K58" s="42"/>
      <c r="L58" s="42"/>
      <c r="M58" s="42"/>
      <c r="N58" s="42"/>
      <c r="O58" s="42"/>
      <c r="P58" s="42"/>
      <c r="Q58" s="42"/>
    </row>
    <row r="60" spans="1:17" ht="18" customHeight="1" x14ac:dyDescent="0.25">
      <c r="A60" s="43" t="s">
        <v>85</v>
      </c>
      <c r="B60" s="33"/>
      <c r="C60" s="33"/>
      <c r="D60" s="33"/>
      <c r="E60" s="33"/>
      <c r="F60" s="33"/>
      <c r="G60" s="33"/>
      <c r="H60" s="33"/>
      <c r="I60" s="33"/>
      <c r="J60" s="33"/>
      <c r="K60" s="33"/>
      <c r="L60" s="33"/>
      <c r="M60" s="33"/>
      <c r="N60" s="33"/>
      <c r="O60" s="33"/>
      <c r="P60" s="33"/>
      <c r="Q60" s="33"/>
    </row>
    <row r="61" spans="1:17" ht="21" customHeight="1" x14ac:dyDescent="0.25">
      <c r="A61" s="40" t="s">
        <v>716</v>
      </c>
      <c r="B61" s="33"/>
      <c r="C61" s="33"/>
      <c r="D61" s="33"/>
      <c r="E61" s="33"/>
      <c r="F61" s="33"/>
      <c r="G61" s="33"/>
      <c r="H61" s="33"/>
      <c r="I61" s="33"/>
      <c r="J61" s="33"/>
      <c r="K61" s="33"/>
      <c r="L61" s="33"/>
      <c r="M61" s="33"/>
      <c r="N61" s="33"/>
      <c r="O61" s="33"/>
      <c r="P61" s="33"/>
      <c r="Q61" s="33"/>
    </row>
    <row r="62" spans="1:17" ht="6" customHeight="1" x14ac:dyDescent="0.25"/>
    <row r="63" spans="1:17" ht="18" customHeight="1" x14ac:dyDescent="0.25">
      <c r="A63" s="43" t="s">
        <v>97</v>
      </c>
      <c r="B63" s="33"/>
      <c r="C63" s="33"/>
      <c r="D63" s="33"/>
      <c r="E63" s="33"/>
      <c r="F63" s="33"/>
      <c r="G63" s="33"/>
      <c r="H63" s="33"/>
      <c r="I63" s="33"/>
      <c r="J63" s="33"/>
      <c r="K63" s="33"/>
      <c r="L63" s="33"/>
      <c r="M63" s="33"/>
      <c r="N63" s="33"/>
      <c r="O63" s="33"/>
      <c r="P63" s="33"/>
      <c r="Q63" s="33"/>
    </row>
    <row r="64" spans="1:17" ht="36" customHeight="1" x14ac:dyDescent="0.25">
      <c r="A64" s="40" t="s">
        <v>717</v>
      </c>
      <c r="B64" s="33"/>
      <c r="C64" s="33"/>
      <c r="D64" s="33"/>
      <c r="E64" s="33"/>
      <c r="F64" s="33"/>
      <c r="G64" s="33"/>
      <c r="H64" s="33"/>
      <c r="I64" s="33"/>
      <c r="J64" s="33"/>
      <c r="K64" s="33"/>
      <c r="L64" s="33"/>
      <c r="M64" s="33"/>
      <c r="N64" s="33"/>
      <c r="O64" s="33"/>
      <c r="P64" s="33"/>
      <c r="Q64" s="33"/>
    </row>
    <row r="65" spans="1:17" ht="6" customHeight="1" x14ac:dyDescent="0.25"/>
    <row r="66" spans="1:17" ht="18" customHeight="1" x14ac:dyDescent="0.25">
      <c r="A66" s="43" t="s">
        <v>657</v>
      </c>
      <c r="B66" s="33"/>
      <c r="C66" s="33"/>
      <c r="D66" s="33"/>
      <c r="E66" s="33"/>
      <c r="F66" s="33"/>
      <c r="G66" s="33"/>
      <c r="H66" s="33"/>
      <c r="I66" s="33"/>
      <c r="J66" s="33"/>
      <c r="K66" s="33"/>
      <c r="L66" s="33"/>
      <c r="M66" s="33"/>
      <c r="N66" s="33"/>
      <c r="O66" s="33"/>
      <c r="P66" s="33"/>
      <c r="Q66" s="33"/>
    </row>
    <row r="67" spans="1:17" ht="21" customHeight="1" x14ac:dyDescent="0.25">
      <c r="A67" s="40" t="s">
        <v>718</v>
      </c>
      <c r="B67" s="33"/>
      <c r="C67" s="33"/>
      <c r="D67" s="33"/>
      <c r="E67" s="33"/>
      <c r="F67" s="33"/>
      <c r="G67" s="33"/>
      <c r="H67" s="33"/>
      <c r="I67" s="33"/>
      <c r="J67" s="33"/>
      <c r="K67" s="33"/>
      <c r="L67" s="33"/>
      <c r="M67" s="33"/>
      <c r="N67" s="33"/>
      <c r="O67" s="33"/>
      <c r="P67" s="33"/>
      <c r="Q67" s="33"/>
    </row>
    <row r="68" spans="1:17" ht="6" customHeight="1" x14ac:dyDescent="0.25"/>
    <row r="69" spans="1:17" ht="18" customHeight="1" x14ac:dyDescent="0.25">
      <c r="A69" s="43" t="s">
        <v>659</v>
      </c>
      <c r="B69" s="33"/>
      <c r="C69" s="33"/>
      <c r="D69" s="33"/>
      <c r="E69" s="33"/>
      <c r="F69" s="33"/>
      <c r="G69" s="33"/>
      <c r="H69" s="33"/>
      <c r="I69" s="33"/>
      <c r="J69" s="33"/>
      <c r="K69" s="33"/>
      <c r="L69" s="33"/>
      <c r="M69" s="33"/>
      <c r="N69" s="33"/>
      <c r="O69" s="33"/>
      <c r="P69" s="33"/>
      <c r="Q69" s="33"/>
    </row>
    <row r="70" spans="1:17" ht="36" customHeight="1" x14ac:dyDescent="0.25">
      <c r="A70" s="40" t="s">
        <v>858</v>
      </c>
      <c r="B70" s="33"/>
      <c r="C70" s="33"/>
      <c r="D70" s="33"/>
      <c r="E70" s="33"/>
      <c r="F70" s="33"/>
      <c r="G70" s="33"/>
      <c r="H70" s="33"/>
      <c r="I70" s="33"/>
      <c r="J70" s="33"/>
      <c r="K70" s="33"/>
      <c r="L70" s="33"/>
      <c r="M70" s="33"/>
      <c r="N70" s="33"/>
      <c r="O70" s="33"/>
      <c r="P70" s="33"/>
      <c r="Q70" s="33"/>
    </row>
    <row r="71" spans="1:17" ht="6" customHeight="1" x14ac:dyDescent="0.25"/>
    <row r="72" spans="1:17" ht="18" customHeight="1" x14ac:dyDescent="0.25">
      <c r="A72" s="43" t="s">
        <v>661</v>
      </c>
      <c r="B72" s="33"/>
      <c r="C72" s="33"/>
      <c r="D72" s="33"/>
      <c r="E72" s="33"/>
      <c r="F72" s="33"/>
      <c r="G72" s="33"/>
      <c r="H72" s="33"/>
      <c r="I72" s="33"/>
      <c r="J72" s="33"/>
      <c r="K72" s="33"/>
      <c r="L72" s="33"/>
      <c r="M72" s="33"/>
      <c r="N72" s="33"/>
      <c r="O72" s="33"/>
      <c r="P72" s="33"/>
      <c r="Q72" s="33"/>
    </row>
    <row r="73" spans="1:17" ht="21" customHeight="1" x14ac:dyDescent="0.25">
      <c r="A73" s="40" t="s">
        <v>859</v>
      </c>
      <c r="B73" s="33"/>
      <c r="C73" s="33"/>
      <c r="D73" s="33"/>
      <c r="E73" s="33"/>
      <c r="F73" s="33"/>
      <c r="G73" s="33"/>
      <c r="H73" s="33"/>
      <c r="I73" s="33"/>
      <c r="J73" s="33"/>
      <c r="K73" s="33"/>
      <c r="L73" s="33"/>
      <c r="M73" s="33"/>
      <c r="N73" s="33"/>
      <c r="O73" s="33"/>
      <c r="P73" s="33"/>
      <c r="Q73" s="33"/>
    </row>
    <row r="74" spans="1:17" ht="6" customHeight="1" x14ac:dyDescent="0.25"/>
    <row r="75" spans="1:17" ht="18" customHeight="1" x14ac:dyDescent="0.25">
      <c r="A75" s="43" t="s">
        <v>668</v>
      </c>
      <c r="B75" s="33"/>
      <c r="C75" s="33"/>
      <c r="D75" s="33"/>
      <c r="E75" s="33"/>
      <c r="F75" s="33"/>
      <c r="G75" s="33"/>
      <c r="H75" s="33"/>
      <c r="I75" s="33"/>
      <c r="J75" s="33"/>
      <c r="K75" s="33"/>
      <c r="L75" s="33"/>
      <c r="M75" s="33"/>
      <c r="N75" s="33"/>
      <c r="O75" s="33"/>
      <c r="P75" s="33"/>
      <c r="Q75" s="33"/>
    </row>
    <row r="76" spans="1:17" ht="21" customHeight="1" x14ac:dyDescent="0.25">
      <c r="A76" s="40" t="s">
        <v>725</v>
      </c>
      <c r="B76" s="33"/>
      <c r="C76" s="33"/>
      <c r="D76" s="33"/>
      <c r="E76" s="33"/>
      <c r="F76" s="33"/>
      <c r="G76" s="33"/>
      <c r="H76" s="33"/>
      <c r="I76" s="33"/>
      <c r="J76" s="33"/>
      <c r="K76" s="33"/>
      <c r="L76" s="33"/>
      <c r="M76" s="33"/>
      <c r="N76" s="33"/>
      <c r="O76" s="33"/>
      <c r="P76" s="33"/>
      <c r="Q76" s="33"/>
    </row>
    <row r="77" spans="1:17" ht="6" customHeight="1" x14ac:dyDescent="0.25"/>
    <row r="78" spans="1:17" ht="18" customHeight="1" x14ac:dyDescent="0.25">
      <c r="A78" s="43" t="s">
        <v>669</v>
      </c>
      <c r="B78" s="33"/>
      <c r="C78" s="33"/>
      <c r="D78" s="33"/>
      <c r="E78" s="33"/>
      <c r="F78" s="33"/>
      <c r="G78" s="33"/>
      <c r="H78" s="33"/>
      <c r="I78" s="33"/>
      <c r="J78" s="33"/>
      <c r="K78" s="33"/>
      <c r="L78" s="33"/>
      <c r="M78" s="33"/>
      <c r="N78" s="33"/>
      <c r="O78" s="33"/>
      <c r="P78" s="33"/>
      <c r="Q78" s="33"/>
    </row>
    <row r="79" spans="1:17" ht="36" customHeight="1" x14ac:dyDescent="0.25">
      <c r="A79" s="40" t="s">
        <v>726</v>
      </c>
      <c r="B79" s="33"/>
      <c r="C79" s="33"/>
      <c r="D79" s="33"/>
      <c r="E79" s="33"/>
      <c r="F79" s="33"/>
      <c r="G79" s="33"/>
      <c r="H79" s="33"/>
      <c r="I79" s="33"/>
      <c r="J79" s="33"/>
      <c r="K79" s="33"/>
      <c r="L79" s="33"/>
      <c r="M79" s="33"/>
      <c r="N79" s="33"/>
      <c r="O79" s="33"/>
      <c r="P79" s="33"/>
      <c r="Q79" s="33"/>
    </row>
    <row r="80" spans="1:17" ht="6" customHeight="1" x14ac:dyDescent="0.25"/>
    <row r="81" spans="1:17" ht="18" customHeight="1" x14ac:dyDescent="0.25">
      <c r="A81" s="43" t="s">
        <v>670</v>
      </c>
      <c r="B81" s="33"/>
      <c r="C81" s="33"/>
      <c r="D81" s="33"/>
      <c r="E81" s="33"/>
      <c r="F81" s="33"/>
      <c r="G81" s="33"/>
      <c r="H81" s="33"/>
      <c r="I81" s="33"/>
      <c r="J81" s="33"/>
      <c r="K81" s="33"/>
      <c r="L81" s="33"/>
      <c r="M81" s="33"/>
      <c r="N81" s="33"/>
      <c r="O81" s="33"/>
      <c r="P81" s="33"/>
      <c r="Q81" s="33"/>
    </row>
    <row r="82" spans="1:17" ht="36" customHeight="1" x14ac:dyDescent="0.25">
      <c r="A82" s="40" t="s">
        <v>727</v>
      </c>
      <c r="B82" s="33"/>
      <c r="C82" s="33"/>
      <c r="D82" s="33"/>
      <c r="E82" s="33"/>
      <c r="F82" s="33"/>
      <c r="G82" s="33"/>
      <c r="H82" s="33"/>
      <c r="I82" s="33"/>
      <c r="J82" s="33"/>
      <c r="K82" s="33"/>
      <c r="L82" s="33"/>
      <c r="M82" s="33"/>
      <c r="N82" s="33"/>
      <c r="O82" s="33"/>
      <c r="P82" s="33"/>
      <c r="Q82" s="33"/>
    </row>
    <row r="83" spans="1:17" ht="6" customHeight="1" x14ac:dyDescent="0.25"/>
    <row r="86" spans="1:17" x14ac:dyDescent="0.25">
      <c r="A86" s="39" t="s">
        <v>728</v>
      </c>
      <c r="B86" s="33"/>
      <c r="C86" s="33"/>
      <c r="D86" s="33"/>
      <c r="E86" s="33"/>
      <c r="F86" s="33"/>
      <c r="G86" s="33"/>
      <c r="H86" s="33"/>
      <c r="I86" s="33"/>
      <c r="J86" s="33"/>
      <c r="K86" s="33"/>
      <c r="L86" s="33"/>
      <c r="M86" s="33"/>
      <c r="N86" s="33"/>
      <c r="O86" s="33"/>
      <c r="P86" s="33"/>
      <c r="Q86" s="33"/>
    </row>
  </sheetData>
  <mergeCells count="33">
    <mergeCell ref="A34:Q34"/>
    <mergeCell ref="A48:Q48"/>
    <mergeCell ref="A45:Q45"/>
    <mergeCell ref="A41:Q41"/>
    <mergeCell ref="A37:Q37"/>
    <mergeCell ref="A54:Q54"/>
    <mergeCell ref="A66:Q66"/>
    <mergeCell ref="A75:Q75"/>
    <mergeCell ref="A44:Q44"/>
    <mergeCell ref="A58:Q58"/>
    <mergeCell ref="A67:Q67"/>
    <mergeCell ref="A50:Q50"/>
    <mergeCell ref="A79:Q79"/>
    <mergeCell ref="A61:Q61"/>
    <mergeCell ref="A70:Q70"/>
    <mergeCell ref="A69:Q69"/>
    <mergeCell ref="A78:Q78"/>
    <mergeCell ref="A86:Q86"/>
    <mergeCell ref="A42:Q42"/>
    <mergeCell ref="A76:Q76"/>
    <mergeCell ref="A47:Q47"/>
    <mergeCell ref="A32:Q32"/>
    <mergeCell ref="A53:Q53"/>
    <mergeCell ref="A35:Q35"/>
    <mergeCell ref="A81:Q81"/>
    <mergeCell ref="A38:Q38"/>
    <mergeCell ref="A72:Q72"/>
    <mergeCell ref="A63:Q63"/>
    <mergeCell ref="A73:Q73"/>
    <mergeCell ref="A64:Q64"/>
    <mergeCell ref="A82:Q82"/>
    <mergeCell ref="A60:Q60"/>
    <mergeCell ref="A51:Q51"/>
  </mergeCells>
  <dataValidations count="8">
    <dataValidation type="list" allowBlank="1" errorTitle="Valore non valido" error="Selezionare dalla lista." promptTitle="Author" prompt="Autore della codifica." sqref="B6:B29" xr:uid="{00000000-0002-0000-0C00-000000000000}">
      <formula1>Author_Name</formula1>
    </dataValidation>
    <dataValidation type="list" allowBlank="1" errorTitle="Valore non valido" error="Selezionare dalla lista, oppure lasciare vuoto." promptTitle="In Place" sqref="D6:D29" xr:uid="{00000000-0002-0000-0C00-000001000000}">
      <formula1>InPl_Name</formula1>
    </dataValidation>
    <dataValidation type="list" allowBlank="1" errorTitle="Valore non valido" error="Selezionare dalla lista." promptTitle="Categoria" prompt="Categoria Revit della famiglia." sqref="F6:F29" xr:uid="{00000000-0002-0000-0C00-000002000000}">
      <formula1>PK_Cat_Name</formula1>
    </dataValidation>
    <dataValidation type="list" allowBlank="1" errorTitle="Valore non valido" error="Selezionare dalla lista." promptTitle="Group1 — disposizione" prompt="Disposizione del posto rispetto alla corsia. Component e Symbol chiudono la lista: quando la famiglia è un componente nidificato o un simbolo, quel valore prende il posto della classificazione funzionale, e il Group2 diventa OT." sqref="H6:H29" xr:uid="{00000000-0002-0000-0C00-000003000000}">
      <formula1>PK_G1_Name</formula1>
    </dataValidation>
    <dataValidation type="list" allowBlank="1" errorTitle="Valore non valido" error="Selezionare dalla lista." promptTitle="Group2 — destinazione" prompt="Destinazione del posto." sqref="J6:J29" xr:uid="{00000000-0002-0000-0C00-000004000000}">
      <formula1>PK_G2_Name</formula1>
    </dataValidation>
    <dataValidation type="custom" allowBlank="1" errorTitle="Non valido" error="Massimo 24 caratteri, senza spazi." promptTitle="Manufacturer" prompt="Facoltativo. Azienda produttrice. Campo libero: senza spazi, iniziali maiuscole. Non compatibile con Group1 = Custom." sqref="L6:L29" xr:uid="{00000000-0002-0000-0C00-000005000000}">
      <formula1>AND(LEN($L6)&lt;=24,ISERROR(FIND(" ",$L6)))</formula1>
    </dataValidation>
    <dataValidation type="custom" allowBlank="1" errorTitle="Non valido" error="Massimo 24 caratteri, senza spazi." promptTitle="Brand" sqref="M6:M29" xr:uid="{00000000-0002-0000-0C00-000006000000}">
      <formula1>AND(LEN($M6)&lt;=24,ISERROR(FIND(" ",$M6)))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N6:N29" xr:uid="{00000000-0002-0000-0C00-000007000000}">
      <formula1>40</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86"/>
  <sheetViews>
    <sheetView showGridLines="0" workbookViewId="0">
      <pane ySplit="5" topLeftCell="A6"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15" customWidth="1"/>
    <col min="13" max="13" width="13" customWidth="1"/>
    <col min="14" max="14" width="20" customWidth="1"/>
    <col min="15" max="15" width="12" customWidth="1"/>
    <col min="16" max="16" width="36" customWidth="1"/>
    <col min="17" max="17" width="24" customWidth="1"/>
  </cols>
  <sheetData>
    <row r="1" spans="1:17" ht="19.5" x14ac:dyDescent="0.3">
      <c r="A1" s="6" t="s">
        <v>860</v>
      </c>
    </row>
    <row r="2" spans="1:17" x14ac:dyDescent="0.25">
      <c r="A2" s="7" t="s">
        <v>652</v>
      </c>
    </row>
    <row r="3" spans="1:17" x14ac:dyDescent="0.25">
      <c r="A3" s="8" t="s">
        <v>745</v>
      </c>
    </row>
    <row r="4" spans="1:17" ht="17.100000000000001" customHeight="1" x14ac:dyDescent="0.25">
      <c r="A4" s="9" t="s">
        <v>861</v>
      </c>
      <c r="B4" s="10"/>
      <c r="C4" s="10"/>
      <c r="D4" s="10"/>
      <c r="E4" s="10"/>
      <c r="F4" s="10"/>
      <c r="G4" s="10"/>
      <c r="H4" s="10"/>
      <c r="I4" s="10"/>
      <c r="J4" s="10"/>
      <c r="K4" s="10"/>
      <c r="L4" s="10"/>
      <c r="M4" s="10"/>
      <c r="N4" s="10"/>
      <c r="O4" s="10"/>
      <c r="P4" s="10"/>
      <c r="Q4" s="10"/>
    </row>
    <row r="5" spans="1:17" ht="30" customHeight="1" x14ac:dyDescent="0.25">
      <c r="A5" s="11" t="s">
        <v>655</v>
      </c>
      <c r="B5" s="11" t="s">
        <v>85</v>
      </c>
      <c r="C5" s="11" t="s">
        <v>656</v>
      </c>
      <c r="D5" s="12" t="s">
        <v>97</v>
      </c>
      <c r="E5" s="11" t="s">
        <v>96</v>
      </c>
      <c r="F5" s="11" t="s">
        <v>657</v>
      </c>
      <c r="G5" s="11" t="s">
        <v>658</v>
      </c>
      <c r="H5" s="11" t="s">
        <v>659</v>
      </c>
      <c r="I5" s="11" t="s">
        <v>660</v>
      </c>
      <c r="J5" s="11" t="s">
        <v>661</v>
      </c>
      <c r="K5" s="11" t="s">
        <v>662</v>
      </c>
      <c r="L5" s="12" t="s">
        <v>668</v>
      </c>
      <c r="M5" s="12" t="s">
        <v>669</v>
      </c>
      <c r="N5" s="12" t="s">
        <v>670</v>
      </c>
      <c r="O5" s="11" t="s">
        <v>671</v>
      </c>
      <c r="P5" s="11" t="s">
        <v>672</v>
      </c>
      <c r="Q5" s="11" t="s">
        <v>673</v>
      </c>
    </row>
    <row r="6" spans="1:17" x14ac:dyDescent="0.25">
      <c r="A6" s="13" t="s">
        <v>675</v>
      </c>
      <c r="B6" s="14" t="s">
        <v>92</v>
      </c>
      <c r="C6" s="15" t="str">
        <f t="shared" ref="C6:C29" si="0">IFERROR(INDEX(Author_Code,MATCH($B6,Author_Name,0)),"")</f>
        <v>e</v>
      </c>
      <c r="D6" s="16"/>
      <c r="E6" s="15" t="str">
        <f t="shared" ref="E6:E29" si="1">IFERROR(INDEX(InPl_Code,MATCH($D6,InPl_Name,0)),"")</f>
        <v/>
      </c>
      <c r="F6" s="14" t="s">
        <v>544</v>
      </c>
      <c r="G6" s="15" t="str">
        <f t="shared" ref="G6:G29" si="2">IFERROR(INDEX(EN_Cat_Code,MATCH($F6,EN_Cat_Name,0)),"")</f>
        <v>EN</v>
      </c>
      <c r="H6" s="14" t="s">
        <v>546</v>
      </c>
      <c r="I6" s="15" t="str">
        <f t="shared" ref="I6:I29" si="3">IFERROR(INDEX(EN_G1_Code,MATCH($H6,EN_G1_Name,0)),"")</f>
        <v>PE</v>
      </c>
      <c r="J6" s="14" t="s">
        <v>555</v>
      </c>
      <c r="K6" s="15" t="str">
        <f t="shared" ref="K6:K29" si="4">IFERROR(INDEX(EN_G2_Code,MATCH($J6,EN_G2_Name,0)),"")</f>
        <v>CO</v>
      </c>
      <c r="L6" s="17"/>
      <c r="M6" s="17"/>
      <c r="N6" s="17"/>
      <c r="O6" s="15" t="str">
        <f t="shared" ref="O6:O29" si="5">$G6&amp;IF($I6&lt;&gt;"","."&amp;$I6,"")&amp;IF($K6&lt;&gt;"","."&amp;$K6,"")</f>
        <v>EN.PE.CO</v>
      </c>
      <c r="P6" s="18" t="str">
        <f t="shared" ref="P6:P29" si="6">IF(AND($F6&lt;&gt;"",$H6&lt;&gt;"",$J6&lt;&gt;""),$C6&amp;"_"&amp;$E6&amp;$O6&amp;IF($L6&lt;&gt;"","_"&amp;$L6,"")&amp;IF($M6&lt;&gt;"","_"&amp;$M6,"")&amp;IF($N6&lt;&gt;"","_"&amp;$N6,""),"")</f>
        <v>e_EN.PE.CO</v>
      </c>
      <c r="Q6" s="19" t="str">
        <f t="shared" ref="Q6:Q29" si="7">IFERROR(IF(OR($G6="",$J6=""),"",$G6&amp;"-"&amp;LEFT(INDEX(EN_G2_TM,MATCH($J6,EN_G2_Name,0)),1)&amp;"xx"),"")</f>
        <v>EN-3xx</v>
      </c>
    </row>
    <row r="7" spans="1:17" x14ac:dyDescent="0.25">
      <c r="A7" s="13" t="s">
        <v>676</v>
      </c>
      <c r="B7" s="14" t="s">
        <v>92</v>
      </c>
      <c r="C7" s="15" t="str">
        <f t="shared" si="0"/>
        <v>e</v>
      </c>
      <c r="D7" s="16"/>
      <c r="E7" s="15" t="str">
        <f t="shared" si="1"/>
        <v/>
      </c>
      <c r="F7" s="14" t="s">
        <v>544</v>
      </c>
      <c r="G7" s="15" t="str">
        <f t="shared" si="2"/>
        <v>EN</v>
      </c>
      <c r="H7" s="14" t="s">
        <v>546</v>
      </c>
      <c r="I7" s="15" t="str">
        <f t="shared" si="3"/>
        <v>PE</v>
      </c>
      <c r="J7" s="14" t="s">
        <v>548</v>
      </c>
      <c r="K7" s="15" t="str">
        <f t="shared" si="4"/>
        <v>RL</v>
      </c>
      <c r="L7" s="17" t="s">
        <v>862</v>
      </c>
      <c r="M7" s="17"/>
      <c r="N7" s="17"/>
      <c r="O7" s="15" t="str">
        <f t="shared" si="5"/>
        <v>EN.PE.RL</v>
      </c>
      <c r="P7" s="18" t="str">
        <f t="shared" si="6"/>
        <v>e_EN.PE.RL_AXYZ</v>
      </c>
      <c r="Q7" s="19" t="str">
        <f t="shared" si="7"/>
        <v>EN-1xx</v>
      </c>
    </row>
    <row r="8" spans="1:17" x14ac:dyDescent="0.25">
      <c r="A8" s="13" t="s">
        <v>677</v>
      </c>
      <c r="B8" s="14" t="s">
        <v>92</v>
      </c>
      <c r="C8" s="15" t="str">
        <f t="shared" si="0"/>
        <v>e</v>
      </c>
      <c r="D8" s="16"/>
      <c r="E8" s="15" t="str">
        <f t="shared" si="1"/>
        <v/>
      </c>
      <c r="F8" s="14" t="s">
        <v>544</v>
      </c>
      <c r="G8" s="15" t="str">
        <f t="shared" si="2"/>
        <v>EN</v>
      </c>
      <c r="H8" s="14" t="s">
        <v>546</v>
      </c>
      <c r="I8" s="15" t="str">
        <f t="shared" si="3"/>
        <v>PE</v>
      </c>
      <c r="J8" s="14" t="s">
        <v>552</v>
      </c>
      <c r="K8" s="15" t="str">
        <f t="shared" si="4"/>
        <v>SM</v>
      </c>
      <c r="L8" s="17"/>
      <c r="M8" s="17"/>
      <c r="N8" s="17"/>
      <c r="O8" s="15" t="str">
        <f t="shared" si="5"/>
        <v>EN.PE.SM</v>
      </c>
      <c r="P8" s="18" t="str">
        <f t="shared" si="6"/>
        <v>e_EN.PE.SM</v>
      </c>
      <c r="Q8" s="19" t="str">
        <f t="shared" si="7"/>
        <v>EN-2xx</v>
      </c>
    </row>
    <row r="9" spans="1:17" x14ac:dyDescent="0.25">
      <c r="A9" s="13" t="s">
        <v>679</v>
      </c>
      <c r="B9" s="14" t="s">
        <v>92</v>
      </c>
      <c r="C9" s="15" t="str">
        <f t="shared" si="0"/>
        <v>e</v>
      </c>
      <c r="D9" s="16"/>
      <c r="E9" s="15" t="str">
        <f t="shared" si="1"/>
        <v/>
      </c>
      <c r="F9" s="14" t="s">
        <v>544</v>
      </c>
      <c r="G9" s="15" t="str">
        <f t="shared" si="2"/>
        <v>EN</v>
      </c>
      <c r="H9" s="14" t="s">
        <v>458</v>
      </c>
      <c r="I9" s="15" t="str">
        <f t="shared" si="3"/>
        <v>VH</v>
      </c>
      <c r="J9" s="14" t="s">
        <v>552</v>
      </c>
      <c r="K9" s="15" t="str">
        <f t="shared" si="4"/>
        <v>SM</v>
      </c>
      <c r="L9" s="17"/>
      <c r="M9" s="17"/>
      <c r="N9" s="17"/>
      <c r="O9" s="15" t="str">
        <f t="shared" si="5"/>
        <v>EN.VH.SM</v>
      </c>
      <c r="P9" s="18" t="str">
        <f t="shared" si="6"/>
        <v>e_EN.VH.SM</v>
      </c>
      <c r="Q9" s="19" t="str">
        <f t="shared" si="7"/>
        <v>EN-2xx</v>
      </c>
    </row>
    <row r="10" spans="1:17" x14ac:dyDescent="0.25">
      <c r="A10" s="13" t="s">
        <v>680</v>
      </c>
      <c r="B10" s="14" t="s">
        <v>92</v>
      </c>
      <c r="C10" s="15" t="str">
        <f t="shared" si="0"/>
        <v>e</v>
      </c>
      <c r="D10" s="16"/>
      <c r="E10" s="15" t="str">
        <f t="shared" si="1"/>
        <v/>
      </c>
      <c r="F10" s="14" t="s">
        <v>544</v>
      </c>
      <c r="G10" s="15" t="str">
        <f t="shared" si="2"/>
        <v>EN</v>
      </c>
      <c r="H10" s="14" t="s">
        <v>458</v>
      </c>
      <c r="I10" s="15" t="str">
        <f t="shared" si="3"/>
        <v>VH</v>
      </c>
      <c r="J10" s="14" t="s">
        <v>548</v>
      </c>
      <c r="K10" s="15" t="str">
        <f t="shared" si="4"/>
        <v>RL</v>
      </c>
      <c r="L10" s="17" t="s">
        <v>862</v>
      </c>
      <c r="M10" s="17"/>
      <c r="N10" s="17"/>
      <c r="O10" s="15" t="str">
        <f t="shared" si="5"/>
        <v>EN.VH.RL</v>
      </c>
      <c r="P10" s="18" t="str">
        <f t="shared" si="6"/>
        <v>e_EN.VH.RL_AXYZ</v>
      </c>
      <c r="Q10" s="19" t="str">
        <f t="shared" si="7"/>
        <v>EN-1xx</v>
      </c>
    </row>
    <row r="11" spans="1:17" x14ac:dyDescent="0.25">
      <c r="A11" s="13" t="s">
        <v>682</v>
      </c>
      <c r="B11" s="14" t="s">
        <v>92</v>
      </c>
      <c r="C11" s="15" t="str">
        <f t="shared" si="0"/>
        <v>e</v>
      </c>
      <c r="D11" s="16"/>
      <c r="E11" s="15" t="str">
        <f t="shared" si="1"/>
        <v/>
      </c>
      <c r="F11" s="14" t="s">
        <v>544</v>
      </c>
      <c r="G11" s="15" t="str">
        <f t="shared" si="2"/>
        <v>EN</v>
      </c>
      <c r="H11" s="14" t="s">
        <v>527</v>
      </c>
      <c r="I11" s="15" t="str">
        <f t="shared" si="3"/>
        <v>BC</v>
      </c>
      <c r="J11" s="14" t="s">
        <v>552</v>
      </c>
      <c r="K11" s="15" t="str">
        <f t="shared" si="4"/>
        <v>SM</v>
      </c>
      <c r="L11" s="17"/>
      <c r="M11" s="17"/>
      <c r="N11" s="17"/>
      <c r="O11" s="15" t="str">
        <f t="shared" si="5"/>
        <v>EN.BC.SM</v>
      </c>
      <c r="P11" s="18" t="str">
        <f t="shared" si="6"/>
        <v>e_EN.BC.SM</v>
      </c>
      <c r="Q11" s="19" t="str">
        <f t="shared" si="7"/>
        <v>EN-2xx</v>
      </c>
    </row>
    <row r="12" spans="1:17" x14ac:dyDescent="0.25">
      <c r="A12" s="13" t="s">
        <v>685</v>
      </c>
      <c r="B12" s="14" t="s">
        <v>92</v>
      </c>
      <c r="C12" s="15" t="str">
        <f t="shared" si="0"/>
        <v>e</v>
      </c>
      <c r="D12" s="16"/>
      <c r="E12" s="15" t="str">
        <f t="shared" si="1"/>
        <v/>
      </c>
      <c r="F12" s="14" t="s">
        <v>544</v>
      </c>
      <c r="G12" s="15" t="str">
        <f t="shared" si="2"/>
        <v>EN</v>
      </c>
      <c r="H12" s="14" t="s">
        <v>560</v>
      </c>
      <c r="I12" s="15" t="str">
        <f t="shared" si="3"/>
        <v>OB</v>
      </c>
      <c r="J12" s="14" t="s">
        <v>555</v>
      </c>
      <c r="K12" s="15" t="str">
        <f t="shared" si="4"/>
        <v>CO</v>
      </c>
      <c r="L12" s="17"/>
      <c r="M12" s="17"/>
      <c r="N12" s="17"/>
      <c r="O12" s="15" t="str">
        <f t="shared" si="5"/>
        <v>EN.OB.CO</v>
      </c>
      <c r="P12" s="18" t="str">
        <f t="shared" si="6"/>
        <v>e_EN.OB.CO</v>
      </c>
      <c r="Q12" s="19" t="str">
        <f t="shared" si="7"/>
        <v>EN-3xx</v>
      </c>
    </row>
    <row r="13" spans="1:17" x14ac:dyDescent="0.25">
      <c r="A13" s="13" t="s">
        <v>687</v>
      </c>
      <c r="B13" s="14" t="s">
        <v>92</v>
      </c>
      <c r="C13" s="15" t="str">
        <f t="shared" si="0"/>
        <v>e</v>
      </c>
      <c r="D13" s="16"/>
      <c r="E13" s="15" t="str">
        <f t="shared" si="1"/>
        <v/>
      </c>
      <c r="F13" s="14" t="s">
        <v>544</v>
      </c>
      <c r="G13" s="15" t="str">
        <f t="shared" si="2"/>
        <v>EN</v>
      </c>
      <c r="H13" s="14" t="s">
        <v>557</v>
      </c>
      <c r="I13" s="15" t="str">
        <f t="shared" si="3"/>
        <v>AN</v>
      </c>
      <c r="J13" s="14" t="s">
        <v>555</v>
      </c>
      <c r="K13" s="15" t="str">
        <f t="shared" si="4"/>
        <v>CO</v>
      </c>
      <c r="L13" s="17"/>
      <c r="M13" s="17"/>
      <c r="N13" s="17"/>
      <c r="O13" s="15" t="str">
        <f t="shared" si="5"/>
        <v>EN.AN.CO</v>
      </c>
      <c r="P13" s="18" t="str">
        <f t="shared" si="6"/>
        <v>e_EN.AN.CO</v>
      </c>
      <c r="Q13" s="19" t="str">
        <f t="shared" si="7"/>
        <v>EN-3xx</v>
      </c>
    </row>
    <row r="14" spans="1:17" x14ac:dyDescent="0.25">
      <c r="A14" s="13" t="s">
        <v>689</v>
      </c>
      <c r="B14" s="14" t="s">
        <v>92</v>
      </c>
      <c r="C14" s="15" t="str">
        <f t="shared" si="0"/>
        <v>e</v>
      </c>
      <c r="D14" s="16" t="s">
        <v>97</v>
      </c>
      <c r="E14" s="15" t="str">
        <f t="shared" si="1"/>
        <v>(I)</v>
      </c>
      <c r="F14" s="14" t="s">
        <v>544</v>
      </c>
      <c r="G14" s="15" t="str">
        <f t="shared" si="2"/>
        <v>EN</v>
      </c>
      <c r="H14" s="14" t="s">
        <v>546</v>
      </c>
      <c r="I14" s="15" t="str">
        <f t="shared" si="3"/>
        <v>PE</v>
      </c>
      <c r="J14" s="14" t="s">
        <v>555</v>
      </c>
      <c r="K14" s="15" t="str">
        <f t="shared" si="4"/>
        <v>CO</v>
      </c>
      <c r="L14" s="17"/>
      <c r="M14" s="17"/>
      <c r="N14" s="17"/>
      <c r="O14" s="15" t="str">
        <f t="shared" si="5"/>
        <v>EN.PE.CO</v>
      </c>
      <c r="P14" s="18" t="str">
        <f t="shared" si="6"/>
        <v>e_(I)EN.PE.CO</v>
      </c>
      <c r="Q14" s="19" t="str">
        <f t="shared" si="7"/>
        <v>EN-3xx</v>
      </c>
    </row>
    <row r="15" spans="1:17" x14ac:dyDescent="0.25">
      <c r="A15" s="21">
        <v>1</v>
      </c>
      <c r="B15" s="22"/>
      <c r="C15" s="23" t="str">
        <f t="shared" si="0"/>
        <v/>
      </c>
      <c r="D15" s="24"/>
      <c r="E15" s="23" t="str">
        <f t="shared" si="1"/>
        <v/>
      </c>
      <c r="F15" s="22"/>
      <c r="G15" s="23" t="str">
        <f t="shared" si="2"/>
        <v/>
      </c>
      <c r="H15" s="22"/>
      <c r="I15" s="23" t="str">
        <f t="shared" si="3"/>
        <v/>
      </c>
      <c r="J15" s="22"/>
      <c r="K15" s="23" t="str">
        <f t="shared" si="4"/>
        <v/>
      </c>
      <c r="L15" s="25"/>
      <c r="M15" s="25"/>
      <c r="N15" s="25"/>
      <c r="O15" s="23" t="str">
        <f t="shared" si="5"/>
        <v/>
      </c>
      <c r="P15" s="26" t="str">
        <f t="shared" si="6"/>
        <v/>
      </c>
      <c r="Q15" s="27" t="str">
        <f t="shared" si="7"/>
        <v/>
      </c>
    </row>
    <row r="16" spans="1:17" x14ac:dyDescent="0.25">
      <c r="A16" s="21">
        <v>2</v>
      </c>
      <c r="B16" s="22"/>
      <c r="C16" s="23" t="str">
        <f t="shared" si="0"/>
        <v/>
      </c>
      <c r="D16" s="24"/>
      <c r="E16" s="23" t="str">
        <f t="shared" si="1"/>
        <v/>
      </c>
      <c r="F16" s="22"/>
      <c r="G16" s="23" t="str">
        <f t="shared" si="2"/>
        <v/>
      </c>
      <c r="H16" s="22"/>
      <c r="I16" s="23" t="str">
        <f t="shared" si="3"/>
        <v/>
      </c>
      <c r="J16" s="22"/>
      <c r="K16" s="23" t="str">
        <f t="shared" si="4"/>
        <v/>
      </c>
      <c r="L16" s="25"/>
      <c r="M16" s="25"/>
      <c r="N16" s="25"/>
      <c r="O16" s="23" t="str">
        <f t="shared" si="5"/>
        <v/>
      </c>
      <c r="P16" s="26" t="str">
        <f t="shared" si="6"/>
        <v/>
      </c>
      <c r="Q16" s="27" t="str">
        <f t="shared" si="7"/>
        <v/>
      </c>
    </row>
    <row r="17" spans="1:17" x14ac:dyDescent="0.25">
      <c r="A17" s="21">
        <v>3</v>
      </c>
      <c r="B17" s="22"/>
      <c r="C17" s="23" t="str">
        <f t="shared" si="0"/>
        <v/>
      </c>
      <c r="D17" s="24"/>
      <c r="E17" s="23" t="str">
        <f t="shared" si="1"/>
        <v/>
      </c>
      <c r="F17" s="22"/>
      <c r="G17" s="23" t="str">
        <f t="shared" si="2"/>
        <v/>
      </c>
      <c r="H17" s="22"/>
      <c r="I17" s="23" t="str">
        <f t="shared" si="3"/>
        <v/>
      </c>
      <c r="J17" s="22"/>
      <c r="K17" s="23" t="str">
        <f t="shared" si="4"/>
        <v/>
      </c>
      <c r="L17" s="25"/>
      <c r="M17" s="25"/>
      <c r="N17" s="25"/>
      <c r="O17" s="23" t="str">
        <f t="shared" si="5"/>
        <v/>
      </c>
      <c r="P17" s="26" t="str">
        <f t="shared" si="6"/>
        <v/>
      </c>
      <c r="Q17" s="27" t="str">
        <f t="shared" si="7"/>
        <v/>
      </c>
    </row>
    <row r="18" spans="1:17" x14ac:dyDescent="0.25">
      <c r="A18" s="21">
        <v>4</v>
      </c>
      <c r="B18" s="22"/>
      <c r="C18" s="23" t="str">
        <f t="shared" si="0"/>
        <v/>
      </c>
      <c r="D18" s="24"/>
      <c r="E18" s="23" t="str">
        <f t="shared" si="1"/>
        <v/>
      </c>
      <c r="F18" s="22"/>
      <c r="G18" s="23" t="str">
        <f t="shared" si="2"/>
        <v/>
      </c>
      <c r="H18" s="22"/>
      <c r="I18" s="23" t="str">
        <f t="shared" si="3"/>
        <v/>
      </c>
      <c r="J18" s="22"/>
      <c r="K18" s="23" t="str">
        <f t="shared" si="4"/>
        <v/>
      </c>
      <c r="L18" s="25"/>
      <c r="M18" s="25"/>
      <c r="N18" s="25"/>
      <c r="O18" s="23" t="str">
        <f t="shared" si="5"/>
        <v/>
      </c>
      <c r="P18" s="26" t="str">
        <f t="shared" si="6"/>
        <v/>
      </c>
      <c r="Q18" s="27" t="str">
        <f t="shared" si="7"/>
        <v/>
      </c>
    </row>
    <row r="19" spans="1:17" x14ac:dyDescent="0.25">
      <c r="A19" s="21">
        <v>5</v>
      </c>
      <c r="B19" s="22"/>
      <c r="C19" s="23" t="str">
        <f t="shared" si="0"/>
        <v/>
      </c>
      <c r="D19" s="24"/>
      <c r="E19" s="23" t="str">
        <f t="shared" si="1"/>
        <v/>
      </c>
      <c r="F19" s="22"/>
      <c r="G19" s="23" t="str">
        <f t="shared" si="2"/>
        <v/>
      </c>
      <c r="H19" s="22"/>
      <c r="I19" s="23" t="str">
        <f t="shared" si="3"/>
        <v/>
      </c>
      <c r="J19" s="22"/>
      <c r="K19" s="23" t="str">
        <f t="shared" si="4"/>
        <v/>
      </c>
      <c r="L19" s="25"/>
      <c r="M19" s="25"/>
      <c r="N19" s="25"/>
      <c r="O19" s="23" t="str">
        <f t="shared" si="5"/>
        <v/>
      </c>
      <c r="P19" s="26" t="str">
        <f t="shared" si="6"/>
        <v/>
      </c>
      <c r="Q19" s="27" t="str">
        <f t="shared" si="7"/>
        <v/>
      </c>
    </row>
    <row r="20" spans="1:17" x14ac:dyDescent="0.25">
      <c r="A20" s="21">
        <v>6</v>
      </c>
      <c r="B20" s="22"/>
      <c r="C20" s="23" t="str">
        <f t="shared" si="0"/>
        <v/>
      </c>
      <c r="D20" s="24"/>
      <c r="E20" s="23" t="str">
        <f t="shared" si="1"/>
        <v/>
      </c>
      <c r="F20" s="22"/>
      <c r="G20" s="23" t="str">
        <f t="shared" si="2"/>
        <v/>
      </c>
      <c r="H20" s="22"/>
      <c r="I20" s="23" t="str">
        <f t="shared" si="3"/>
        <v/>
      </c>
      <c r="J20" s="22"/>
      <c r="K20" s="23" t="str">
        <f t="shared" si="4"/>
        <v/>
      </c>
      <c r="L20" s="25"/>
      <c r="M20" s="25"/>
      <c r="N20" s="25"/>
      <c r="O20" s="23" t="str">
        <f t="shared" si="5"/>
        <v/>
      </c>
      <c r="P20" s="26" t="str">
        <f t="shared" si="6"/>
        <v/>
      </c>
      <c r="Q20" s="27" t="str">
        <f t="shared" si="7"/>
        <v/>
      </c>
    </row>
    <row r="21" spans="1:17" x14ac:dyDescent="0.25">
      <c r="A21" s="21">
        <v>7</v>
      </c>
      <c r="B21" s="22"/>
      <c r="C21" s="23" t="str">
        <f t="shared" si="0"/>
        <v/>
      </c>
      <c r="D21" s="24"/>
      <c r="E21" s="23" t="str">
        <f t="shared" si="1"/>
        <v/>
      </c>
      <c r="F21" s="22"/>
      <c r="G21" s="23" t="str">
        <f t="shared" si="2"/>
        <v/>
      </c>
      <c r="H21" s="22"/>
      <c r="I21" s="23" t="str">
        <f t="shared" si="3"/>
        <v/>
      </c>
      <c r="J21" s="22"/>
      <c r="K21" s="23" t="str">
        <f t="shared" si="4"/>
        <v/>
      </c>
      <c r="L21" s="25"/>
      <c r="M21" s="25"/>
      <c r="N21" s="25"/>
      <c r="O21" s="23" t="str">
        <f t="shared" si="5"/>
        <v/>
      </c>
      <c r="P21" s="26" t="str">
        <f t="shared" si="6"/>
        <v/>
      </c>
      <c r="Q21" s="27" t="str">
        <f t="shared" si="7"/>
        <v/>
      </c>
    </row>
    <row r="22" spans="1:17" x14ac:dyDescent="0.25">
      <c r="A22" s="21">
        <v>8</v>
      </c>
      <c r="B22" s="22"/>
      <c r="C22" s="23" t="str">
        <f t="shared" si="0"/>
        <v/>
      </c>
      <c r="D22" s="24"/>
      <c r="E22" s="23" t="str">
        <f t="shared" si="1"/>
        <v/>
      </c>
      <c r="F22" s="22"/>
      <c r="G22" s="23" t="str">
        <f t="shared" si="2"/>
        <v/>
      </c>
      <c r="H22" s="22"/>
      <c r="I22" s="23" t="str">
        <f t="shared" si="3"/>
        <v/>
      </c>
      <c r="J22" s="22"/>
      <c r="K22" s="23" t="str">
        <f t="shared" si="4"/>
        <v/>
      </c>
      <c r="L22" s="25"/>
      <c r="M22" s="25"/>
      <c r="N22" s="25"/>
      <c r="O22" s="23" t="str">
        <f t="shared" si="5"/>
        <v/>
      </c>
      <c r="P22" s="26" t="str">
        <f t="shared" si="6"/>
        <v/>
      </c>
      <c r="Q22" s="27" t="str">
        <f t="shared" si="7"/>
        <v/>
      </c>
    </row>
    <row r="23" spans="1:17" x14ac:dyDescent="0.25">
      <c r="A23" s="21">
        <v>9</v>
      </c>
      <c r="B23" s="22"/>
      <c r="C23" s="23" t="str">
        <f t="shared" si="0"/>
        <v/>
      </c>
      <c r="D23" s="24"/>
      <c r="E23" s="23" t="str">
        <f t="shared" si="1"/>
        <v/>
      </c>
      <c r="F23" s="22"/>
      <c r="G23" s="23" t="str">
        <f t="shared" si="2"/>
        <v/>
      </c>
      <c r="H23" s="22"/>
      <c r="I23" s="23" t="str">
        <f t="shared" si="3"/>
        <v/>
      </c>
      <c r="J23" s="22"/>
      <c r="K23" s="23" t="str">
        <f t="shared" si="4"/>
        <v/>
      </c>
      <c r="L23" s="25"/>
      <c r="M23" s="25"/>
      <c r="N23" s="25"/>
      <c r="O23" s="23" t="str">
        <f t="shared" si="5"/>
        <v/>
      </c>
      <c r="P23" s="26" t="str">
        <f t="shared" si="6"/>
        <v/>
      </c>
      <c r="Q23" s="27" t="str">
        <f t="shared" si="7"/>
        <v/>
      </c>
    </row>
    <row r="24" spans="1:17" x14ac:dyDescent="0.25">
      <c r="A24" s="21">
        <v>10</v>
      </c>
      <c r="B24" s="22"/>
      <c r="C24" s="23" t="str">
        <f t="shared" si="0"/>
        <v/>
      </c>
      <c r="D24" s="24"/>
      <c r="E24" s="23" t="str">
        <f t="shared" si="1"/>
        <v/>
      </c>
      <c r="F24" s="22"/>
      <c r="G24" s="23" t="str">
        <f t="shared" si="2"/>
        <v/>
      </c>
      <c r="H24" s="22"/>
      <c r="I24" s="23" t="str">
        <f t="shared" si="3"/>
        <v/>
      </c>
      <c r="J24" s="22"/>
      <c r="K24" s="23" t="str">
        <f t="shared" si="4"/>
        <v/>
      </c>
      <c r="L24" s="25"/>
      <c r="M24" s="25"/>
      <c r="N24" s="25"/>
      <c r="O24" s="23" t="str">
        <f t="shared" si="5"/>
        <v/>
      </c>
      <c r="P24" s="26" t="str">
        <f t="shared" si="6"/>
        <v/>
      </c>
      <c r="Q24" s="27" t="str">
        <f t="shared" si="7"/>
        <v/>
      </c>
    </row>
    <row r="25" spans="1:17" x14ac:dyDescent="0.25">
      <c r="A25" s="21">
        <v>11</v>
      </c>
      <c r="B25" s="22"/>
      <c r="C25" s="23" t="str">
        <f t="shared" si="0"/>
        <v/>
      </c>
      <c r="D25" s="24"/>
      <c r="E25" s="23" t="str">
        <f t="shared" si="1"/>
        <v/>
      </c>
      <c r="F25" s="22"/>
      <c r="G25" s="23" t="str">
        <f t="shared" si="2"/>
        <v/>
      </c>
      <c r="H25" s="22"/>
      <c r="I25" s="23" t="str">
        <f t="shared" si="3"/>
        <v/>
      </c>
      <c r="J25" s="22"/>
      <c r="K25" s="23" t="str">
        <f t="shared" si="4"/>
        <v/>
      </c>
      <c r="L25" s="25"/>
      <c r="M25" s="25"/>
      <c r="N25" s="25"/>
      <c r="O25" s="23" t="str">
        <f t="shared" si="5"/>
        <v/>
      </c>
      <c r="P25" s="26" t="str">
        <f t="shared" si="6"/>
        <v/>
      </c>
      <c r="Q25" s="27" t="str">
        <f t="shared" si="7"/>
        <v/>
      </c>
    </row>
    <row r="26" spans="1:17" x14ac:dyDescent="0.25">
      <c r="A26" s="21">
        <v>12</v>
      </c>
      <c r="B26" s="22"/>
      <c r="C26" s="23" t="str">
        <f t="shared" si="0"/>
        <v/>
      </c>
      <c r="D26" s="24"/>
      <c r="E26" s="23" t="str">
        <f t="shared" si="1"/>
        <v/>
      </c>
      <c r="F26" s="22"/>
      <c r="G26" s="23" t="str">
        <f t="shared" si="2"/>
        <v/>
      </c>
      <c r="H26" s="22"/>
      <c r="I26" s="23" t="str">
        <f t="shared" si="3"/>
        <v/>
      </c>
      <c r="J26" s="22"/>
      <c r="K26" s="23" t="str">
        <f t="shared" si="4"/>
        <v/>
      </c>
      <c r="L26" s="25"/>
      <c r="M26" s="25"/>
      <c r="N26" s="25"/>
      <c r="O26" s="23" t="str">
        <f t="shared" si="5"/>
        <v/>
      </c>
      <c r="P26" s="26" t="str">
        <f t="shared" si="6"/>
        <v/>
      </c>
      <c r="Q26" s="27" t="str">
        <f t="shared" si="7"/>
        <v/>
      </c>
    </row>
    <row r="27" spans="1:17" x14ac:dyDescent="0.25">
      <c r="A27" s="21">
        <v>13</v>
      </c>
      <c r="B27" s="22"/>
      <c r="C27" s="23" t="str">
        <f t="shared" si="0"/>
        <v/>
      </c>
      <c r="D27" s="24"/>
      <c r="E27" s="23" t="str">
        <f t="shared" si="1"/>
        <v/>
      </c>
      <c r="F27" s="22"/>
      <c r="G27" s="23" t="str">
        <f t="shared" si="2"/>
        <v/>
      </c>
      <c r="H27" s="22"/>
      <c r="I27" s="23" t="str">
        <f t="shared" si="3"/>
        <v/>
      </c>
      <c r="J27" s="22"/>
      <c r="K27" s="23" t="str">
        <f t="shared" si="4"/>
        <v/>
      </c>
      <c r="L27" s="25"/>
      <c r="M27" s="25"/>
      <c r="N27" s="25"/>
      <c r="O27" s="23" t="str">
        <f t="shared" si="5"/>
        <v/>
      </c>
      <c r="P27" s="26" t="str">
        <f t="shared" si="6"/>
        <v/>
      </c>
      <c r="Q27" s="27" t="str">
        <f t="shared" si="7"/>
        <v/>
      </c>
    </row>
    <row r="28" spans="1:17" x14ac:dyDescent="0.25">
      <c r="A28" s="21">
        <v>14</v>
      </c>
      <c r="B28" s="22"/>
      <c r="C28" s="23" t="str">
        <f t="shared" si="0"/>
        <v/>
      </c>
      <c r="D28" s="24"/>
      <c r="E28" s="23" t="str">
        <f t="shared" si="1"/>
        <v/>
      </c>
      <c r="F28" s="22"/>
      <c r="G28" s="23" t="str">
        <f t="shared" si="2"/>
        <v/>
      </c>
      <c r="H28" s="22"/>
      <c r="I28" s="23" t="str">
        <f t="shared" si="3"/>
        <v/>
      </c>
      <c r="J28" s="22"/>
      <c r="K28" s="23" t="str">
        <f t="shared" si="4"/>
        <v/>
      </c>
      <c r="L28" s="25"/>
      <c r="M28" s="25"/>
      <c r="N28" s="25"/>
      <c r="O28" s="23" t="str">
        <f t="shared" si="5"/>
        <v/>
      </c>
      <c r="P28" s="26" t="str">
        <f t="shared" si="6"/>
        <v/>
      </c>
      <c r="Q28" s="27" t="str">
        <f t="shared" si="7"/>
        <v/>
      </c>
    </row>
    <row r="29" spans="1:17" x14ac:dyDescent="0.25">
      <c r="A29" s="21">
        <v>15</v>
      </c>
      <c r="B29" s="22"/>
      <c r="C29" s="23" t="str">
        <f t="shared" si="0"/>
        <v/>
      </c>
      <c r="D29" s="24"/>
      <c r="E29" s="23" t="str">
        <f t="shared" si="1"/>
        <v/>
      </c>
      <c r="F29" s="22"/>
      <c r="G29" s="23" t="str">
        <f t="shared" si="2"/>
        <v/>
      </c>
      <c r="H29" s="22"/>
      <c r="I29" s="23" t="str">
        <f t="shared" si="3"/>
        <v/>
      </c>
      <c r="J29" s="22"/>
      <c r="K29" s="23" t="str">
        <f t="shared" si="4"/>
        <v/>
      </c>
      <c r="L29" s="25"/>
      <c r="M29" s="25"/>
      <c r="N29" s="25"/>
      <c r="O29" s="23" t="str">
        <f t="shared" si="5"/>
        <v/>
      </c>
      <c r="P29" s="26" t="str">
        <f t="shared" si="6"/>
        <v/>
      </c>
      <c r="Q29" s="27" t="str">
        <f t="shared" si="7"/>
        <v/>
      </c>
    </row>
    <row r="32" spans="1:17" ht="21.95" customHeight="1" x14ac:dyDescent="0.25">
      <c r="A32" s="41" t="s">
        <v>700</v>
      </c>
      <c r="B32" s="42"/>
      <c r="C32" s="42"/>
      <c r="D32" s="42"/>
      <c r="E32" s="42"/>
      <c r="F32" s="42"/>
      <c r="G32" s="42"/>
      <c r="H32" s="42"/>
      <c r="I32" s="42"/>
      <c r="J32" s="42"/>
      <c r="K32" s="42"/>
      <c r="L32" s="42"/>
      <c r="M32" s="42"/>
      <c r="N32" s="42"/>
      <c r="O32" s="42"/>
      <c r="P32" s="42"/>
      <c r="Q32" s="42"/>
    </row>
    <row r="34" spans="1:17" ht="24" customHeight="1" x14ac:dyDescent="0.25">
      <c r="A34" s="44" t="s">
        <v>863</v>
      </c>
      <c r="B34" s="33"/>
      <c r="C34" s="33"/>
      <c r="D34" s="33"/>
      <c r="E34" s="33"/>
      <c r="F34" s="33"/>
      <c r="G34" s="33"/>
      <c r="H34" s="33"/>
      <c r="I34" s="33"/>
      <c r="J34" s="33"/>
      <c r="K34" s="33"/>
      <c r="L34" s="33"/>
      <c r="M34" s="33"/>
      <c r="N34" s="33"/>
      <c r="O34" s="33"/>
      <c r="P34" s="33"/>
      <c r="Q34" s="33"/>
    </row>
    <row r="35" spans="1:17" ht="51" customHeight="1" x14ac:dyDescent="0.25">
      <c r="A35" s="40" t="s">
        <v>702</v>
      </c>
      <c r="B35" s="33"/>
      <c r="C35" s="33"/>
      <c r="D35" s="33"/>
      <c r="E35" s="33"/>
      <c r="F35" s="33"/>
      <c r="G35" s="33"/>
      <c r="H35" s="33"/>
      <c r="I35" s="33"/>
      <c r="J35" s="33"/>
      <c r="K35" s="33"/>
      <c r="L35" s="33"/>
      <c r="M35" s="33"/>
      <c r="N35" s="33"/>
      <c r="O35" s="33"/>
      <c r="P35" s="33"/>
      <c r="Q35" s="33"/>
    </row>
    <row r="37" spans="1:17" ht="18" customHeight="1" x14ac:dyDescent="0.25">
      <c r="A37" s="43" t="s">
        <v>703</v>
      </c>
      <c r="B37" s="33"/>
      <c r="C37" s="33"/>
      <c r="D37" s="33"/>
      <c r="E37" s="33"/>
      <c r="F37" s="33"/>
      <c r="G37" s="33"/>
      <c r="H37" s="33"/>
      <c r="I37" s="33"/>
      <c r="J37" s="33"/>
      <c r="K37" s="33"/>
      <c r="L37" s="33"/>
      <c r="M37" s="33"/>
      <c r="N37" s="33"/>
      <c r="O37" s="33"/>
      <c r="P37" s="33"/>
      <c r="Q37" s="33"/>
    </row>
    <row r="38" spans="1:17" ht="21" customHeight="1" x14ac:dyDescent="0.25">
      <c r="A38" s="40" t="s">
        <v>864</v>
      </c>
      <c r="B38" s="33"/>
      <c r="C38" s="33"/>
      <c r="D38" s="33"/>
      <c r="E38" s="33"/>
      <c r="F38" s="33"/>
      <c r="G38" s="33"/>
      <c r="H38" s="33"/>
      <c r="I38" s="33"/>
      <c r="J38" s="33"/>
      <c r="K38" s="33"/>
      <c r="L38" s="33"/>
      <c r="M38" s="33"/>
      <c r="N38" s="33"/>
      <c r="O38" s="33"/>
      <c r="P38" s="33"/>
      <c r="Q38" s="33"/>
    </row>
    <row r="41" spans="1:17" ht="21.95" customHeight="1" x14ac:dyDescent="0.25">
      <c r="A41" s="41" t="s">
        <v>865</v>
      </c>
      <c r="B41" s="42"/>
      <c r="C41" s="42"/>
      <c r="D41" s="42"/>
      <c r="E41" s="42"/>
      <c r="F41" s="42"/>
      <c r="G41" s="42"/>
      <c r="H41" s="42"/>
      <c r="I41" s="42"/>
      <c r="J41" s="42"/>
      <c r="K41" s="42"/>
      <c r="L41" s="42"/>
      <c r="M41" s="42"/>
      <c r="N41" s="42"/>
      <c r="O41" s="42"/>
      <c r="P41" s="42"/>
      <c r="Q41" s="42"/>
    </row>
    <row r="42" spans="1:17" ht="15.95" customHeight="1" x14ac:dyDescent="0.25">
      <c r="A42" s="39" t="s">
        <v>706</v>
      </c>
      <c r="B42" s="33"/>
      <c r="C42" s="33"/>
      <c r="D42" s="33"/>
      <c r="E42" s="33"/>
      <c r="F42" s="33"/>
      <c r="G42" s="33"/>
      <c r="H42" s="33"/>
      <c r="I42" s="33"/>
      <c r="J42" s="33"/>
      <c r="K42" s="33"/>
      <c r="L42" s="33"/>
      <c r="M42" s="33"/>
      <c r="N42" s="33"/>
      <c r="O42" s="33"/>
      <c r="P42" s="33"/>
      <c r="Q42" s="33"/>
    </row>
    <row r="44" spans="1:17" ht="18" customHeight="1" x14ac:dyDescent="0.25">
      <c r="A44" s="43" t="s">
        <v>866</v>
      </c>
      <c r="B44" s="33"/>
      <c r="C44" s="33"/>
      <c r="D44" s="33"/>
      <c r="E44" s="33"/>
      <c r="F44" s="33"/>
      <c r="G44" s="33"/>
      <c r="H44" s="33"/>
      <c r="I44" s="33"/>
      <c r="J44" s="33"/>
      <c r="K44" s="33"/>
      <c r="L44" s="33"/>
      <c r="M44" s="33"/>
      <c r="N44" s="33"/>
      <c r="O44" s="33"/>
      <c r="P44" s="33"/>
      <c r="Q44" s="33"/>
    </row>
    <row r="45" spans="1:17" ht="21" customHeight="1" x14ac:dyDescent="0.25">
      <c r="A45" s="40" t="s">
        <v>867</v>
      </c>
      <c r="B45" s="33"/>
      <c r="C45" s="33"/>
      <c r="D45" s="33"/>
      <c r="E45" s="33"/>
      <c r="F45" s="33"/>
      <c r="G45" s="33"/>
      <c r="H45" s="33"/>
      <c r="I45" s="33"/>
      <c r="J45" s="33"/>
      <c r="K45" s="33"/>
      <c r="L45" s="33"/>
      <c r="M45" s="33"/>
      <c r="N45" s="33"/>
      <c r="O45" s="33"/>
      <c r="P45" s="33"/>
      <c r="Q45" s="33"/>
    </row>
    <row r="46" spans="1:17" ht="6" customHeight="1" x14ac:dyDescent="0.25"/>
    <row r="47" spans="1:17" ht="18" customHeight="1" x14ac:dyDescent="0.25">
      <c r="A47" s="43" t="s">
        <v>711</v>
      </c>
      <c r="B47" s="33"/>
      <c r="C47" s="33"/>
      <c r="D47" s="33"/>
      <c r="E47" s="33"/>
      <c r="F47" s="33"/>
      <c r="G47" s="33"/>
      <c r="H47" s="33"/>
      <c r="I47" s="33"/>
      <c r="J47" s="33"/>
      <c r="K47" s="33"/>
      <c r="L47" s="33"/>
      <c r="M47" s="33"/>
      <c r="N47" s="33"/>
      <c r="O47" s="33"/>
      <c r="P47" s="33"/>
      <c r="Q47" s="33"/>
    </row>
    <row r="48" spans="1:17" ht="51" customHeight="1" x14ac:dyDescent="0.25">
      <c r="A48" s="40" t="s">
        <v>712</v>
      </c>
      <c r="B48" s="33"/>
      <c r="C48" s="33"/>
      <c r="D48" s="33"/>
      <c r="E48" s="33"/>
      <c r="F48" s="33"/>
      <c r="G48" s="33"/>
      <c r="H48" s="33"/>
      <c r="I48" s="33"/>
      <c r="J48" s="33"/>
      <c r="K48" s="33"/>
      <c r="L48" s="33"/>
      <c r="M48" s="33"/>
      <c r="N48" s="33"/>
      <c r="O48" s="33"/>
      <c r="P48" s="33"/>
      <c r="Q48" s="33"/>
    </row>
    <row r="49" spans="1:17" ht="6" customHeight="1" x14ac:dyDescent="0.25"/>
    <row r="50" spans="1:17" ht="18" customHeight="1" x14ac:dyDescent="0.25">
      <c r="A50" s="43" t="s">
        <v>659</v>
      </c>
      <c r="B50" s="33"/>
      <c r="C50" s="33"/>
      <c r="D50" s="33"/>
      <c r="E50" s="33"/>
      <c r="F50" s="33"/>
      <c r="G50" s="33"/>
      <c r="H50" s="33"/>
      <c r="I50" s="33"/>
      <c r="J50" s="33"/>
      <c r="K50" s="33"/>
      <c r="L50" s="33"/>
      <c r="M50" s="33"/>
      <c r="N50" s="33"/>
      <c r="O50" s="33"/>
      <c r="P50" s="33"/>
      <c r="Q50" s="33"/>
    </row>
    <row r="51" spans="1:17" ht="36" customHeight="1" x14ac:dyDescent="0.25">
      <c r="A51" s="40" t="s">
        <v>713</v>
      </c>
      <c r="B51" s="33"/>
      <c r="C51" s="33"/>
      <c r="D51" s="33"/>
      <c r="E51" s="33"/>
      <c r="F51" s="33"/>
      <c r="G51" s="33"/>
      <c r="H51" s="33"/>
      <c r="I51" s="33"/>
      <c r="J51" s="33"/>
      <c r="K51" s="33"/>
      <c r="L51" s="33"/>
      <c r="M51" s="33"/>
      <c r="N51" s="33"/>
      <c r="O51" s="33"/>
      <c r="P51" s="33"/>
      <c r="Q51" s="33"/>
    </row>
    <row r="52" spans="1:17" ht="6" customHeight="1" x14ac:dyDescent="0.25"/>
    <row r="53" spans="1:17" ht="18" customHeight="1" x14ac:dyDescent="0.25">
      <c r="A53" s="43" t="s">
        <v>62</v>
      </c>
      <c r="B53" s="33"/>
      <c r="C53" s="33"/>
      <c r="D53" s="33"/>
      <c r="E53" s="33"/>
      <c r="F53" s="33"/>
      <c r="G53" s="33"/>
      <c r="H53" s="33"/>
      <c r="I53" s="33"/>
      <c r="J53" s="33"/>
      <c r="K53" s="33"/>
      <c r="L53" s="33"/>
      <c r="M53" s="33"/>
      <c r="N53" s="33"/>
      <c r="O53" s="33"/>
      <c r="P53" s="33"/>
      <c r="Q53" s="33"/>
    </row>
    <row r="54" spans="1:17" ht="36" customHeight="1" x14ac:dyDescent="0.25">
      <c r="A54" s="40" t="s">
        <v>714</v>
      </c>
      <c r="B54" s="33"/>
      <c r="C54" s="33"/>
      <c r="D54" s="33"/>
      <c r="E54" s="33"/>
      <c r="F54" s="33"/>
      <c r="G54" s="33"/>
      <c r="H54" s="33"/>
      <c r="I54" s="33"/>
      <c r="J54" s="33"/>
      <c r="K54" s="33"/>
      <c r="L54" s="33"/>
      <c r="M54" s="33"/>
      <c r="N54" s="33"/>
      <c r="O54" s="33"/>
      <c r="P54" s="33"/>
      <c r="Q54" s="33"/>
    </row>
    <row r="55" spans="1:17" ht="6" customHeight="1" x14ac:dyDescent="0.25"/>
    <row r="58" spans="1:17" ht="21.95" customHeight="1" x14ac:dyDescent="0.25">
      <c r="A58" s="41" t="s">
        <v>715</v>
      </c>
      <c r="B58" s="42"/>
      <c r="C58" s="42"/>
      <c r="D58" s="42"/>
      <c r="E58" s="42"/>
      <c r="F58" s="42"/>
      <c r="G58" s="42"/>
      <c r="H58" s="42"/>
      <c r="I58" s="42"/>
      <c r="J58" s="42"/>
      <c r="K58" s="42"/>
      <c r="L58" s="42"/>
      <c r="M58" s="42"/>
      <c r="N58" s="42"/>
      <c r="O58" s="42"/>
      <c r="P58" s="42"/>
      <c r="Q58" s="42"/>
    </row>
    <row r="60" spans="1:17" ht="18" customHeight="1" x14ac:dyDescent="0.25">
      <c r="A60" s="43" t="s">
        <v>85</v>
      </c>
      <c r="B60" s="33"/>
      <c r="C60" s="33"/>
      <c r="D60" s="33"/>
      <c r="E60" s="33"/>
      <c r="F60" s="33"/>
      <c r="G60" s="33"/>
      <c r="H60" s="33"/>
      <c r="I60" s="33"/>
      <c r="J60" s="33"/>
      <c r="K60" s="33"/>
      <c r="L60" s="33"/>
      <c r="M60" s="33"/>
      <c r="N60" s="33"/>
      <c r="O60" s="33"/>
      <c r="P60" s="33"/>
      <c r="Q60" s="33"/>
    </row>
    <row r="61" spans="1:17" ht="21" customHeight="1" x14ac:dyDescent="0.25">
      <c r="A61" s="40" t="s">
        <v>716</v>
      </c>
      <c r="B61" s="33"/>
      <c r="C61" s="33"/>
      <c r="D61" s="33"/>
      <c r="E61" s="33"/>
      <c r="F61" s="33"/>
      <c r="G61" s="33"/>
      <c r="H61" s="33"/>
      <c r="I61" s="33"/>
      <c r="J61" s="33"/>
      <c r="K61" s="33"/>
      <c r="L61" s="33"/>
      <c r="M61" s="33"/>
      <c r="N61" s="33"/>
      <c r="O61" s="33"/>
      <c r="P61" s="33"/>
      <c r="Q61" s="33"/>
    </row>
    <row r="62" spans="1:17" ht="6" customHeight="1" x14ac:dyDescent="0.25"/>
    <row r="63" spans="1:17" ht="18" customHeight="1" x14ac:dyDescent="0.25">
      <c r="A63" s="43" t="s">
        <v>97</v>
      </c>
      <c r="B63" s="33"/>
      <c r="C63" s="33"/>
      <c r="D63" s="33"/>
      <c r="E63" s="33"/>
      <c r="F63" s="33"/>
      <c r="G63" s="33"/>
      <c r="H63" s="33"/>
      <c r="I63" s="33"/>
      <c r="J63" s="33"/>
      <c r="K63" s="33"/>
      <c r="L63" s="33"/>
      <c r="M63" s="33"/>
      <c r="N63" s="33"/>
      <c r="O63" s="33"/>
      <c r="P63" s="33"/>
      <c r="Q63" s="33"/>
    </row>
    <row r="64" spans="1:17" ht="36" customHeight="1" x14ac:dyDescent="0.25">
      <c r="A64" s="40" t="s">
        <v>717</v>
      </c>
      <c r="B64" s="33"/>
      <c r="C64" s="33"/>
      <c r="D64" s="33"/>
      <c r="E64" s="33"/>
      <c r="F64" s="33"/>
      <c r="G64" s="33"/>
      <c r="H64" s="33"/>
      <c r="I64" s="33"/>
      <c r="J64" s="33"/>
      <c r="K64" s="33"/>
      <c r="L64" s="33"/>
      <c r="M64" s="33"/>
      <c r="N64" s="33"/>
      <c r="O64" s="33"/>
      <c r="P64" s="33"/>
      <c r="Q64" s="33"/>
    </row>
    <row r="65" spans="1:17" ht="6" customHeight="1" x14ac:dyDescent="0.25"/>
    <row r="66" spans="1:17" ht="18" customHeight="1" x14ac:dyDescent="0.25">
      <c r="A66" s="43" t="s">
        <v>657</v>
      </c>
      <c r="B66" s="33"/>
      <c r="C66" s="33"/>
      <c r="D66" s="33"/>
      <c r="E66" s="33"/>
      <c r="F66" s="33"/>
      <c r="G66" s="33"/>
      <c r="H66" s="33"/>
      <c r="I66" s="33"/>
      <c r="J66" s="33"/>
      <c r="K66" s="33"/>
      <c r="L66" s="33"/>
      <c r="M66" s="33"/>
      <c r="N66" s="33"/>
      <c r="O66" s="33"/>
      <c r="P66" s="33"/>
      <c r="Q66" s="33"/>
    </row>
    <row r="67" spans="1:17" ht="21" customHeight="1" x14ac:dyDescent="0.25">
      <c r="A67" s="40" t="s">
        <v>718</v>
      </c>
      <c r="B67" s="33"/>
      <c r="C67" s="33"/>
      <c r="D67" s="33"/>
      <c r="E67" s="33"/>
      <c r="F67" s="33"/>
      <c r="G67" s="33"/>
      <c r="H67" s="33"/>
      <c r="I67" s="33"/>
      <c r="J67" s="33"/>
      <c r="K67" s="33"/>
      <c r="L67" s="33"/>
      <c r="M67" s="33"/>
      <c r="N67" s="33"/>
      <c r="O67" s="33"/>
      <c r="P67" s="33"/>
      <c r="Q67" s="33"/>
    </row>
    <row r="68" spans="1:17" ht="6" customHeight="1" x14ac:dyDescent="0.25"/>
    <row r="69" spans="1:17" ht="18" customHeight="1" x14ac:dyDescent="0.25">
      <c r="A69" s="43" t="s">
        <v>659</v>
      </c>
      <c r="B69" s="33"/>
      <c r="C69" s="33"/>
      <c r="D69" s="33"/>
      <c r="E69" s="33"/>
      <c r="F69" s="33"/>
      <c r="G69" s="33"/>
      <c r="H69" s="33"/>
      <c r="I69" s="33"/>
      <c r="J69" s="33"/>
      <c r="K69" s="33"/>
      <c r="L69" s="33"/>
      <c r="M69" s="33"/>
      <c r="N69" s="33"/>
      <c r="O69" s="33"/>
      <c r="P69" s="33"/>
      <c r="Q69" s="33"/>
    </row>
    <row r="70" spans="1:17" ht="36" customHeight="1" x14ac:dyDescent="0.25">
      <c r="A70" s="40" t="s">
        <v>868</v>
      </c>
      <c r="B70" s="33"/>
      <c r="C70" s="33"/>
      <c r="D70" s="33"/>
      <c r="E70" s="33"/>
      <c r="F70" s="33"/>
      <c r="G70" s="33"/>
      <c r="H70" s="33"/>
      <c r="I70" s="33"/>
      <c r="J70" s="33"/>
      <c r="K70" s="33"/>
      <c r="L70" s="33"/>
      <c r="M70" s="33"/>
      <c r="N70" s="33"/>
      <c r="O70" s="33"/>
      <c r="P70" s="33"/>
      <c r="Q70" s="33"/>
    </row>
    <row r="71" spans="1:17" ht="6" customHeight="1" x14ac:dyDescent="0.25"/>
    <row r="72" spans="1:17" ht="18" customHeight="1" x14ac:dyDescent="0.25">
      <c r="A72" s="43" t="s">
        <v>661</v>
      </c>
      <c r="B72" s="33"/>
      <c r="C72" s="33"/>
      <c r="D72" s="33"/>
      <c r="E72" s="33"/>
      <c r="F72" s="33"/>
      <c r="G72" s="33"/>
      <c r="H72" s="33"/>
      <c r="I72" s="33"/>
      <c r="J72" s="33"/>
      <c r="K72" s="33"/>
      <c r="L72" s="33"/>
      <c r="M72" s="33"/>
      <c r="N72" s="33"/>
      <c r="O72" s="33"/>
      <c r="P72" s="33"/>
      <c r="Q72" s="33"/>
    </row>
    <row r="73" spans="1:17" ht="21" customHeight="1" x14ac:dyDescent="0.25">
      <c r="A73" s="40" t="s">
        <v>869</v>
      </c>
      <c r="B73" s="33"/>
      <c r="C73" s="33"/>
      <c r="D73" s="33"/>
      <c r="E73" s="33"/>
      <c r="F73" s="33"/>
      <c r="G73" s="33"/>
      <c r="H73" s="33"/>
      <c r="I73" s="33"/>
      <c r="J73" s="33"/>
      <c r="K73" s="33"/>
      <c r="L73" s="33"/>
      <c r="M73" s="33"/>
      <c r="N73" s="33"/>
      <c r="O73" s="33"/>
      <c r="P73" s="33"/>
      <c r="Q73" s="33"/>
    </row>
    <row r="74" spans="1:17" ht="6" customHeight="1" x14ac:dyDescent="0.25"/>
    <row r="75" spans="1:17" ht="18" customHeight="1" x14ac:dyDescent="0.25">
      <c r="A75" s="43" t="s">
        <v>668</v>
      </c>
      <c r="B75" s="33"/>
      <c r="C75" s="33"/>
      <c r="D75" s="33"/>
      <c r="E75" s="33"/>
      <c r="F75" s="33"/>
      <c r="G75" s="33"/>
      <c r="H75" s="33"/>
      <c r="I75" s="33"/>
      <c r="J75" s="33"/>
      <c r="K75" s="33"/>
      <c r="L75" s="33"/>
      <c r="M75" s="33"/>
      <c r="N75" s="33"/>
      <c r="O75" s="33"/>
      <c r="P75" s="33"/>
      <c r="Q75" s="33"/>
    </row>
    <row r="76" spans="1:17" ht="21" customHeight="1" x14ac:dyDescent="0.25">
      <c r="A76" s="40" t="s">
        <v>725</v>
      </c>
      <c r="B76" s="33"/>
      <c r="C76" s="33"/>
      <c r="D76" s="33"/>
      <c r="E76" s="33"/>
      <c r="F76" s="33"/>
      <c r="G76" s="33"/>
      <c r="H76" s="33"/>
      <c r="I76" s="33"/>
      <c r="J76" s="33"/>
      <c r="K76" s="33"/>
      <c r="L76" s="33"/>
      <c r="M76" s="33"/>
      <c r="N76" s="33"/>
      <c r="O76" s="33"/>
      <c r="P76" s="33"/>
      <c r="Q76" s="33"/>
    </row>
    <row r="77" spans="1:17" ht="6" customHeight="1" x14ac:dyDescent="0.25"/>
    <row r="78" spans="1:17" ht="18" customHeight="1" x14ac:dyDescent="0.25">
      <c r="A78" s="43" t="s">
        <v>669</v>
      </c>
      <c r="B78" s="33"/>
      <c r="C78" s="33"/>
      <c r="D78" s="33"/>
      <c r="E78" s="33"/>
      <c r="F78" s="33"/>
      <c r="G78" s="33"/>
      <c r="H78" s="33"/>
      <c r="I78" s="33"/>
      <c r="J78" s="33"/>
      <c r="K78" s="33"/>
      <c r="L78" s="33"/>
      <c r="M78" s="33"/>
      <c r="N78" s="33"/>
      <c r="O78" s="33"/>
      <c r="P78" s="33"/>
      <c r="Q78" s="33"/>
    </row>
    <row r="79" spans="1:17" ht="36" customHeight="1" x14ac:dyDescent="0.25">
      <c r="A79" s="40" t="s">
        <v>726</v>
      </c>
      <c r="B79" s="33"/>
      <c r="C79" s="33"/>
      <c r="D79" s="33"/>
      <c r="E79" s="33"/>
      <c r="F79" s="33"/>
      <c r="G79" s="33"/>
      <c r="H79" s="33"/>
      <c r="I79" s="33"/>
      <c r="J79" s="33"/>
      <c r="K79" s="33"/>
      <c r="L79" s="33"/>
      <c r="M79" s="33"/>
      <c r="N79" s="33"/>
      <c r="O79" s="33"/>
      <c r="P79" s="33"/>
      <c r="Q79" s="33"/>
    </row>
    <row r="80" spans="1:17" ht="6" customHeight="1" x14ac:dyDescent="0.25"/>
    <row r="81" spans="1:17" ht="18" customHeight="1" x14ac:dyDescent="0.25">
      <c r="A81" s="43" t="s">
        <v>670</v>
      </c>
      <c r="B81" s="33"/>
      <c r="C81" s="33"/>
      <c r="D81" s="33"/>
      <c r="E81" s="33"/>
      <c r="F81" s="33"/>
      <c r="G81" s="33"/>
      <c r="H81" s="33"/>
      <c r="I81" s="33"/>
      <c r="J81" s="33"/>
      <c r="K81" s="33"/>
      <c r="L81" s="33"/>
      <c r="M81" s="33"/>
      <c r="N81" s="33"/>
      <c r="O81" s="33"/>
      <c r="P81" s="33"/>
      <c r="Q81" s="33"/>
    </row>
    <row r="82" spans="1:17" ht="36" customHeight="1" x14ac:dyDescent="0.25">
      <c r="A82" s="40" t="s">
        <v>727</v>
      </c>
      <c r="B82" s="33"/>
      <c r="C82" s="33"/>
      <c r="D82" s="33"/>
      <c r="E82" s="33"/>
      <c r="F82" s="33"/>
      <c r="G82" s="33"/>
      <c r="H82" s="33"/>
      <c r="I82" s="33"/>
      <c r="J82" s="33"/>
      <c r="K82" s="33"/>
      <c r="L82" s="33"/>
      <c r="M82" s="33"/>
      <c r="N82" s="33"/>
      <c r="O82" s="33"/>
      <c r="P82" s="33"/>
      <c r="Q82" s="33"/>
    </row>
    <row r="83" spans="1:17" ht="6" customHeight="1" x14ac:dyDescent="0.25"/>
    <row r="86" spans="1:17" x14ac:dyDescent="0.25">
      <c r="A86" s="39" t="s">
        <v>728</v>
      </c>
      <c r="B86" s="33"/>
      <c r="C86" s="33"/>
      <c r="D86" s="33"/>
      <c r="E86" s="33"/>
      <c r="F86" s="33"/>
      <c r="G86" s="33"/>
      <c r="H86" s="33"/>
      <c r="I86" s="33"/>
      <c r="J86" s="33"/>
      <c r="K86" s="33"/>
      <c r="L86" s="33"/>
      <c r="M86" s="33"/>
      <c r="N86" s="33"/>
      <c r="O86" s="33"/>
      <c r="P86" s="33"/>
      <c r="Q86" s="33"/>
    </row>
  </sheetData>
  <mergeCells count="33">
    <mergeCell ref="A34:Q34"/>
    <mergeCell ref="A48:Q48"/>
    <mergeCell ref="A45:Q45"/>
    <mergeCell ref="A41:Q41"/>
    <mergeCell ref="A37:Q37"/>
    <mergeCell ref="A54:Q54"/>
    <mergeCell ref="A66:Q66"/>
    <mergeCell ref="A75:Q75"/>
    <mergeCell ref="A44:Q44"/>
    <mergeCell ref="A58:Q58"/>
    <mergeCell ref="A67:Q67"/>
    <mergeCell ref="A50:Q50"/>
    <mergeCell ref="A79:Q79"/>
    <mergeCell ref="A61:Q61"/>
    <mergeCell ref="A70:Q70"/>
    <mergeCell ref="A69:Q69"/>
    <mergeCell ref="A78:Q78"/>
    <mergeCell ref="A86:Q86"/>
    <mergeCell ref="A42:Q42"/>
    <mergeCell ref="A76:Q76"/>
    <mergeCell ref="A47:Q47"/>
    <mergeCell ref="A32:Q32"/>
    <mergeCell ref="A53:Q53"/>
    <mergeCell ref="A35:Q35"/>
    <mergeCell ref="A81:Q81"/>
    <mergeCell ref="A38:Q38"/>
    <mergeCell ref="A72:Q72"/>
    <mergeCell ref="A63:Q63"/>
    <mergeCell ref="A73:Q73"/>
    <mergeCell ref="A64:Q64"/>
    <mergeCell ref="A82:Q82"/>
    <mergeCell ref="A60:Q60"/>
    <mergeCell ref="A51:Q51"/>
  </mergeCells>
  <dataValidations count="8">
    <dataValidation type="list" allowBlank="1" errorTitle="Valore non valido" error="Selezionare dalla lista." promptTitle="Author" prompt="Autore della codifica." sqref="B6:B29" xr:uid="{00000000-0002-0000-0D00-000000000000}">
      <formula1>Author_Name</formula1>
    </dataValidation>
    <dataValidation type="list" allowBlank="1" errorTitle="Valore non valido" error="Selezionare dalla lista, oppure lasciare vuoto." promptTitle="In Place" sqref="D6:D29" xr:uid="{00000000-0002-0000-0D00-000001000000}">
      <formula1>InPl_Name</formula1>
    </dataValidation>
    <dataValidation type="list" allowBlank="1" errorTitle="Valore non valido" error="Selezionare dalla lista." promptTitle="Categoria" prompt="Categoria Revit della famiglia." sqref="F6:F29" xr:uid="{00000000-0002-0000-0D00-000002000000}">
      <formula1>EN_Cat_Name</formula1>
    </dataValidation>
    <dataValidation type="list" allowBlank="1" errorTitle="Valore non valido" error="Selezionare dalla lista." promptTitle="Group1 — soggetto" prompt="Soggetto rappresentato. Component e Symbol chiudono la lista: quando la famiglia è un componente nidificato o un simbolo, quel valore prende il posto della classificazione funzionale, e il Group2 diventa OT." sqref="H6:H29" xr:uid="{00000000-0002-0000-0D00-000003000000}">
      <formula1>EN_G1_Name</formula1>
    </dataValidation>
    <dataValidation type="list" allowBlank="1" errorTitle="Valore non valido" error="Selezionare dalla lista." promptTitle="Group2 — rappresentazione" prompt="Livello di rappresentazione. Su questa categoria determina la scelta della famiglia e il peso del file." sqref="J6:J29" xr:uid="{00000000-0002-0000-0D00-000004000000}">
      <formula1>EN_G2_Name</formula1>
    </dataValidation>
    <dataValidation type="custom" allowBlank="1" errorTitle="Non valido" error="Massimo 24 caratteri, senza spazi." promptTitle="Manufacturer" prompt="Facoltativo. Azienda produttrice. Campo libero: senza spazi, iniziali maiuscole. Non compatibile con Group1 = Custom." sqref="L6:L29" xr:uid="{00000000-0002-0000-0D00-000005000000}">
      <formula1>AND(LEN($L6)&lt;=24,ISERROR(FIND(" ",$L6)))</formula1>
    </dataValidation>
    <dataValidation type="custom" allowBlank="1" errorTitle="Non valido" error="Massimo 24 caratteri, senza spazi." promptTitle="Brand" sqref="M6:M29" xr:uid="{00000000-0002-0000-0D00-000006000000}">
      <formula1>AND(LEN($M6)&lt;=24,ISERROR(FIND(" ",$M6)))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N6:N29" xr:uid="{00000000-0002-0000-0D00-000007000000}">
      <formula1>40</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88"/>
  <sheetViews>
    <sheetView showGridLines="0" workbookViewId="0">
      <pane ySplit="5" topLeftCell="A6"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15" customWidth="1"/>
    <col min="13" max="13" width="13" customWidth="1"/>
    <col min="14" max="14" width="20" customWidth="1"/>
    <col min="15" max="15" width="12" customWidth="1"/>
    <col min="16" max="16" width="36" customWidth="1"/>
    <col min="17" max="17" width="24" customWidth="1"/>
  </cols>
  <sheetData>
    <row r="1" spans="1:17" ht="19.5" x14ac:dyDescent="0.3">
      <c r="A1" s="6" t="s">
        <v>870</v>
      </c>
    </row>
    <row r="2" spans="1:17" x14ac:dyDescent="0.25">
      <c r="A2" s="7" t="s">
        <v>652</v>
      </c>
    </row>
    <row r="3" spans="1:17" x14ac:dyDescent="0.25">
      <c r="A3" s="8" t="s">
        <v>745</v>
      </c>
    </row>
    <row r="4" spans="1:17" ht="17.100000000000001" customHeight="1" x14ac:dyDescent="0.25">
      <c r="A4" s="9" t="s">
        <v>871</v>
      </c>
      <c r="B4" s="10"/>
      <c r="C4" s="10"/>
      <c r="D4" s="10"/>
      <c r="E4" s="10"/>
      <c r="F4" s="10"/>
      <c r="G4" s="10"/>
      <c r="H4" s="10"/>
      <c r="I4" s="10"/>
      <c r="J4" s="10"/>
      <c r="K4" s="10"/>
      <c r="L4" s="10"/>
      <c r="M4" s="10"/>
      <c r="N4" s="10"/>
      <c r="O4" s="10"/>
      <c r="P4" s="10"/>
      <c r="Q4" s="10"/>
    </row>
    <row r="5" spans="1:17" ht="30" customHeight="1" x14ac:dyDescent="0.25">
      <c r="A5" s="11" t="s">
        <v>655</v>
      </c>
      <c r="B5" s="11" t="s">
        <v>85</v>
      </c>
      <c r="C5" s="11" t="s">
        <v>656</v>
      </c>
      <c r="D5" s="12" t="s">
        <v>97</v>
      </c>
      <c r="E5" s="11" t="s">
        <v>96</v>
      </c>
      <c r="F5" s="11" t="s">
        <v>657</v>
      </c>
      <c r="G5" s="11" t="s">
        <v>658</v>
      </c>
      <c r="H5" s="11" t="s">
        <v>659</v>
      </c>
      <c r="I5" s="11" t="s">
        <v>660</v>
      </c>
      <c r="J5" s="11" t="s">
        <v>661</v>
      </c>
      <c r="K5" s="11" t="s">
        <v>662</v>
      </c>
      <c r="L5" s="12" t="s">
        <v>668</v>
      </c>
      <c r="M5" s="12" t="s">
        <v>669</v>
      </c>
      <c r="N5" s="12" t="s">
        <v>670</v>
      </c>
      <c r="O5" s="11" t="s">
        <v>671</v>
      </c>
      <c r="P5" s="11" t="s">
        <v>672</v>
      </c>
      <c r="Q5" s="11" t="s">
        <v>673</v>
      </c>
    </row>
    <row r="6" spans="1:17" x14ac:dyDescent="0.25">
      <c r="A6" s="13" t="s">
        <v>675</v>
      </c>
      <c r="B6" s="14" t="s">
        <v>92</v>
      </c>
      <c r="C6" s="15" t="str">
        <f t="shared" ref="C6:C31" si="0">IFERROR(INDEX(Author_Code,MATCH($B6,Author_Name,0)),"")</f>
        <v>e</v>
      </c>
      <c r="D6" s="16"/>
      <c r="E6" s="15" t="str">
        <f t="shared" ref="E6:E31" si="1">IFERROR(INDEX(InPl_Code,MATCH($D6,InPl_Name,0)),"")</f>
        <v/>
      </c>
      <c r="F6" s="14" t="s">
        <v>571</v>
      </c>
      <c r="G6" s="15" t="str">
        <f t="shared" ref="G6:G31" si="2">IFERROR(INDEX(PL_Cat_Code,MATCH($F6,PL_Cat_Name,0)),"")</f>
        <v>PL</v>
      </c>
      <c r="H6" s="14" t="s">
        <v>574</v>
      </c>
      <c r="I6" s="15" t="str">
        <f t="shared" ref="I6:I31" si="3">IFERROR(INDEX(PL_G1_Code,MATCH($H6,PL_G1_Name,0)),"")</f>
        <v>TR</v>
      </c>
      <c r="J6" s="14" t="s">
        <v>572</v>
      </c>
      <c r="K6" s="15" t="str">
        <f t="shared" ref="K6:K31" si="4">IFERROR(INDEX(PL_G2_Code,MATCH($J6,PL_G2_Name,0)),"")</f>
        <v>UR</v>
      </c>
      <c r="L6" s="17"/>
      <c r="M6" s="17"/>
      <c r="N6" s="17" t="s">
        <v>872</v>
      </c>
      <c r="O6" s="15" t="str">
        <f t="shared" ref="O6:O31" si="5">$G6&amp;IF($I6&lt;&gt;"","."&amp;$I6,"")&amp;IF($K6&lt;&gt;"","."&amp;$K6,"")</f>
        <v>PL.TR.UR</v>
      </c>
      <c r="P6" s="18" t="str">
        <f t="shared" ref="P6:P31" si="6">IF(AND($F6&lt;&gt;"",$H6&lt;&gt;"",$J6&lt;&gt;""),$C6&amp;"_"&amp;$E6&amp;$O6&amp;IF($L6&lt;&gt;"","_"&amp;$L6,"")&amp;IF($M6&lt;&gt;"","_"&amp;$M6,"")&amp;IF($N6&lt;&gt;"","_"&amp;$N6,""),"")</f>
        <v>e_PL.TR.UR_TiliaCordata</v>
      </c>
      <c r="Q6" s="19" t="str">
        <f t="shared" ref="Q6:Q31" si="7">IFERROR(IF(OR($G6="",$J6=""),"",$G6&amp;"-"&amp;LEFT(INDEX(PL_G2_TM,MATCH($J6,PL_G2_Name,0)),1)&amp;"xx"&amp;"_H{h}"),"")</f>
        <v>PL-1xx_H{h}</v>
      </c>
    </row>
    <row r="7" spans="1:17" x14ac:dyDescent="0.25">
      <c r="A7" s="13" t="s">
        <v>676</v>
      </c>
      <c r="B7" s="14" t="s">
        <v>92</v>
      </c>
      <c r="C7" s="15" t="str">
        <f t="shared" si="0"/>
        <v>e</v>
      </c>
      <c r="D7" s="16"/>
      <c r="E7" s="15" t="str">
        <f t="shared" si="1"/>
        <v/>
      </c>
      <c r="F7" s="14" t="s">
        <v>571</v>
      </c>
      <c r="G7" s="15" t="str">
        <f t="shared" si="2"/>
        <v>PL</v>
      </c>
      <c r="H7" s="14" t="s">
        <v>574</v>
      </c>
      <c r="I7" s="15" t="str">
        <f t="shared" si="3"/>
        <v>TR</v>
      </c>
      <c r="J7" s="14" t="s">
        <v>576</v>
      </c>
      <c r="K7" s="15" t="str">
        <f t="shared" si="4"/>
        <v>PK</v>
      </c>
      <c r="L7" s="17"/>
      <c r="M7" s="17"/>
      <c r="N7" s="17" t="s">
        <v>873</v>
      </c>
      <c r="O7" s="15" t="str">
        <f t="shared" si="5"/>
        <v>PL.TR.PK</v>
      </c>
      <c r="P7" s="18" t="str">
        <f t="shared" si="6"/>
        <v>e_PL.TR.PK_QuercusRobur</v>
      </c>
      <c r="Q7" s="19" t="str">
        <f t="shared" si="7"/>
        <v>PL-2xx_H{h}</v>
      </c>
    </row>
    <row r="8" spans="1:17" x14ac:dyDescent="0.25">
      <c r="A8" s="13" t="s">
        <v>677</v>
      </c>
      <c r="B8" s="14" t="s">
        <v>92</v>
      </c>
      <c r="C8" s="15" t="str">
        <f t="shared" si="0"/>
        <v>e</v>
      </c>
      <c r="D8" s="16"/>
      <c r="E8" s="15" t="str">
        <f t="shared" si="1"/>
        <v/>
      </c>
      <c r="F8" s="14" t="s">
        <v>571</v>
      </c>
      <c r="G8" s="15" t="str">
        <f t="shared" si="2"/>
        <v>PL</v>
      </c>
      <c r="H8" s="14" t="s">
        <v>579</v>
      </c>
      <c r="I8" s="15" t="str">
        <f t="shared" si="3"/>
        <v>SB</v>
      </c>
      <c r="J8" s="14" t="s">
        <v>576</v>
      </c>
      <c r="K8" s="15" t="str">
        <f t="shared" si="4"/>
        <v>PK</v>
      </c>
      <c r="L8" s="17"/>
      <c r="M8" s="17"/>
      <c r="N8" s="17"/>
      <c r="O8" s="15" t="str">
        <f t="shared" si="5"/>
        <v>PL.SB.PK</v>
      </c>
      <c r="P8" s="18" t="str">
        <f t="shared" si="6"/>
        <v>e_PL.SB.PK</v>
      </c>
      <c r="Q8" s="19" t="str">
        <f t="shared" si="7"/>
        <v>PL-2xx_H{h}</v>
      </c>
    </row>
    <row r="9" spans="1:17" x14ac:dyDescent="0.25">
      <c r="A9" s="13" t="s">
        <v>679</v>
      </c>
      <c r="B9" s="14" t="s">
        <v>92</v>
      </c>
      <c r="C9" s="15" t="str">
        <f t="shared" si="0"/>
        <v>e</v>
      </c>
      <c r="D9" s="16"/>
      <c r="E9" s="15" t="str">
        <f t="shared" si="1"/>
        <v/>
      </c>
      <c r="F9" s="14" t="s">
        <v>571</v>
      </c>
      <c r="G9" s="15" t="str">
        <f t="shared" si="2"/>
        <v>PL</v>
      </c>
      <c r="H9" s="14" t="s">
        <v>585</v>
      </c>
      <c r="I9" s="15" t="str">
        <f t="shared" si="3"/>
        <v>HD</v>
      </c>
      <c r="J9" s="14" t="s">
        <v>592</v>
      </c>
      <c r="K9" s="15" t="str">
        <f t="shared" si="4"/>
        <v>SN</v>
      </c>
      <c r="L9" s="17"/>
      <c r="M9" s="17"/>
      <c r="N9" s="17"/>
      <c r="O9" s="15" t="str">
        <f t="shared" si="5"/>
        <v>PL.HD.SN</v>
      </c>
      <c r="P9" s="18" t="str">
        <f t="shared" si="6"/>
        <v>e_PL.HD.SN</v>
      </c>
      <c r="Q9" s="19" t="str">
        <f t="shared" si="7"/>
        <v>PL-5xx_H{h}</v>
      </c>
    </row>
    <row r="10" spans="1:17" x14ac:dyDescent="0.25">
      <c r="A10" s="13" t="s">
        <v>680</v>
      </c>
      <c r="B10" s="14" t="s">
        <v>92</v>
      </c>
      <c r="C10" s="15" t="str">
        <f t="shared" si="0"/>
        <v>e</v>
      </c>
      <c r="D10" s="16"/>
      <c r="E10" s="15" t="str">
        <f t="shared" si="1"/>
        <v/>
      </c>
      <c r="F10" s="14" t="s">
        <v>571</v>
      </c>
      <c r="G10" s="15" t="str">
        <f t="shared" si="2"/>
        <v>PL</v>
      </c>
      <c r="H10" s="14" t="s">
        <v>590</v>
      </c>
      <c r="I10" s="15" t="str">
        <f t="shared" si="3"/>
        <v>GC</v>
      </c>
      <c r="J10" s="14" t="s">
        <v>582</v>
      </c>
      <c r="K10" s="15" t="str">
        <f t="shared" si="4"/>
        <v>RF</v>
      </c>
      <c r="L10" s="17"/>
      <c r="M10" s="17"/>
      <c r="N10" s="17"/>
      <c r="O10" s="15" t="str">
        <f t="shared" si="5"/>
        <v>PL.GC.RF</v>
      </c>
      <c r="P10" s="18" t="str">
        <f t="shared" si="6"/>
        <v>e_PL.GC.RF</v>
      </c>
      <c r="Q10" s="19" t="str">
        <f t="shared" si="7"/>
        <v>PL-3xx_H{h}</v>
      </c>
    </row>
    <row r="11" spans="1:17" x14ac:dyDescent="0.25">
      <c r="A11" s="13" t="s">
        <v>682</v>
      </c>
      <c r="B11" s="14" t="s">
        <v>92</v>
      </c>
      <c r="C11" s="15" t="str">
        <f t="shared" si="0"/>
        <v>e</v>
      </c>
      <c r="D11" s="16"/>
      <c r="E11" s="15" t="str">
        <f t="shared" si="1"/>
        <v/>
      </c>
      <c r="F11" s="14" t="s">
        <v>571</v>
      </c>
      <c r="G11" s="15" t="str">
        <f t="shared" si="2"/>
        <v>PL</v>
      </c>
      <c r="H11" s="14" t="s">
        <v>594</v>
      </c>
      <c r="I11" s="15" t="str">
        <f t="shared" si="3"/>
        <v>CL</v>
      </c>
      <c r="J11" s="14" t="s">
        <v>592</v>
      </c>
      <c r="K11" s="15" t="str">
        <f t="shared" si="4"/>
        <v>SN</v>
      </c>
      <c r="L11" s="17"/>
      <c r="M11" s="17"/>
      <c r="N11" s="17"/>
      <c r="O11" s="15" t="str">
        <f t="shared" si="5"/>
        <v>PL.CL.SN</v>
      </c>
      <c r="P11" s="18" t="str">
        <f t="shared" si="6"/>
        <v>e_PL.CL.SN</v>
      </c>
      <c r="Q11" s="19" t="str">
        <f t="shared" si="7"/>
        <v>PL-5xx_H{h}</v>
      </c>
    </row>
    <row r="12" spans="1:17" x14ac:dyDescent="0.25">
      <c r="A12" s="13" t="s">
        <v>685</v>
      </c>
      <c r="B12" s="14" t="s">
        <v>92</v>
      </c>
      <c r="C12" s="15" t="str">
        <f t="shared" si="0"/>
        <v>e</v>
      </c>
      <c r="D12" s="16"/>
      <c r="E12" s="15" t="str">
        <f t="shared" si="1"/>
        <v/>
      </c>
      <c r="F12" s="14" t="s">
        <v>571</v>
      </c>
      <c r="G12" s="15" t="str">
        <f t="shared" si="2"/>
        <v>PL</v>
      </c>
      <c r="H12" s="14" t="s">
        <v>590</v>
      </c>
      <c r="I12" s="15" t="str">
        <f t="shared" si="3"/>
        <v>GC</v>
      </c>
      <c r="J12" s="14" t="s">
        <v>576</v>
      </c>
      <c r="K12" s="15" t="str">
        <f t="shared" si="4"/>
        <v>PK</v>
      </c>
      <c r="L12" s="17"/>
      <c r="M12" s="17"/>
      <c r="N12" s="17"/>
      <c r="O12" s="15" t="str">
        <f t="shared" si="5"/>
        <v>PL.GC.PK</v>
      </c>
      <c r="P12" s="18" t="str">
        <f t="shared" si="6"/>
        <v>e_PL.GC.PK</v>
      </c>
      <c r="Q12" s="19" t="str">
        <f t="shared" si="7"/>
        <v>PL-2xx_H{h}</v>
      </c>
    </row>
    <row r="13" spans="1:17" x14ac:dyDescent="0.25">
      <c r="A13" s="13" t="s">
        <v>687</v>
      </c>
      <c r="B13" s="14" t="s">
        <v>92</v>
      </c>
      <c r="C13" s="15" t="str">
        <f t="shared" si="0"/>
        <v>e</v>
      </c>
      <c r="D13" s="16"/>
      <c r="E13" s="15" t="str">
        <f t="shared" si="1"/>
        <v/>
      </c>
      <c r="F13" s="14" t="s">
        <v>571</v>
      </c>
      <c r="G13" s="15" t="str">
        <f t="shared" si="2"/>
        <v>PL</v>
      </c>
      <c r="H13" s="14" t="s">
        <v>108</v>
      </c>
      <c r="I13" s="15" t="str">
        <f t="shared" si="3"/>
        <v>SY</v>
      </c>
      <c r="J13" s="14" t="s">
        <v>587</v>
      </c>
      <c r="K13" s="15" t="str">
        <f t="shared" si="4"/>
        <v>IN</v>
      </c>
      <c r="L13" s="17"/>
      <c r="M13" s="17"/>
      <c r="N13" s="17"/>
      <c r="O13" s="15" t="str">
        <f t="shared" si="5"/>
        <v>PL.SY.IN</v>
      </c>
      <c r="P13" s="18" t="str">
        <f t="shared" si="6"/>
        <v>e_PL.SY.IN</v>
      </c>
      <c r="Q13" s="19" t="str">
        <f t="shared" si="7"/>
        <v>PL-4xx_H{h}</v>
      </c>
    </row>
    <row r="14" spans="1:17" x14ac:dyDescent="0.25">
      <c r="A14" s="13" t="s">
        <v>689</v>
      </c>
      <c r="B14" s="14" t="s">
        <v>92</v>
      </c>
      <c r="C14" s="15" t="str">
        <f t="shared" si="0"/>
        <v>e</v>
      </c>
      <c r="D14" s="16"/>
      <c r="E14" s="15" t="str">
        <f t="shared" si="1"/>
        <v/>
      </c>
      <c r="F14" s="14" t="s">
        <v>571</v>
      </c>
      <c r="G14" s="15" t="str">
        <f t="shared" si="2"/>
        <v>PL</v>
      </c>
      <c r="H14" s="14" t="s">
        <v>597</v>
      </c>
      <c r="I14" s="15" t="str">
        <f t="shared" si="3"/>
        <v>AQ</v>
      </c>
      <c r="J14" s="14" t="s">
        <v>576</v>
      </c>
      <c r="K14" s="15" t="str">
        <f t="shared" si="4"/>
        <v>PK</v>
      </c>
      <c r="L14" s="17"/>
      <c r="M14" s="17"/>
      <c r="N14" s="17"/>
      <c r="O14" s="15" t="str">
        <f t="shared" si="5"/>
        <v>PL.AQ.PK</v>
      </c>
      <c r="P14" s="18" t="str">
        <f t="shared" si="6"/>
        <v>e_PL.AQ.PK</v>
      </c>
      <c r="Q14" s="19" t="str">
        <f t="shared" si="7"/>
        <v>PL-2xx_H{h}</v>
      </c>
    </row>
    <row r="15" spans="1:17" x14ac:dyDescent="0.25">
      <c r="A15" s="13" t="s">
        <v>691</v>
      </c>
      <c r="B15" s="14" t="s">
        <v>92</v>
      </c>
      <c r="C15" s="15" t="str">
        <f t="shared" si="0"/>
        <v>e</v>
      </c>
      <c r="D15" s="16"/>
      <c r="E15" s="15" t="str">
        <f t="shared" si="1"/>
        <v/>
      </c>
      <c r="F15" s="14" t="s">
        <v>571</v>
      </c>
      <c r="G15" s="15" t="str">
        <f t="shared" si="2"/>
        <v>PL</v>
      </c>
      <c r="H15" s="14" t="s">
        <v>108</v>
      </c>
      <c r="I15" s="15" t="str">
        <f t="shared" si="3"/>
        <v>SY</v>
      </c>
      <c r="J15" s="14" t="s">
        <v>572</v>
      </c>
      <c r="K15" s="15" t="str">
        <f t="shared" si="4"/>
        <v>UR</v>
      </c>
      <c r="L15" s="17"/>
      <c r="M15" s="17"/>
      <c r="N15" s="17"/>
      <c r="O15" s="15" t="str">
        <f t="shared" si="5"/>
        <v>PL.SY.UR</v>
      </c>
      <c r="P15" s="18" t="str">
        <f t="shared" si="6"/>
        <v>e_PL.SY.UR</v>
      </c>
      <c r="Q15" s="19" t="str">
        <f t="shared" si="7"/>
        <v>PL-1xx_H{h}</v>
      </c>
    </row>
    <row r="16" spans="1:17" x14ac:dyDescent="0.25">
      <c r="A16" s="13" t="s">
        <v>693</v>
      </c>
      <c r="B16" s="14" t="s">
        <v>92</v>
      </c>
      <c r="C16" s="15" t="str">
        <f t="shared" si="0"/>
        <v>e</v>
      </c>
      <c r="D16" s="16" t="s">
        <v>97</v>
      </c>
      <c r="E16" s="15" t="str">
        <f t="shared" si="1"/>
        <v>(I)</v>
      </c>
      <c r="F16" s="14" t="s">
        <v>571</v>
      </c>
      <c r="G16" s="15" t="str">
        <f t="shared" si="2"/>
        <v>PL</v>
      </c>
      <c r="H16" s="14" t="s">
        <v>574</v>
      </c>
      <c r="I16" s="15" t="str">
        <f t="shared" si="3"/>
        <v>TR</v>
      </c>
      <c r="J16" s="14" t="s">
        <v>572</v>
      </c>
      <c r="K16" s="15" t="str">
        <f t="shared" si="4"/>
        <v>UR</v>
      </c>
      <c r="L16" s="17"/>
      <c r="M16" s="17"/>
      <c r="N16" s="17" t="s">
        <v>872</v>
      </c>
      <c r="O16" s="15" t="str">
        <f t="shared" si="5"/>
        <v>PL.TR.UR</v>
      </c>
      <c r="P16" s="18" t="str">
        <f t="shared" si="6"/>
        <v>e_(I)PL.TR.UR_TiliaCordata</v>
      </c>
      <c r="Q16" s="19" t="str">
        <f t="shared" si="7"/>
        <v>PL-1xx_H{h}</v>
      </c>
    </row>
    <row r="17" spans="1:17" x14ac:dyDescent="0.25">
      <c r="A17" s="21">
        <v>1</v>
      </c>
      <c r="B17" s="22"/>
      <c r="C17" s="23" t="str">
        <f t="shared" si="0"/>
        <v/>
      </c>
      <c r="D17" s="24"/>
      <c r="E17" s="23" t="str">
        <f t="shared" si="1"/>
        <v/>
      </c>
      <c r="F17" s="22"/>
      <c r="G17" s="23" t="str">
        <f t="shared" si="2"/>
        <v/>
      </c>
      <c r="H17" s="22"/>
      <c r="I17" s="23" t="str">
        <f t="shared" si="3"/>
        <v/>
      </c>
      <c r="J17" s="22"/>
      <c r="K17" s="23" t="str">
        <f t="shared" si="4"/>
        <v/>
      </c>
      <c r="L17" s="25"/>
      <c r="M17" s="25"/>
      <c r="N17" s="25"/>
      <c r="O17" s="23" t="str">
        <f t="shared" si="5"/>
        <v/>
      </c>
      <c r="P17" s="26" t="str">
        <f t="shared" si="6"/>
        <v/>
      </c>
      <c r="Q17" s="27" t="str">
        <f t="shared" si="7"/>
        <v/>
      </c>
    </row>
    <row r="18" spans="1:17" x14ac:dyDescent="0.25">
      <c r="A18" s="21">
        <v>2</v>
      </c>
      <c r="B18" s="22"/>
      <c r="C18" s="23" t="str">
        <f t="shared" si="0"/>
        <v/>
      </c>
      <c r="D18" s="24"/>
      <c r="E18" s="23" t="str">
        <f t="shared" si="1"/>
        <v/>
      </c>
      <c r="F18" s="22"/>
      <c r="G18" s="23" t="str">
        <f t="shared" si="2"/>
        <v/>
      </c>
      <c r="H18" s="22"/>
      <c r="I18" s="23" t="str">
        <f t="shared" si="3"/>
        <v/>
      </c>
      <c r="J18" s="22"/>
      <c r="K18" s="23" t="str">
        <f t="shared" si="4"/>
        <v/>
      </c>
      <c r="L18" s="25"/>
      <c r="M18" s="25"/>
      <c r="N18" s="25"/>
      <c r="O18" s="23" t="str">
        <f t="shared" si="5"/>
        <v/>
      </c>
      <c r="P18" s="26" t="str">
        <f t="shared" si="6"/>
        <v/>
      </c>
      <c r="Q18" s="27" t="str">
        <f t="shared" si="7"/>
        <v/>
      </c>
    </row>
    <row r="19" spans="1:17" x14ac:dyDescent="0.25">
      <c r="A19" s="21">
        <v>3</v>
      </c>
      <c r="B19" s="22"/>
      <c r="C19" s="23" t="str">
        <f t="shared" si="0"/>
        <v/>
      </c>
      <c r="D19" s="24"/>
      <c r="E19" s="23" t="str">
        <f t="shared" si="1"/>
        <v/>
      </c>
      <c r="F19" s="22"/>
      <c r="G19" s="23" t="str">
        <f t="shared" si="2"/>
        <v/>
      </c>
      <c r="H19" s="22"/>
      <c r="I19" s="23" t="str">
        <f t="shared" si="3"/>
        <v/>
      </c>
      <c r="J19" s="22"/>
      <c r="K19" s="23" t="str">
        <f t="shared" si="4"/>
        <v/>
      </c>
      <c r="L19" s="25"/>
      <c r="M19" s="25"/>
      <c r="N19" s="25"/>
      <c r="O19" s="23" t="str">
        <f t="shared" si="5"/>
        <v/>
      </c>
      <c r="P19" s="26" t="str">
        <f t="shared" si="6"/>
        <v/>
      </c>
      <c r="Q19" s="27" t="str">
        <f t="shared" si="7"/>
        <v/>
      </c>
    </row>
    <row r="20" spans="1:17" x14ac:dyDescent="0.25">
      <c r="A20" s="21">
        <v>4</v>
      </c>
      <c r="B20" s="22"/>
      <c r="C20" s="23" t="str">
        <f t="shared" si="0"/>
        <v/>
      </c>
      <c r="D20" s="24"/>
      <c r="E20" s="23" t="str">
        <f t="shared" si="1"/>
        <v/>
      </c>
      <c r="F20" s="22"/>
      <c r="G20" s="23" t="str">
        <f t="shared" si="2"/>
        <v/>
      </c>
      <c r="H20" s="22"/>
      <c r="I20" s="23" t="str">
        <f t="shared" si="3"/>
        <v/>
      </c>
      <c r="J20" s="22"/>
      <c r="K20" s="23" t="str">
        <f t="shared" si="4"/>
        <v/>
      </c>
      <c r="L20" s="25"/>
      <c r="M20" s="25"/>
      <c r="N20" s="25"/>
      <c r="O20" s="23" t="str">
        <f t="shared" si="5"/>
        <v/>
      </c>
      <c r="P20" s="26" t="str">
        <f t="shared" si="6"/>
        <v/>
      </c>
      <c r="Q20" s="27" t="str">
        <f t="shared" si="7"/>
        <v/>
      </c>
    </row>
    <row r="21" spans="1:17" x14ac:dyDescent="0.25">
      <c r="A21" s="21">
        <v>5</v>
      </c>
      <c r="B21" s="22"/>
      <c r="C21" s="23" t="str">
        <f t="shared" si="0"/>
        <v/>
      </c>
      <c r="D21" s="24"/>
      <c r="E21" s="23" t="str">
        <f t="shared" si="1"/>
        <v/>
      </c>
      <c r="F21" s="22"/>
      <c r="G21" s="23" t="str">
        <f t="shared" si="2"/>
        <v/>
      </c>
      <c r="H21" s="22"/>
      <c r="I21" s="23" t="str">
        <f t="shared" si="3"/>
        <v/>
      </c>
      <c r="J21" s="22"/>
      <c r="K21" s="23" t="str">
        <f t="shared" si="4"/>
        <v/>
      </c>
      <c r="L21" s="25"/>
      <c r="M21" s="25"/>
      <c r="N21" s="25"/>
      <c r="O21" s="23" t="str">
        <f t="shared" si="5"/>
        <v/>
      </c>
      <c r="P21" s="26" t="str">
        <f t="shared" si="6"/>
        <v/>
      </c>
      <c r="Q21" s="27" t="str">
        <f t="shared" si="7"/>
        <v/>
      </c>
    </row>
    <row r="22" spans="1:17" x14ac:dyDescent="0.25">
      <c r="A22" s="21">
        <v>6</v>
      </c>
      <c r="B22" s="22"/>
      <c r="C22" s="23" t="str">
        <f t="shared" si="0"/>
        <v/>
      </c>
      <c r="D22" s="24"/>
      <c r="E22" s="23" t="str">
        <f t="shared" si="1"/>
        <v/>
      </c>
      <c r="F22" s="22"/>
      <c r="G22" s="23" t="str">
        <f t="shared" si="2"/>
        <v/>
      </c>
      <c r="H22" s="22"/>
      <c r="I22" s="23" t="str">
        <f t="shared" si="3"/>
        <v/>
      </c>
      <c r="J22" s="22"/>
      <c r="K22" s="23" t="str">
        <f t="shared" si="4"/>
        <v/>
      </c>
      <c r="L22" s="25"/>
      <c r="M22" s="25"/>
      <c r="N22" s="25"/>
      <c r="O22" s="23" t="str">
        <f t="shared" si="5"/>
        <v/>
      </c>
      <c r="P22" s="26" t="str">
        <f t="shared" si="6"/>
        <v/>
      </c>
      <c r="Q22" s="27" t="str">
        <f t="shared" si="7"/>
        <v/>
      </c>
    </row>
    <row r="23" spans="1:17" x14ac:dyDescent="0.25">
      <c r="A23" s="21">
        <v>7</v>
      </c>
      <c r="B23" s="22"/>
      <c r="C23" s="23" t="str">
        <f t="shared" si="0"/>
        <v/>
      </c>
      <c r="D23" s="24"/>
      <c r="E23" s="23" t="str">
        <f t="shared" si="1"/>
        <v/>
      </c>
      <c r="F23" s="22"/>
      <c r="G23" s="23" t="str">
        <f t="shared" si="2"/>
        <v/>
      </c>
      <c r="H23" s="22"/>
      <c r="I23" s="23" t="str">
        <f t="shared" si="3"/>
        <v/>
      </c>
      <c r="J23" s="22"/>
      <c r="K23" s="23" t="str">
        <f t="shared" si="4"/>
        <v/>
      </c>
      <c r="L23" s="25"/>
      <c r="M23" s="25"/>
      <c r="N23" s="25"/>
      <c r="O23" s="23" t="str">
        <f t="shared" si="5"/>
        <v/>
      </c>
      <c r="P23" s="26" t="str">
        <f t="shared" si="6"/>
        <v/>
      </c>
      <c r="Q23" s="27" t="str">
        <f t="shared" si="7"/>
        <v/>
      </c>
    </row>
    <row r="24" spans="1:17" x14ac:dyDescent="0.25">
      <c r="A24" s="21">
        <v>8</v>
      </c>
      <c r="B24" s="22"/>
      <c r="C24" s="23" t="str">
        <f t="shared" si="0"/>
        <v/>
      </c>
      <c r="D24" s="24"/>
      <c r="E24" s="23" t="str">
        <f t="shared" si="1"/>
        <v/>
      </c>
      <c r="F24" s="22"/>
      <c r="G24" s="23" t="str">
        <f t="shared" si="2"/>
        <v/>
      </c>
      <c r="H24" s="22"/>
      <c r="I24" s="23" t="str">
        <f t="shared" si="3"/>
        <v/>
      </c>
      <c r="J24" s="22"/>
      <c r="K24" s="23" t="str">
        <f t="shared" si="4"/>
        <v/>
      </c>
      <c r="L24" s="25"/>
      <c r="M24" s="25"/>
      <c r="N24" s="25"/>
      <c r="O24" s="23" t="str">
        <f t="shared" si="5"/>
        <v/>
      </c>
      <c r="P24" s="26" t="str">
        <f t="shared" si="6"/>
        <v/>
      </c>
      <c r="Q24" s="27" t="str">
        <f t="shared" si="7"/>
        <v/>
      </c>
    </row>
    <row r="25" spans="1:17" x14ac:dyDescent="0.25">
      <c r="A25" s="21">
        <v>9</v>
      </c>
      <c r="B25" s="22"/>
      <c r="C25" s="23" t="str">
        <f t="shared" si="0"/>
        <v/>
      </c>
      <c r="D25" s="24"/>
      <c r="E25" s="23" t="str">
        <f t="shared" si="1"/>
        <v/>
      </c>
      <c r="F25" s="22"/>
      <c r="G25" s="23" t="str">
        <f t="shared" si="2"/>
        <v/>
      </c>
      <c r="H25" s="22"/>
      <c r="I25" s="23" t="str">
        <f t="shared" si="3"/>
        <v/>
      </c>
      <c r="J25" s="22"/>
      <c r="K25" s="23" t="str">
        <f t="shared" si="4"/>
        <v/>
      </c>
      <c r="L25" s="25"/>
      <c r="M25" s="25"/>
      <c r="N25" s="25"/>
      <c r="O25" s="23" t="str">
        <f t="shared" si="5"/>
        <v/>
      </c>
      <c r="P25" s="26" t="str">
        <f t="shared" si="6"/>
        <v/>
      </c>
      <c r="Q25" s="27" t="str">
        <f t="shared" si="7"/>
        <v/>
      </c>
    </row>
    <row r="26" spans="1:17" x14ac:dyDescent="0.25">
      <c r="A26" s="21">
        <v>10</v>
      </c>
      <c r="B26" s="22"/>
      <c r="C26" s="23" t="str">
        <f t="shared" si="0"/>
        <v/>
      </c>
      <c r="D26" s="24"/>
      <c r="E26" s="23" t="str">
        <f t="shared" si="1"/>
        <v/>
      </c>
      <c r="F26" s="22"/>
      <c r="G26" s="23" t="str">
        <f t="shared" si="2"/>
        <v/>
      </c>
      <c r="H26" s="22"/>
      <c r="I26" s="23" t="str">
        <f t="shared" si="3"/>
        <v/>
      </c>
      <c r="J26" s="22"/>
      <c r="K26" s="23" t="str">
        <f t="shared" si="4"/>
        <v/>
      </c>
      <c r="L26" s="25"/>
      <c r="M26" s="25"/>
      <c r="N26" s="25"/>
      <c r="O26" s="23" t="str">
        <f t="shared" si="5"/>
        <v/>
      </c>
      <c r="P26" s="26" t="str">
        <f t="shared" si="6"/>
        <v/>
      </c>
      <c r="Q26" s="27" t="str">
        <f t="shared" si="7"/>
        <v/>
      </c>
    </row>
    <row r="27" spans="1:17" x14ac:dyDescent="0.25">
      <c r="A27" s="21">
        <v>11</v>
      </c>
      <c r="B27" s="22"/>
      <c r="C27" s="23" t="str">
        <f t="shared" si="0"/>
        <v/>
      </c>
      <c r="D27" s="24"/>
      <c r="E27" s="23" t="str">
        <f t="shared" si="1"/>
        <v/>
      </c>
      <c r="F27" s="22"/>
      <c r="G27" s="23" t="str">
        <f t="shared" si="2"/>
        <v/>
      </c>
      <c r="H27" s="22"/>
      <c r="I27" s="23" t="str">
        <f t="shared" si="3"/>
        <v/>
      </c>
      <c r="J27" s="22"/>
      <c r="K27" s="23" t="str">
        <f t="shared" si="4"/>
        <v/>
      </c>
      <c r="L27" s="25"/>
      <c r="M27" s="25"/>
      <c r="N27" s="25"/>
      <c r="O27" s="23" t="str">
        <f t="shared" si="5"/>
        <v/>
      </c>
      <c r="P27" s="26" t="str">
        <f t="shared" si="6"/>
        <v/>
      </c>
      <c r="Q27" s="27" t="str">
        <f t="shared" si="7"/>
        <v/>
      </c>
    </row>
    <row r="28" spans="1:17" x14ac:dyDescent="0.25">
      <c r="A28" s="21">
        <v>12</v>
      </c>
      <c r="B28" s="22"/>
      <c r="C28" s="23" t="str">
        <f t="shared" si="0"/>
        <v/>
      </c>
      <c r="D28" s="24"/>
      <c r="E28" s="23" t="str">
        <f t="shared" si="1"/>
        <v/>
      </c>
      <c r="F28" s="22"/>
      <c r="G28" s="23" t="str">
        <f t="shared" si="2"/>
        <v/>
      </c>
      <c r="H28" s="22"/>
      <c r="I28" s="23" t="str">
        <f t="shared" si="3"/>
        <v/>
      </c>
      <c r="J28" s="22"/>
      <c r="K28" s="23" t="str">
        <f t="shared" si="4"/>
        <v/>
      </c>
      <c r="L28" s="25"/>
      <c r="M28" s="25"/>
      <c r="N28" s="25"/>
      <c r="O28" s="23" t="str">
        <f t="shared" si="5"/>
        <v/>
      </c>
      <c r="P28" s="26" t="str">
        <f t="shared" si="6"/>
        <v/>
      </c>
      <c r="Q28" s="27" t="str">
        <f t="shared" si="7"/>
        <v/>
      </c>
    </row>
    <row r="29" spans="1:17" x14ac:dyDescent="0.25">
      <c r="A29" s="21">
        <v>13</v>
      </c>
      <c r="B29" s="22"/>
      <c r="C29" s="23" t="str">
        <f t="shared" si="0"/>
        <v/>
      </c>
      <c r="D29" s="24"/>
      <c r="E29" s="23" t="str">
        <f t="shared" si="1"/>
        <v/>
      </c>
      <c r="F29" s="22"/>
      <c r="G29" s="23" t="str">
        <f t="shared" si="2"/>
        <v/>
      </c>
      <c r="H29" s="22"/>
      <c r="I29" s="23" t="str">
        <f t="shared" si="3"/>
        <v/>
      </c>
      <c r="J29" s="22"/>
      <c r="K29" s="23" t="str">
        <f t="shared" si="4"/>
        <v/>
      </c>
      <c r="L29" s="25"/>
      <c r="M29" s="25"/>
      <c r="N29" s="25"/>
      <c r="O29" s="23" t="str">
        <f t="shared" si="5"/>
        <v/>
      </c>
      <c r="P29" s="26" t="str">
        <f t="shared" si="6"/>
        <v/>
      </c>
      <c r="Q29" s="27" t="str">
        <f t="shared" si="7"/>
        <v/>
      </c>
    </row>
    <row r="30" spans="1:17" x14ac:dyDescent="0.25">
      <c r="A30" s="21">
        <v>14</v>
      </c>
      <c r="B30" s="22"/>
      <c r="C30" s="23" t="str">
        <f t="shared" si="0"/>
        <v/>
      </c>
      <c r="D30" s="24"/>
      <c r="E30" s="23" t="str">
        <f t="shared" si="1"/>
        <v/>
      </c>
      <c r="F30" s="22"/>
      <c r="G30" s="23" t="str">
        <f t="shared" si="2"/>
        <v/>
      </c>
      <c r="H30" s="22"/>
      <c r="I30" s="23" t="str">
        <f t="shared" si="3"/>
        <v/>
      </c>
      <c r="J30" s="22"/>
      <c r="K30" s="23" t="str">
        <f t="shared" si="4"/>
        <v/>
      </c>
      <c r="L30" s="25"/>
      <c r="M30" s="25"/>
      <c r="N30" s="25"/>
      <c r="O30" s="23" t="str">
        <f t="shared" si="5"/>
        <v/>
      </c>
      <c r="P30" s="26" t="str">
        <f t="shared" si="6"/>
        <v/>
      </c>
      <c r="Q30" s="27" t="str">
        <f t="shared" si="7"/>
        <v/>
      </c>
    </row>
    <row r="31" spans="1:17" x14ac:dyDescent="0.25">
      <c r="A31" s="21">
        <v>15</v>
      </c>
      <c r="B31" s="22"/>
      <c r="C31" s="23" t="str">
        <f t="shared" si="0"/>
        <v/>
      </c>
      <c r="D31" s="24"/>
      <c r="E31" s="23" t="str">
        <f t="shared" si="1"/>
        <v/>
      </c>
      <c r="F31" s="22"/>
      <c r="G31" s="23" t="str">
        <f t="shared" si="2"/>
        <v/>
      </c>
      <c r="H31" s="22"/>
      <c r="I31" s="23" t="str">
        <f t="shared" si="3"/>
        <v/>
      </c>
      <c r="J31" s="22"/>
      <c r="K31" s="23" t="str">
        <f t="shared" si="4"/>
        <v/>
      </c>
      <c r="L31" s="25"/>
      <c r="M31" s="25"/>
      <c r="N31" s="25"/>
      <c r="O31" s="23" t="str">
        <f t="shared" si="5"/>
        <v/>
      </c>
      <c r="P31" s="26" t="str">
        <f t="shared" si="6"/>
        <v/>
      </c>
      <c r="Q31" s="27" t="str">
        <f t="shared" si="7"/>
        <v/>
      </c>
    </row>
    <row r="34" spans="1:17" ht="21.95" customHeight="1" x14ac:dyDescent="0.25">
      <c r="A34" s="41" t="s">
        <v>700</v>
      </c>
      <c r="B34" s="42"/>
      <c r="C34" s="42"/>
      <c r="D34" s="42"/>
      <c r="E34" s="42"/>
      <c r="F34" s="42"/>
      <c r="G34" s="42"/>
      <c r="H34" s="42"/>
      <c r="I34" s="42"/>
      <c r="J34" s="42"/>
      <c r="K34" s="42"/>
      <c r="L34" s="42"/>
      <c r="M34" s="42"/>
      <c r="N34" s="42"/>
      <c r="O34" s="42"/>
      <c r="P34" s="42"/>
      <c r="Q34" s="42"/>
    </row>
    <row r="36" spans="1:17" ht="24" customHeight="1" x14ac:dyDescent="0.25">
      <c r="A36" s="44" t="s">
        <v>874</v>
      </c>
      <c r="B36" s="33"/>
      <c r="C36" s="33"/>
      <c r="D36" s="33"/>
      <c r="E36" s="33"/>
      <c r="F36" s="33"/>
      <c r="G36" s="33"/>
      <c r="H36" s="33"/>
      <c r="I36" s="33"/>
      <c r="J36" s="33"/>
      <c r="K36" s="33"/>
      <c r="L36" s="33"/>
      <c r="M36" s="33"/>
      <c r="N36" s="33"/>
      <c r="O36" s="33"/>
      <c r="P36" s="33"/>
      <c r="Q36" s="33"/>
    </row>
    <row r="37" spans="1:17" ht="51" customHeight="1" x14ac:dyDescent="0.25">
      <c r="A37" s="40" t="s">
        <v>702</v>
      </c>
      <c r="B37" s="33"/>
      <c r="C37" s="33"/>
      <c r="D37" s="33"/>
      <c r="E37" s="33"/>
      <c r="F37" s="33"/>
      <c r="G37" s="33"/>
      <c r="H37" s="33"/>
      <c r="I37" s="33"/>
      <c r="J37" s="33"/>
      <c r="K37" s="33"/>
      <c r="L37" s="33"/>
      <c r="M37" s="33"/>
      <c r="N37" s="33"/>
      <c r="O37" s="33"/>
      <c r="P37" s="33"/>
      <c r="Q37" s="33"/>
    </row>
    <row r="39" spans="1:17" ht="18" customHeight="1" x14ac:dyDescent="0.25">
      <c r="A39" s="43" t="s">
        <v>703</v>
      </c>
      <c r="B39" s="33"/>
      <c r="C39" s="33"/>
      <c r="D39" s="33"/>
      <c r="E39" s="33"/>
      <c r="F39" s="33"/>
      <c r="G39" s="33"/>
      <c r="H39" s="33"/>
      <c r="I39" s="33"/>
      <c r="J39" s="33"/>
      <c r="K39" s="33"/>
      <c r="L39" s="33"/>
      <c r="M39" s="33"/>
      <c r="N39" s="33"/>
      <c r="O39" s="33"/>
      <c r="P39" s="33"/>
      <c r="Q39" s="33"/>
    </row>
    <row r="40" spans="1:17" ht="21" customHeight="1" x14ac:dyDescent="0.25">
      <c r="A40" s="40" t="s">
        <v>875</v>
      </c>
      <c r="B40" s="33"/>
      <c r="C40" s="33"/>
      <c r="D40" s="33"/>
      <c r="E40" s="33"/>
      <c r="F40" s="33"/>
      <c r="G40" s="33"/>
      <c r="H40" s="33"/>
      <c r="I40" s="33"/>
      <c r="J40" s="33"/>
      <c r="K40" s="33"/>
      <c r="L40" s="33"/>
      <c r="M40" s="33"/>
      <c r="N40" s="33"/>
      <c r="O40" s="33"/>
      <c r="P40" s="33"/>
      <c r="Q40" s="33"/>
    </row>
    <row r="43" spans="1:17" ht="21.95" customHeight="1" x14ac:dyDescent="0.25">
      <c r="A43" s="41" t="s">
        <v>876</v>
      </c>
      <c r="B43" s="42"/>
      <c r="C43" s="42"/>
      <c r="D43" s="42"/>
      <c r="E43" s="42"/>
      <c r="F43" s="42"/>
      <c r="G43" s="42"/>
      <c r="H43" s="42"/>
      <c r="I43" s="42"/>
      <c r="J43" s="42"/>
      <c r="K43" s="42"/>
      <c r="L43" s="42"/>
      <c r="M43" s="42"/>
      <c r="N43" s="42"/>
      <c r="O43" s="42"/>
      <c r="P43" s="42"/>
      <c r="Q43" s="42"/>
    </row>
    <row r="44" spans="1:17" ht="15.95" customHeight="1" x14ac:dyDescent="0.25">
      <c r="A44" s="39" t="s">
        <v>706</v>
      </c>
      <c r="B44" s="33"/>
      <c r="C44" s="33"/>
      <c r="D44" s="33"/>
      <c r="E44" s="33"/>
      <c r="F44" s="33"/>
      <c r="G44" s="33"/>
      <c r="H44" s="33"/>
      <c r="I44" s="33"/>
      <c r="J44" s="33"/>
      <c r="K44" s="33"/>
      <c r="L44" s="33"/>
      <c r="M44" s="33"/>
      <c r="N44" s="33"/>
      <c r="O44" s="33"/>
      <c r="P44" s="33"/>
      <c r="Q44" s="33"/>
    </row>
    <row r="46" spans="1:17" ht="18" customHeight="1" x14ac:dyDescent="0.25">
      <c r="A46" s="43" t="s">
        <v>877</v>
      </c>
      <c r="B46" s="33"/>
      <c r="C46" s="33"/>
      <c r="D46" s="33"/>
      <c r="E46" s="33"/>
      <c r="F46" s="33"/>
      <c r="G46" s="33"/>
      <c r="H46" s="33"/>
      <c r="I46" s="33"/>
      <c r="J46" s="33"/>
      <c r="K46" s="33"/>
      <c r="L46" s="33"/>
      <c r="M46" s="33"/>
      <c r="N46" s="33"/>
      <c r="O46" s="33"/>
      <c r="P46" s="33"/>
      <c r="Q46" s="33"/>
    </row>
    <row r="47" spans="1:17" ht="21" customHeight="1" x14ac:dyDescent="0.25">
      <c r="A47" s="40" t="s">
        <v>878</v>
      </c>
      <c r="B47" s="33"/>
      <c r="C47" s="33"/>
      <c r="D47" s="33"/>
      <c r="E47" s="33"/>
      <c r="F47" s="33"/>
      <c r="G47" s="33"/>
      <c r="H47" s="33"/>
      <c r="I47" s="33"/>
      <c r="J47" s="33"/>
      <c r="K47" s="33"/>
      <c r="L47" s="33"/>
      <c r="M47" s="33"/>
      <c r="N47" s="33"/>
      <c r="O47" s="33"/>
      <c r="P47" s="33"/>
      <c r="Q47" s="33"/>
    </row>
    <row r="48" spans="1:17" ht="6" customHeight="1" x14ac:dyDescent="0.25"/>
    <row r="49" spans="1:17" ht="18" customHeight="1" x14ac:dyDescent="0.25">
      <c r="A49" s="43" t="s">
        <v>711</v>
      </c>
      <c r="B49" s="33"/>
      <c r="C49" s="33"/>
      <c r="D49" s="33"/>
      <c r="E49" s="33"/>
      <c r="F49" s="33"/>
      <c r="G49" s="33"/>
      <c r="H49" s="33"/>
      <c r="I49" s="33"/>
      <c r="J49" s="33"/>
      <c r="K49" s="33"/>
      <c r="L49" s="33"/>
      <c r="M49" s="33"/>
      <c r="N49" s="33"/>
      <c r="O49" s="33"/>
      <c r="P49" s="33"/>
      <c r="Q49" s="33"/>
    </row>
    <row r="50" spans="1:17" ht="51" customHeight="1" x14ac:dyDescent="0.25">
      <c r="A50" s="40" t="s">
        <v>712</v>
      </c>
      <c r="B50" s="33"/>
      <c r="C50" s="33"/>
      <c r="D50" s="33"/>
      <c r="E50" s="33"/>
      <c r="F50" s="33"/>
      <c r="G50" s="33"/>
      <c r="H50" s="33"/>
      <c r="I50" s="33"/>
      <c r="J50" s="33"/>
      <c r="K50" s="33"/>
      <c r="L50" s="33"/>
      <c r="M50" s="33"/>
      <c r="N50" s="33"/>
      <c r="O50" s="33"/>
      <c r="P50" s="33"/>
      <c r="Q50" s="33"/>
    </row>
    <row r="51" spans="1:17" ht="6" customHeight="1" x14ac:dyDescent="0.25"/>
    <row r="52" spans="1:17" ht="18" customHeight="1" x14ac:dyDescent="0.25">
      <c r="A52" s="43" t="s">
        <v>659</v>
      </c>
      <c r="B52" s="33"/>
      <c r="C52" s="33"/>
      <c r="D52" s="33"/>
      <c r="E52" s="33"/>
      <c r="F52" s="33"/>
      <c r="G52" s="33"/>
      <c r="H52" s="33"/>
      <c r="I52" s="33"/>
      <c r="J52" s="33"/>
      <c r="K52" s="33"/>
      <c r="L52" s="33"/>
      <c r="M52" s="33"/>
      <c r="N52" s="33"/>
      <c r="O52" s="33"/>
      <c r="P52" s="33"/>
      <c r="Q52" s="33"/>
    </row>
    <row r="53" spans="1:17" ht="36" customHeight="1" x14ac:dyDescent="0.25">
      <c r="A53" s="40" t="s">
        <v>713</v>
      </c>
      <c r="B53" s="33"/>
      <c r="C53" s="33"/>
      <c r="D53" s="33"/>
      <c r="E53" s="33"/>
      <c r="F53" s="33"/>
      <c r="G53" s="33"/>
      <c r="H53" s="33"/>
      <c r="I53" s="33"/>
      <c r="J53" s="33"/>
      <c r="K53" s="33"/>
      <c r="L53" s="33"/>
      <c r="M53" s="33"/>
      <c r="N53" s="33"/>
      <c r="O53" s="33"/>
      <c r="P53" s="33"/>
      <c r="Q53" s="33"/>
    </row>
    <row r="54" spans="1:17" ht="6" customHeight="1" x14ac:dyDescent="0.25"/>
    <row r="55" spans="1:17" ht="18" customHeight="1" x14ac:dyDescent="0.25">
      <c r="A55" s="43" t="s">
        <v>62</v>
      </c>
      <c r="B55" s="33"/>
      <c r="C55" s="33"/>
      <c r="D55" s="33"/>
      <c r="E55" s="33"/>
      <c r="F55" s="33"/>
      <c r="G55" s="33"/>
      <c r="H55" s="33"/>
      <c r="I55" s="33"/>
      <c r="J55" s="33"/>
      <c r="K55" s="33"/>
      <c r="L55" s="33"/>
      <c r="M55" s="33"/>
      <c r="N55" s="33"/>
      <c r="O55" s="33"/>
      <c r="P55" s="33"/>
      <c r="Q55" s="33"/>
    </row>
    <row r="56" spans="1:17" ht="36" customHeight="1" x14ac:dyDescent="0.25">
      <c r="A56" s="40" t="s">
        <v>714</v>
      </c>
      <c r="B56" s="33"/>
      <c r="C56" s="33"/>
      <c r="D56" s="33"/>
      <c r="E56" s="33"/>
      <c r="F56" s="33"/>
      <c r="G56" s="33"/>
      <c r="H56" s="33"/>
      <c r="I56" s="33"/>
      <c r="J56" s="33"/>
      <c r="K56" s="33"/>
      <c r="L56" s="33"/>
      <c r="M56" s="33"/>
      <c r="N56" s="33"/>
      <c r="O56" s="33"/>
      <c r="P56" s="33"/>
      <c r="Q56" s="33"/>
    </row>
    <row r="57" spans="1:17" ht="6" customHeight="1" x14ac:dyDescent="0.25"/>
    <row r="60" spans="1:17" ht="21.95" customHeight="1" x14ac:dyDescent="0.25">
      <c r="A60" s="41" t="s">
        <v>715</v>
      </c>
      <c r="B60" s="42"/>
      <c r="C60" s="42"/>
      <c r="D60" s="42"/>
      <c r="E60" s="42"/>
      <c r="F60" s="42"/>
      <c r="G60" s="42"/>
      <c r="H60" s="42"/>
      <c r="I60" s="42"/>
      <c r="J60" s="42"/>
      <c r="K60" s="42"/>
      <c r="L60" s="42"/>
      <c r="M60" s="42"/>
      <c r="N60" s="42"/>
      <c r="O60" s="42"/>
      <c r="P60" s="42"/>
      <c r="Q60" s="42"/>
    </row>
    <row r="62" spans="1:17" ht="18" customHeight="1" x14ac:dyDescent="0.25">
      <c r="A62" s="43" t="s">
        <v>85</v>
      </c>
      <c r="B62" s="33"/>
      <c r="C62" s="33"/>
      <c r="D62" s="33"/>
      <c r="E62" s="33"/>
      <c r="F62" s="33"/>
      <c r="G62" s="33"/>
      <c r="H62" s="33"/>
      <c r="I62" s="33"/>
      <c r="J62" s="33"/>
      <c r="K62" s="33"/>
      <c r="L62" s="33"/>
      <c r="M62" s="33"/>
      <c r="N62" s="33"/>
      <c r="O62" s="33"/>
      <c r="P62" s="33"/>
      <c r="Q62" s="33"/>
    </row>
    <row r="63" spans="1:17" ht="21" customHeight="1" x14ac:dyDescent="0.25">
      <c r="A63" s="40" t="s">
        <v>716</v>
      </c>
      <c r="B63" s="33"/>
      <c r="C63" s="33"/>
      <c r="D63" s="33"/>
      <c r="E63" s="33"/>
      <c r="F63" s="33"/>
      <c r="G63" s="33"/>
      <c r="H63" s="33"/>
      <c r="I63" s="33"/>
      <c r="J63" s="33"/>
      <c r="K63" s="33"/>
      <c r="L63" s="33"/>
      <c r="M63" s="33"/>
      <c r="N63" s="33"/>
      <c r="O63" s="33"/>
      <c r="P63" s="33"/>
      <c r="Q63" s="33"/>
    </row>
    <row r="64" spans="1:17" ht="6" customHeight="1" x14ac:dyDescent="0.25"/>
    <row r="65" spans="1:17" ht="18" customHeight="1" x14ac:dyDescent="0.25">
      <c r="A65" s="43" t="s">
        <v>97</v>
      </c>
      <c r="B65" s="33"/>
      <c r="C65" s="33"/>
      <c r="D65" s="33"/>
      <c r="E65" s="33"/>
      <c r="F65" s="33"/>
      <c r="G65" s="33"/>
      <c r="H65" s="33"/>
      <c r="I65" s="33"/>
      <c r="J65" s="33"/>
      <c r="K65" s="33"/>
      <c r="L65" s="33"/>
      <c r="M65" s="33"/>
      <c r="N65" s="33"/>
      <c r="O65" s="33"/>
      <c r="P65" s="33"/>
      <c r="Q65" s="33"/>
    </row>
    <row r="66" spans="1:17" ht="36" customHeight="1" x14ac:dyDescent="0.25">
      <c r="A66" s="40" t="s">
        <v>717</v>
      </c>
      <c r="B66" s="33"/>
      <c r="C66" s="33"/>
      <c r="D66" s="33"/>
      <c r="E66" s="33"/>
      <c r="F66" s="33"/>
      <c r="G66" s="33"/>
      <c r="H66" s="33"/>
      <c r="I66" s="33"/>
      <c r="J66" s="33"/>
      <c r="K66" s="33"/>
      <c r="L66" s="33"/>
      <c r="M66" s="33"/>
      <c r="N66" s="33"/>
      <c r="O66" s="33"/>
      <c r="P66" s="33"/>
      <c r="Q66" s="33"/>
    </row>
    <row r="67" spans="1:17" ht="6" customHeight="1" x14ac:dyDescent="0.25"/>
    <row r="68" spans="1:17" ht="18" customHeight="1" x14ac:dyDescent="0.25">
      <c r="A68" s="43" t="s">
        <v>657</v>
      </c>
      <c r="B68" s="33"/>
      <c r="C68" s="33"/>
      <c r="D68" s="33"/>
      <c r="E68" s="33"/>
      <c r="F68" s="33"/>
      <c r="G68" s="33"/>
      <c r="H68" s="33"/>
      <c r="I68" s="33"/>
      <c r="J68" s="33"/>
      <c r="K68" s="33"/>
      <c r="L68" s="33"/>
      <c r="M68" s="33"/>
      <c r="N68" s="33"/>
      <c r="O68" s="33"/>
      <c r="P68" s="33"/>
      <c r="Q68" s="33"/>
    </row>
    <row r="69" spans="1:17" ht="21" customHeight="1" x14ac:dyDescent="0.25">
      <c r="A69" s="40" t="s">
        <v>718</v>
      </c>
      <c r="B69" s="33"/>
      <c r="C69" s="33"/>
      <c r="D69" s="33"/>
      <c r="E69" s="33"/>
      <c r="F69" s="33"/>
      <c r="G69" s="33"/>
      <c r="H69" s="33"/>
      <c r="I69" s="33"/>
      <c r="J69" s="33"/>
      <c r="K69" s="33"/>
      <c r="L69" s="33"/>
      <c r="M69" s="33"/>
      <c r="N69" s="33"/>
      <c r="O69" s="33"/>
      <c r="P69" s="33"/>
      <c r="Q69" s="33"/>
    </row>
    <row r="70" spans="1:17" ht="6" customHeight="1" x14ac:dyDescent="0.25"/>
    <row r="71" spans="1:17" ht="18" customHeight="1" x14ac:dyDescent="0.25">
      <c r="A71" s="43" t="s">
        <v>659</v>
      </c>
      <c r="B71" s="33"/>
      <c r="C71" s="33"/>
      <c r="D71" s="33"/>
      <c r="E71" s="33"/>
      <c r="F71" s="33"/>
      <c r="G71" s="33"/>
      <c r="H71" s="33"/>
      <c r="I71" s="33"/>
      <c r="J71" s="33"/>
      <c r="K71" s="33"/>
      <c r="L71" s="33"/>
      <c r="M71" s="33"/>
      <c r="N71" s="33"/>
      <c r="O71" s="33"/>
      <c r="P71" s="33"/>
      <c r="Q71" s="33"/>
    </row>
    <row r="72" spans="1:17" ht="36" customHeight="1" x14ac:dyDescent="0.25">
      <c r="A72" s="40" t="s">
        <v>879</v>
      </c>
      <c r="B72" s="33"/>
      <c r="C72" s="33"/>
      <c r="D72" s="33"/>
      <c r="E72" s="33"/>
      <c r="F72" s="33"/>
      <c r="G72" s="33"/>
      <c r="H72" s="33"/>
      <c r="I72" s="33"/>
      <c r="J72" s="33"/>
      <c r="K72" s="33"/>
      <c r="L72" s="33"/>
      <c r="M72" s="33"/>
      <c r="N72" s="33"/>
      <c r="O72" s="33"/>
      <c r="P72" s="33"/>
      <c r="Q72" s="33"/>
    </row>
    <row r="73" spans="1:17" ht="6" customHeight="1" x14ac:dyDescent="0.25"/>
    <row r="74" spans="1:17" ht="18" customHeight="1" x14ac:dyDescent="0.25">
      <c r="A74" s="43" t="s">
        <v>661</v>
      </c>
      <c r="B74" s="33"/>
      <c r="C74" s="33"/>
      <c r="D74" s="33"/>
      <c r="E74" s="33"/>
      <c r="F74" s="33"/>
      <c r="G74" s="33"/>
      <c r="H74" s="33"/>
      <c r="I74" s="33"/>
      <c r="J74" s="33"/>
      <c r="K74" s="33"/>
      <c r="L74" s="33"/>
      <c r="M74" s="33"/>
      <c r="N74" s="33"/>
      <c r="O74" s="33"/>
      <c r="P74" s="33"/>
      <c r="Q74" s="33"/>
    </row>
    <row r="75" spans="1:17" ht="21" customHeight="1" x14ac:dyDescent="0.25">
      <c r="A75" s="40" t="s">
        <v>880</v>
      </c>
      <c r="B75" s="33"/>
      <c r="C75" s="33"/>
      <c r="D75" s="33"/>
      <c r="E75" s="33"/>
      <c r="F75" s="33"/>
      <c r="G75" s="33"/>
      <c r="H75" s="33"/>
      <c r="I75" s="33"/>
      <c r="J75" s="33"/>
      <c r="K75" s="33"/>
      <c r="L75" s="33"/>
      <c r="M75" s="33"/>
      <c r="N75" s="33"/>
      <c r="O75" s="33"/>
      <c r="P75" s="33"/>
      <c r="Q75" s="33"/>
    </row>
    <row r="76" spans="1:17" ht="6" customHeight="1" x14ac:dyDescent="0.25"/>
    <row r="77" spans="1:17" ht="18" customHeight="1" x14ac:dyDescent="0.25">
      <c r="A77" s="43" t="s">
        <v>668</v>
      </c>
      <c r="B77" s="33"/>
      <c r="C77" s="33"/>
      <c r="D77" s="33"/>
      <c r="E77" s="33"/>
      <c r="F77" s="33"/>
      <c r="G77" s="33"/>
      <c r="H77" s="33"/>
      <c r="I77" s="33"/>
      <c r="J77" s="33"/>
      <c r="K77" s="33"/>
      <c r="L77" s="33"/>
      <c r="M77" s="33"/>
      <c r="N77" s="33"/>
      <c r="O77" s="33"/>
      <c r="P77" s="33"/>
      <c r="Q77" s="33"/>
    </row>
    <row r="78" spans="1:17" ht="21" customHeight="1" x14ac:dyDescent="0.25">
      <c r="A78" s="40" t="s">
        <v>725</v>
      </c>
      <c r="B78" s="33"/>
      <c r="C78" s="33"/>
      <c r="D78" s="33"/>
      <c r="E78" s="33"/>
      <c r="F78" s="33"/>
      <c r="G78" s="33"/>
      <c r="H78" s="33"/>
      <c r="I78" s="33"/>
      <c r="J78" s="33"/>
      <c r="K78" s="33"/>
      <c r="L78" s="33"/>
      <c r="M78" s="33"/>
      <c r="N78" s="33"/>
      <c r="O78" s="33"/>
      <c r="P78" s="33"/>
      <c r="Q78" s="33"/>
    </row>
    <row r="79" spans="1:17" ht="6" customHeight="1" x14ac:dyDescent="0.25"/>
    <row r="80" spans="1:17" ht="18" customHeight="1" x14ac:dyDescent="0.25">
      <c r="A80" s="43" t="s">
        <v>669</v>
      </c>
      <c r="B80" s="33"/>
      <c r="C80" s="33"/>
      <c r="D80" s="33"/>
      <c r="E80" s="33"/>
      <c r="F80" s="33"/>
      <c r="G80" s="33"/>
      <c r="H80" s="33"/>
      <c r="I80" s="33"/>
      <c r="J80" s="33"/>
      <c r="K80" s="33"/>
      <c r="L80" s="33"/>
      <c r="M80" s="33"/>
      <c r="N80" s="33"/>
      <c r="O80" s="33"/>
      <c r="P80" s="33"/>
      <c r="Q80" s="33"/>
    </row>
    <row r="81" spans="1:17" ht="36" customHeight="1" x14ac:dyDescent="0.25">
      <c r="A81" s="40" t="s">
        <v>726</v>
      </c>
      <c r="B81" s="33"/>
      <c r="C81" s="33"/>
      <c r="D81" s="33"/>
      <c r="E81" s="33"/>
      <c r="F81" s="33"/>
      <c r="G81" s="33"/>
      <c r="H81" s="33"/>
      <c r="I81" s="33"/>
      <c r="J81" s="33"/>
      <c r="K81" s="33"/>
      <c r="L81" s="33"/>
      <c r="M81" s="33"/>
      <c r="N81" s="33"/>
      <c r="O81" s="33"/>
      <c r="P81" s="33"/>
      <c r="Q81" s="33"/>
    </row>
    <row r="82" spans="1:17" ht="6" customHeight="1" x14ac:dyDescent="0.25"/>
    <row r="83" spans="1:17" ht="18" customHeight="1" x14ac:dyDescent="0.25">
      <c r="A83" s="43" t="s">
        <v>670</v>
      </c>
      <c r="B83" s="33"/>
      <c r="C83" s="33"/>
      <c r="D83" s="33"/>
      <c r="E83" s="33"/>
      <c r="F83" s="33"/>
      <c r="G83" s="33"/>
      <c r="H83" s="33"/>
      <c r="I83" s="33"/>
      <c r="J83" s="33"/>
      <c r="K83" s="33"/>
      <c r="L83" s="33"/>
      <c r="M83" s="33"/>
      <c r="N83" s="33"/>
      <c r="O83" s="33"/>
      <c r="P83" s="33"/>
      <c r="Q83" s="33"/>
    </row>
    <row r="84" spans="1:17" ht="36" customHeight="1" x14ac:dyDescent="0.25">
      <c r="A84" s="40" t="s">
        <v>727</v>
      </c>
      <c r="B84" s="33"/>
      <c r="C84" s="33"/>
      <c r="D84" s="33"/>
      <c r="E84" s="33"/>
      <c r="F84" s="33"/>
      <c r="G84" s="33"/>
      <c r="H84" s="33"/>
      <c r="I84" s="33"/>
      <c r="J84" s="33"/>
      <c r="K84" s="33"/>
      <c r="L84" s="33"/>
      <c r="M84" s="33"/>
      <c r="N84" s="33"/>
      <c r="O84" s="33"/>
      <c r="P84" s="33"/>
      <c r="Q84" s="33"/>
    </row>
    <row r="85" spans="1:17" ht="6" customHeight="1" x14ac:dyDescent="0.25"/>
    <row r="88" spans="1:17" x14ac:dyDescent="0.25">
      <c r="A88" s="39" t="s">
        <v>728</v>
      </c>
      <c r="B88" s="33"/>
      <c r="C88" s="33"/>
      <c r="D88" s="33"/>
      <c r="E88" s="33"/>
      <c r="F88" s="33"/>
      <c r="G88" s="33"/>
      <c r="H88" s="33"/>
      <c r="I88" s="33"/>
      <c r="J88" s="33"/>
      <c r="K88" s="33"/>
      <c r="L88" s="33"/>
      <c r="M88" s="33"/>
      <c r="N88" s="33"/>
      <c r="O88" s="33"/>
      <c r="P88" s="33"/>
      <c r="Q88" s="33"/>
    </row>
  </sheetData>
  <mergeCells count="33">
    <mergeCell ref="A44:Q44"/>
    <mergeCell ref="A40:Q40"/>
    <mergeCell ref="A39:Q39"/>
    <mergeCell ref="A34:Q34"/>
    <mergeCell ref="A77:Q77"/>
    <mergeCell ref="A55:Q55"/>
    <mergeCell ref="A50:Q50"/>
    <mergeCell ref="A71:Q71"/>
    <mergeCell ref="A47:Q47"/>
    <mergeCell ref="A53:Q53"/>
    <mergeCell ref="A62:Q62"/>
    <mergeCell ref="A43:Q43"/>
    <mergeCell ref="A83:Q83"/>
    <mergeCell ref="A60:Q60"/>
    <mergeCell ref="A49:Q49"/>
    <mergeCell ref="A36:Q36"/>
    <mergeCell ref="A88:Q88"/>
    <mergeCell ref="A69:Q69"/>
    <mergeCell ref="A65:Q65"/>
    <mergeCell ref="A78:Q78"/>
    <mergeCell ref="A66:Q66"/>
    <mergeCell ref="A80:Q80"/>
    <mergeCell ref="A37:Q37"/>
    <mergeCell ref="A46:Q46"/>
    <mergeCell ref="A75:Q75"/>
    <mergeCell ref="A84:Q84"/>
    <mergeCell ref="A74:Q74"/>
    <mergeCell ref="A56:Q56"/>
    <mergeCell ref="A81:Q81"/>
    <mergeCell ref="A72:Q72"/>
    <mergeCell ref="A52:Q52"/>
    <mergeCell ref="A68:Q68"/>
    <mergeCell ref="A63:Q63"/>
  </mergeCells>
  <dataValidations count="8">
    <dataValidation type="list" allowBlank="1" errorTitle="Valore non valido" error="Selezionare dalla lista." promptTitle="Author" prompt="Autore della codifica." sqref="B6:B31" xr:uid="{00000000-0002-0000-0E00-000000000000}">
      <formula1>Author_Name</formula1>
    </dataValidation>
    <dataValidation type="list" allowBlank="1" errorTitle="Valore non valido" error="Selezionare dalla lista, oppure lasciare vuoto." promptTitle="In Place" sqref="D6:D31" xr:uid="{00000000-0002-0000-0E00-000001000000}">
      <formula1>InPl_Name</formula1>
    </dataValidation>
    <dataValidation type="list" allowBlank="1" errorTitle="Valore non valido" error="Selezionare dalla lista." promptTitle="Categoria" prompt="Categoria Revit della famiglia." sqref="F6:F31" xr:uid="{00000000-0002-0000-0E00-000002000000}">
      <formula1>PL_Cat_Name</formula1>
    </dataValidation>
    <dataValidation type="list" allowBlank="1" errorTitle="Valore non valido" error="Selezionare dalla lista." promptTitle="Group1 — tipo di pianta" prompt="Tipo di pianta. Component e Symbol chiudono la lista: quando la famiglia è un componente nidificato o un simbolo, quel valore prende il posto della classificazione funzionale, e il Group2 diventa OT." sqref="H6:H31" xr:uid="{00000000-0002-0000-0E00-000003000000}">
      <formula1>PL_G1_Name</formula1>
    </dataValidation>
    <dataValidation type="list" allowBlank="1" errorTitle="Valore non valido" error="Selezionare dalla lista." promptTitle="Group2 — contesto" prompt="Contesto di impianto." sqref="J6:J31" xr:uid="{00000000-0002-0000-0E00-000004000000}">
      <formula1>PL_G2_Name</formula1>
    </dataValidation>
    <dataValidation type="custom" allowBlank="1" errorTitle="Non valido" error="Massimo 24 caratteri, senza spazi." promptTitle="Manufacturer" prompt="Facoltativo. Azienda produttrice. Campo libero: senza spazi, iniziali maiuscole. Non compatibile con Group1 = Custom." sqref="L6:L31" xr:uid="{00000000-0002-0000-0E00-000005000000}">
      <formula1>AND(LEN($L6)&lt;=24,ISERROR(FIND(" ",$L6)))</formula1>
    </dataValidation>
    <dataValidation type="custom" allowBlank="1" errorTitle="Non valido" error="Massimo 24 caratteri, senza spazi." promptTitle="Brand" sqref="M6:M31" xr:uid="{00000000-0002-0000-0E00-000006000000}">
      <formula1>AND(LEN($M6)&lt;=24,ISERROR(FIND(" ",$M6)))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N6:N31" xr:uid="{00000000-0002-0000-0E00-000007000000}">
      <formula1>40</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86"/>
  <sheetViews>
    <sheetView showGridLines="0" workbookViewId="0">
      <pane ySplit="5" topLeftCell="A6" activePane="bottomLeft" state="frozen"/>
      <selection pane="bottomLeft" activeCell="Q19" sqref="Q19"/>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15" customWidth="1"/>
    <col min="13" max="13" width="13" customWidth="1"/>
    <col min="14" max="14" width="20" customWidth="1"/>
    <col min="15" max="15" width="12" customWidth="1"/>
    <col min="16" max="16" width="36" customWidth="1"/>
    <col min="17" max="17" width="24" customWidth="1"/>
  </cols>
  <sheetData>
    <row r="1" spans="1:17" ht="19.5" x14ac:dyDescent="0.3">
      <c r="A1" s="6" t="s">
        <v>881</v>
      </c>
    </row>
    <row r="2" spans="1:17" x14ac:dyDescent="0.25">
      <c r="A2" s="7" t="s">
        <v>652</v>
      </c>
    </row>
    <row r="3" spans="1:17" x14ac:dyDescent="0.25">
      <c r="A3" s="8" t="s">
        <v>745</v>
      </c>
    </row>
    <row r="4" spans="1:17" ht="17.100000000000001" customHeight="1" x14ac:dyDescent="0.25">
      <c r="A4" s="9" t="s">
        <v>771</v>
      </c>
      <c r="B4" s="10"/>
      <c r="C4" s="10"/>
      <c r="D4" s="10"/>
      <c r="E4" s="10"/>
      <c r="F4" s="10"/>
      <c r="G4" s="10"/>
      <c r="H4" s="10"/>
      <c r="I4" s="10"/>
      <c r="J4" s="10"/>
      <c r="K4" s="10"/>
      <c r="L4" s="10"/>
      <c r="M4" s="10"/>
      <c r="N4" s="10"/>
      <c r="O4" s="10"/>
      <c r="P4" s="10"/>
      <c r="Q4" s="10"/>
    </row>
    <row r="5" spans="1:17" ht="30" customHeight="1" x14ac:dyDescent="0.25">
      <c r="A5" s="11" t="s">
        <v>655</v>
      </c>
      <c r="B5" s="11" t="s">
        <v>85</v>
      </c>
      <c r="C5" s="11" t="s">
        <v>656</v>
      </c>
      <c r="D5" s="12" t="s">
        <v>97</v>
      </c>
      <c r="E5" s="11" t="s">
        <v>96</v>
      </c>
      <c r="F5" s="11" t="s">
        <v>657</v>
      </c>
      <c r="G5" s="11" t="s">
        <v>658</v>
      </c>
      <c r="H5" s="11" t="s">
        <v>659</v>
      </c>
      <c r="I5" s="11" t="s">
        <v>660</v>
      </c>
      <c r="J5" s="11" t="s">
        <v>661</v>
      </c>
      <c r="K5" s="11" t="s">
        <v>662</v>
      </c>
      <c r="L5" s="12" t="s">
        <v>668</v>
      </c>
      <c r="M5" s="12" t="s">
        <v>669</v>
      </c>
      <c r="N5" s="12" t="s">
        <v>670</v>
      </c>
      <c r="O5" s="11" t="s">
        <v>671</v>
      </c>
      <c r="P5" s="11" t="s">
        <v>672</v>
      </c>
      <c r="Q5" s="11" t="s">
        <v>673</v>
      </c>
    </row>
    <row r="6" spans="1:17" x14ac:dyDescent="0.25">
      <c r="A6" s="13" t="s">
        <v>675</v>
      </c>
      <c r="B6" s="14" t="s">
        <v>92</v>
      </c>
      <c r="C6" s="15" t="str">
        <f t="shared" ref="C6:C29" si="0">IFERROR(INDEX(Author_Code,MATCH($B6,Author_Name,0)),"")</f>
        <v>e</v>
      </c>
      <c r="D6" s="16"/>
      <c r="E6" s="15" t="str">
        <f t="shared" ref="E6:E29" si="1">IFERROR(INDEX(InPl_Code,MATCH($D6,InPl_Name,0)),"")</f>
        <v/>
      </c>
      <c r="F6" s="14" t="s">
        <v>606</v>
      </c>
      <c r="G6" s="15" t="str">
        <f t="shared" ref="G6:G29" si="2">IFERROR(INDEX(GM_Cat_Code,MATCH($F6,GM_Cat_Name,0)),"")</f>
        <v>GM</v>
      </c>
      <c r="H6" s="14" t="s">
        <v>99</v>
      </c>
      <c r="I6" s="15" t="str">
        <f t="shared" ref="I6:I29" si="3">IFERROR(INDEX(PR_G1_Code,MATCH($H6,PR_G1_Name,0)),"")</f>
        <v>CT</v>
      </c>
      <c r="J6" s="14" t="s">
        <v>608</v>
      </c>
      <c r="K6" s="15" t="str">
        <f t="shared" ref="K6:K29" si="4">IFERROR(INDEX(GM_G2_Code,MATCH($J6,GM_G2_Name,0)),"")</f>
        <v>AR</v>
      </c>
      <c r="L6" s="17"/>
      <c r="M6" s="17"/>
      <c r="N6" s="17" t="s">
        <v>882</v>
      </c>
      <c r="O6" s="15" t="str">
        <f t="shared" ref="O6:O29" si="5">$G6&amp;IF($I6&lt;&gt;"","."&amp;$I6,"")&amp;IF($K6&lt;&gt;"","."&amp;$K6,"")</f>
        <v>GM.CT.AR</v>
      </c>
      <c r="P6" s="18" t="str">
        <f t="shared" ref="P6:P29" si="6">IF(AND($F6&lt;&gt;"",$H6&lt;&gt;"",$J6&lt;&gt;""),$C6&amp;"_"&amp;$E6&amp;$O6&amp;IF($L6&lt;&gt;"","_"&amp;$L6,"")&amp;IF($M6&lt;&gt;"","_"&amp;$M6,"")&amp;IF($N6&lt;&gt;"","_"&amp;$N6,""),"")</f>
        <v>e_GM.CT.AR_SkylightWell</v>
      </c>
      <c r="Q6" s="19" t="str">
        <f>IFERROR(IF(OR($G6="",$J6=""),"",$K6&amp;"xx"&amp;"_{W}x{D}x{H}"),"")</f>
        <v>ARxx_{W}x{D}x{H}</v>
      </c>
    </row>
    <row r="7" spans="1:17" x14ac:dyDescent="0.25">
      <c r="A7" s="13" t="s">
        <v>676</v>
      </c>
      <c r="B7" s="14" t="s">
        <v>92</v>
      </c>
      <c r="C7" s="15" t="str">
        <f t="shared" si="0"/>
        <v>e</v>
      </c>
      <c r="D7" s="16"/>
      <c r="E7" s="15" t="str">
        <f t="shared" si="1"/>
        <v/>
      </c>
      <c r="F7" s="14" t="s">
        <v>606</v>
      </c>
      <c r="G7" s="15" t="str">
        <f t="shared" si="2"/>
        <v>GM</v>
      </c>
      <c r="H7" s="14" t="s">
        <v>103</v>
      </c>
      <c r="I7" s="15" t="str">
        <f t="shared" si="3"/>
        <v>CM</v>
      </c>
      <c r="J7" s="14" t="s">
        <v>619</v>
      </c>
      <c r="K7" s="15" t="str">
        <f t="shared" si="4"/>
        <v/>
      </c>
      <c r="L7" s="17"/>
      <c r="M7" s="17"/>
      <c r="N7" s="17"/>
      <c r="O7" s="15" t="str">
        <f t="shared" si="5"/>
        <v>GM.CM</v>
      </c>
      <c r="P7" s="18" t="str">
        <f t="shared" si="6"/>
        <v>e_GM.CM</v>
      </c>
      <c r="Q7" s="19" t="str">
        <f t="shared" ref="Q7:Q29" si="7">IFERROR(IF(OR($G7="",$J7=""),"",$K7&amp;"xx"&amp;"_{W}x{D}x{H}"),"")</f>
        <v>xx_{W}x{D}x{H}</v>
      </c>
    </row>
    <row r="8" spans="1:17" x14ac:dyDescent="0.25">
      <c r="A8" s="13" t="s">
        <v>677</v>
      </c>
      <c r="B8" s="14" t="s">
        <v>92</v>
      </c>
      <c r="C8" s="15" t="str">
        <f t="shared" si="0"/>
        <v>e</v>
      </c>
      <c r="D8" s="16"/>
      <c r="E8" s="15" t="str">
        <f t="shared" si="1"/>
        <v/>
      </c>
      <c r="F8" s="14" t="s">
        <v>606</v>
      </c>
      <c r="G8" s="15" t="str">
        <f t="shared" si="2"/>
        <v>GM</v>
      </c>
      <c r="H8" s="14" t="s">
        <v>99</v>
      </c>
      <c r="I8" s="15" t="str">
        <f t="shared" si="3"/>
        <v>CT</v>
      </c>
      <c r="J8" s="14" t="s">
        <v>610</v>
      </c>
      <c r="K8" s="15" t="str">
        <f t="shared" si="4"/>
        <v>ST</v>
      </c>
      <c r="L8" s="17"/>
      <c r="M8" s="17"/>
      <c r="N8" s="17"/>
      <c r="O8" s="15" t="str">
        <f t="shared" si="5"/>
        <v>GM.CT.ST</v>
      </c>
      <c r="P8" s="18" t="str">
        <f t="shared" si="6"/>
        <v>e_GM.CT.ST</v>
      </c>
      <c r="Q8" s="19" t="str">
        <f t="shared" si="7"/>
        <v>STxx_{W}x{D}x{H}</v>
      </c>
    </row>
    <row r="9" spans="1:17" x14ac:dyDescent="0.25">
      <c r="A9" s="13" t="s">
        <v>679</v>
      </c>
      <c r="B9" s="14" t="s">
        <v>92</v>
      </c>
      <c r="C9" s="15" t="str">
        <f t="shared" si="0"/>
        <v>e</v>
      </c>
      <c r="D9" s="16"/>
      <c r="E9" s="15" t="str">
        <f t="shared" si="1"/>
        <v/>
      </c>
      <c r="F9" s="14" t="s">
        <v>606</v>
      </c>
      <c r="G9" s="15" t="str">
        <f t="shared" si="2"/>
        <v>GM</v>
      </c>
      <c r="H9" s="14" t="s">
        <v>99</v>
      </c>
      <c r="I9" s="15" t="str">
        <f t="shared" si="3"/>
        <v>CT</v>
      </c>
      <c r="J9" s="14" t="s">
        <v>608</v>
      </c>
      <c r="K9" s="15" t="str">
        <f t="shared" si="4"/>
        <v>AR</v>
      </c>
      <c r="L9" s="17"/>
      <c r="M9" s="17"/>
      <c r="N9" s="17"/>
      <c r="O9" s="15" t="str">
        <f t="shared" si="5"/>
        <v>GM.CT.AR</v>
      </c>
      <c r="P9" s="18" t="str">
        <f t="shared" si="6"/>
        <v>e_GM.CT.AR</v>
      </c>
      <c r="Q9" s="19" t="str">
        <f t="shared" si="7"/>
        <v>ARxx_{W}x{D}x{H}</v>
      </c>
    </row>
    <row r="10" spans="1:17" x14ac:dyDescent="0.25">
      <c r="A10" s="13" t="s">
        <v>680</v>
      </c>
      <c r="B10" s="14" t="s">
        <v>92</v>
      </c>
      <c r="C10" s="15" t="str">
        <f t="shared" si="0"/>
        <v>e</v>
      </c>
      <c r="D10" s="16"/>
      <c r="E10" s="15" t="str">
        <f t="shared" si="1"/>
        <v/>
      </c>
      <c r="F10" s="14" t="s">
        <v>606</v>
      </c>
      <c r="G10" s="15" t="str">
        <f t="shared" si="2"/>
        <v>GM</v>
      </c>
      <c r="H10" s="14" t="s">
        <v>94</v>
      </c>
      <c r="I10" s="15" t="str">
        <f t="shared" si="3"/>
        <v>CO</v>
      </c>
      <c r="J10" s="14" t="s">
        <v>613</v>
      </c>
      <c r="K10" s="15" t="str">
        <f t="shared" si="4"/>
        <v>MP</v>
      </c>
      <c r="L10" s="17"/>
      <c r="M10" s="17"/>
      <c r="N10" s="17"/>
      <c r="O10" s="15" t="str">
        <f t="shared" si="5"/>
        <v>GM.CO.MP</v>
      </c>
      <c r="P10" s="18" t="str">
        <f t="shared" si="6"/>
        <v>e_GM.CO.MP</v>
      </c>
      <c r="Q10" s="19" t="str">
        <f t="shared" si="7"/>
        <v>MPxx_{W}x{D}x{H}</v>
      </c>
    </row>
    <row r="11" spans="1:17" x14ac:dyDescent="0.25">
      <c r="A11" s="13" t="s">
        <v>682</v>
      </c>
      <c r="B11" s="14" t="s">
        <v>92</v>
      </c>
      <c r="C11" s="15" t="str">
        <f t="shared" si="0"/>
        <v>e</v>
      </c>
      <c r="D11" s="16"/>
      <c r="E11" s="15" t="str">
        <f t="shared" si="1"/>
        <v/>
      </c>
      <c r="F11" s="14" t="s">
        <v>606</v>
      </c>
      <c r="G11" s="15" t="str">
        <f t="shared" si="2"/>
        <v>GM</v>
      </c>
      <c r="H11" s="14" t="s">
        <v>103</v>
      </c>
      <c r="I11" s="15" t="str">
        <f t="shared" si="3"/>
        <v>CM</v>
      </c>
      <c r="J11" s="14" t="s">
        <v>617</v>
      </c>
      <c r="K11" s="15" t="str">
        <f t="shared" si="4"/>
        <v>DT</v>
      </c>
      <c r="L11" s="17"/>
      <c r="M11" s="17"/>
      <c r="N11" s="17"/>
      <c r="O11" s="15" t="str">
        <f t="shared" si="5"/>
        <v>GM.CM.DT</v>
      </c>
      <c r="P11" s="18" t="str">
        <f t="shared" si="6"/>
        <v>e_GM.CM.DT</v>
      </c>
      <c r="Q11" s="19" t="str">
        <f t="shared" si="7"/>
        <v>DTxx_{W}x{D}x{H}</v>
      </c>
    </row>
    <row r="12" spans="1:17" x14ac:dyDescent="0.25">
      <c r="A12" s="13" t="s">
        <v>685</v>
      </c>
      <c r="B12" s="14" t="s">
        <v>92</v>
      </c>
      <c r="C12" s="15" t="str">
        <f t="shared" si="0"/>
        <v>e</v>
      </c>
      <c r="D12" s="16"/>
      <c r="E12" s="15" t="str">
        <f t="shared" si="1"/>
        <v/>
      </c>
      <c r="F12" s="14" t="s">
        <v>606</v>
      </c>
      <c r="G12" s="15" t="str">
        <f t="shared" si="2"/>
        <v>GM</v>
      </c>
      <c r="H12" s="14" t="s">
        <v>99</v>
      </c>
      <c r="I12" s="15" t="str">
        <f t="shared" si="3"/>
        <v>CT</v>
      </c>
      <c r="J12" s="14" t="s">
        <v>472</v>
      </c>
      <c r="K12" s="15" t="str">
        <f t="shared" si="4"/>
        <v>SI</v>
      </c>
      <c r="L12" s="17"/>
      <c r="M12" s="17"/>
      <c r="N12" s="17"/>
      <c r="O12" s="15" t="str">
        <f t="shared" si="5"/>
        <v>GM.CT.SI</v>
      </c>
      <c r="P12" s="18" t="str">
        <f t="shared" si="6"/>
        <v>e_GM.CT.SI</v>
      </c>
      <c r="Q12" s="19" t="str">
        <f t="shared" si="7"/>
        <v>SIxx_{W}x{D}x{H}</v>
      </c>
    </row>
    <row r="13" spans="1:17" x14ac:dyDescent="0.25">
      <c r="A13" s="13" t="s">
        <v>687</v>
      </c>
      <c r="B13" s="14" t="s">
        <v>92</v>
      </c>
      <c r="C13" s="15" t="str">
        <f t="shared" si="0"/>
        <v>e</v>
      </c>
      <c r="D13" s="16"/>
      <c r="E13" s="15" t="str">
        <f t="shared" si="1"/>
        <v/>
      </c>
      <c r="F13" s="14" t="s">
        <v>606</v>
      </c>
      <c r="G13" s="15" t="str">
        <f t="shared" si="2"/>
        <v>GM</v>
      </c>
      <c r="H13" s="14" t="s">
        <v>108</v>
      </c>
      <c r="I13" s="15" t="str">
        <f t="shared" si="3"/>
        <v>SY</v>
      </c>
      <c r="J13" s="14" t="s">
        <v>608</v>
      </c>
      <c r="K13" s="15" t="str">
        <f t="shared" si="4"/>
        <v>AR</v>
      </c>
      <c r="L13" s="17"/>
      <c r="M13" s="17"/>
      <c r="N13" s="17"/>
      <c r="O13" s="15" t="str">
        <f t="shared" si="5"/>
        <v>GM.SY.AR</v>
      </c>
      <c r="P13" s="18" t="str">
        <f t="shared" si="6"/>
        <v>e_GM.SY.AR</v>
      </c>
      <c r="Q13" s="19" t="str">
        <f t="shared" si="7"/>
        <v>ARxx_{W}x{D}x{H}</v>
      </c>
    </row>
    <row r="14" spans="1:17" x14ac:dyDescent="0.25">
      <c r="A14" s="13" t="s">
        <v>689</v>
      </c>
      <c r="B14" s="14" t="s">
        <v>92</v>
      </c>
      <c r="C14" s="15" t="str">
        <f t="shared" si="0"/>
        <v>e</v>
      </c>
      <c r="D14" s="16" t="s">
        <v>97</v>
      </c>
      <c r="E14" s="15" t="str">
        <f t="shared" si="1"/>
        <v>(I)</v>
      </c>
      <c r="F14" s="14" t="s">
        <v>606</v>
      </c>
      <c r="G14" s="15" t="str">
        <f t="shared" si="2"/>
        <v>GM</v>
      </c>
      <c r="H14" s="14" t="s">
        <v>99</v>
      </c>
      <c r="I14" s="15" t="str">
        <f t="shared" si="3"/>
        <v>CT</v>
      </c>
      <c r="J14" s="14" t="s">
        <v>608</v>
      </c>
      <c r="K14" s="15" t="str">
        <f t="shared" si="4"/>
        <v>AR</v>
      </c>
      <c r="L14" s="17"/>
      <c r="M14" s="17"/>
      <c r="N14" s="17" t="s">
        <v>882</v>
      </c>
      <c r="O14" s="15" t="str">
        <f t="shared" si="5"/>
        <v>GM.CT.AR</v>
      </c>
      <c r="P14" s="18" t="str">
        <f t="shared" si="6"/>
        <v>e_(I)GM.CT.AR_SkylightWell</v>
      </c>
      <c r="Q14" s="19" t="str">
        <f t="shared" si="7"/>
        <v>ARxx_{W}x{D}x{H}</v>
      </c>
    </row>
    <row r="15" spans="1:17" x14ac:dyDescent="0.25">
      <c r="A15" s="21">
        <v>1</v>
      </c>
      <c r="B15" s="22"/>
      <c r="C15" s="23" t="str">
        <f t="shared" si="0"/>
        <v/>
      </c>
      <c r="D15" s="24"/>
      <c r="E15" s="23" t="str">
        <f t="shared" si="1"/>
        <v/>
      </c>
      <c r="F15" s="22"/>
      <c r="G15" s="23" t="str">
        <f t="shared" si="2"/>
        <v/>
      </c>
      <c r="H15" s="22"/>
      <c r="I15" s="23" t="str">
        <f t="shared" si="3"/>
        <v/>
      </c>
      <c r="J15" s="22"/>
      <c r="K15" s="23" t="str">
        <f t="shared" si="4"/>
        <v/>
      </c>
      <c r="L15" s="25"/>
      <c r="M15" s="25"/>
      <c r="N15" s="25"/>
      <c r="O15" s="23" t="str">
        <f t="shared" si="5"/>
        <v/>
      </c>
      <c r="P15" s="26" t="str">
        <f t="shared" si="6"/>
        <v/>
      </c>
      <c r="Q15" s="19" t="str">
        <f t="shared" si="7"/>
        <v/>
      </c>
    </row>
    <row r="16" spans="1:17" x14ac:dyDescent="0.25">
      <c r="A16" s="21">
        <v>2</v>
      </c>
      <c r="B16" s="22"/>
      <c r="C16" s="23" t="str">
        <f t="shared" si="0"/>
        <v/>
      </c>
      <c r="D16" s="24"/>
      <c r="E16" s="23" t="str">
        <f t="shared" si="1"/>
        <v/>
      </c>
      <c r="F16" s="22"/>
      <c r="G16" s="23" t="str">
        <f t="shared" si="2"/>
        <v/>
      </c>
      <c r="H16" s="22"/>
      <c r="I16" s="23" t="str">
        <f t="shared" si="3"/>
        <v/>
      </c>
      <c r="J16" s="22"/>
      <c r="K16" s="23" t="str">
        <f t="shared" si="4"/>
        <v/>
      </c>
      <c r="L16" s="25"/>
      <c r="M16" s="25"/>
      <c r="N16" s="25"/>
      <c r="O16" s="23" t="str">
        <f t="shared" si="5"/>
        <v/>
      </c>
      <c r="P16" s="26" t="str">
        <f t="shared" si="6"/>
        <v/>
      </c>
      <c r="Q16" s="19" t="str">
        <f t="shared" si="7"/>
        <v/>
      </c>
    </row>
    <row r="17" spans="1:17" x14ac:dyDescent="0.25">
      <c r="A17" s="21">
        <v>3</v>
      </c>
      <c r="B17" s="22"/>
      <c r="C17" s="23" t="str">
        <f t="shared" si="0"/>
        <v/>
      </c>
      <c r="D17" s="24"/>
      <c r="E17" s="23" t="str">
        <f t="shared" si="1"/>
        <v/>
      </c>
      <c r="F17" s="22"/>
      <c r="G17" s="23" t="str">
        <f t="shared" si="2"/>
        <v/>
      </c>
      <c r="H17" s="22"/>
      <c r="I17" s="23" t="str">
        <f t="shared" si="3"/>
        <v/>
      </c>
      <c r="J17" s="22"/>
      <c r="K17" s="23" t="str">
        <f t="shared" si="4"/>
        <v/>
      </c>
      <c r="L17" s="25"/>
      <c r="M17" s="25"/>
      <c r="N17" s="25"/>
      <c r="O17" s="23" t="str">
        <f t="shared" si="5"/>
        <v/>
      </c>
      <c r="P17" s="26" t="str">
        <f t="shared" si="6"/>
        <v/>
      </c>
      <c r="Q17" s="19" t="str">
        <f t="shared" si="7"/>
        <v/>
      </c>
    </row>
    <row r="18" spans="1:17" x14ac:dyDescent="0.25">
      <c r="A18" s="21">
        <v>4</v>
      </c>
      <c r="B18" s="22"/>
      <c r="C18" s="23" t="str">
        <f t="shared" si="0"/>
        <v/>
      </c>
      <c r="D18" s="24"/>
      <c r="E18" s="23" t="str">
        <f t="shared" si="1"/>
        <v/>
      </c>
      <c r="F18" s="22"/>
      <c r="G18" s="23" t="str">
        <f t="shared" si="2"/>
        <v/>
      </c>
      <c r="H18" s="22"/>
      <c r="I18" s="23" t="str">
        <f t="shared" si="3"/>
        <v/>
      </c>
      <c r="J18" s="22"/>
      <c r="K18" s="23" t="str">
        <f t="shared" si="4"/>
        <v/>
      </c>
      <c r="L18" s="25"/>
      <c r="M18" s="25"/>
      <c r="N18" s="25"/>
      <c r="O18" s="23" t="str">
        <f t="shared" si="5"/>
        <v/>
      </c>
      <c r="P18" s="26" t="str">
        <f t="shared" si="6"/>
        <v/>
      </c>
      <c r="Q18" s="19" t="str">
        <f t="shared" si="7"/>
        <v/>
      </c>
    </row>
    <row r="19" spans="1:17" x14ac:dyDescent="0.25">
      <c r="A19" s="21">
        <v>5</v>
      </c>
      <c r="B19" s="22"/>
      <c r="C19" s="23" t="str">
        <f t="shared" si="0"/>
        <v/>
      </c>
      <c r="D19" s="24"/>
      <c r="E19" s="23" t="str">
        <f t="shared" si="1"/>
        <v/>
      </c>
      <c r="F19" s="22"/>
      <c r="G19" s="23" t="str">
        <f t="shared" si="2"/>
        <v/>
      </c>
      <c r="H19" s="22"/>
      <c r="I19" s="23" t="str">
        <f t="shared" si="3"/>
        <v/>
      </c>
      <c r="J19" s="22"/>
      <c r="K19" s="23" t="str">
        <f t="shared" si="4"/>
        <v/>
      </c>
      <c r="L19" s="25"/>
      <c r="M19" s="25"/>
      <c r="N19" s="25"/>
      <c r="O19" s="23" t="str">
        <f t="shared" si="5"/>
        <v/>
      </c>
      <c r="P19" s="26" t="str">
        <f t="shared" si="6"/>
        <v/>
      </c>
      <c r="Q19" s="19" t="str">
        <f t="shared" si="7"/>
        <v/>
      </c>
    </row>
    <row r="20" spans="1:17" x14ac:dyDescent="0.25">
      <c r="A20" s="21">
        <v>6</v>
      </c>
      <c r="B20" s="22"/>
      <c r="C20" s="23" t="str">
        <f t="shared" si="0"/>
        <v/>
      </c>
      <c r="D20" s="24"/>
      <c r="E20" s="23" t="str">
        <f t="shared" si="1"/>
        <v/>
      </c>
      <c r="F20" s="22"/>
      <c r="G20" s="23" t="str">
        <f t="shared" si="2"/>
        <v/>
      </c>
      <c r="H20" s="22"/>
      <c r="I20" s="23" t="str">
        <f t="shared" si="3"/>
        <v/>
      </c>
      <c r="J20" s="22"/>
      <c r="K20" s="23" t="str">
        <f t="shared" si="4"/>
        <v/>
      </c>
      <c r="L20" s="25"/>
      <c r="M20" s="25"/>
      <c r="N20" s="25"/>
      <c r="O20" s="23" t="str">
        <f t="shared" si="5"/>
        <v/>
      </c>
      <c r="P20" s="26" t="str">
        <f t="shared" si="6"/>
        <v/>
      </c>
      <c r="Q20" s="19" t="str">
        <f t="shared" si="7"/>
        <v/>
      </c>
    </row>
    <row r="21" spans="1:17" x14ac:dyDescent="0.25">
      <c r="A21" s="21">
        <v>7</v>
      </c>
      <c r="B21" s="22"/>
      <c r="C21" s="23" t="str">
        <f t="shared" si="0"/>
        <v/>
      </c>
      <c r="D21" s="24"/>
      <c r="E21" s="23" t="str">
        <f t="shared" si="1"/>
        <v/>
      </c>
      <c r="F21" s="22"/>
      <c r="G21" s="23" t="str">
        <f t="shared" si="2"/>
        <v/>
      </c>
      <c r="H21" s="22"/>
      <c r="I21" s="23" t="str">
        <f t="shared" si="3"/>
        <v/>
      </c>
      <c r="J21" s="22"/>
      <c r="K21" s="23" t="str">
        <f t="shared" si="4"/>
        <v/>
      </c>
      <c r="L21" s="25"/>
      <c r="M21" s="25"/>
      <c r="N21" s="25"/>
      <c r="O21" s="23" t="str">
        <f t="shared" si="5"/>
        <v/>
      </c>
      <c r="P21" s="26" t="str">
        <f t="shared" si="6"/>
        <v/>
      </c>
      <c r="Q21" s="19" t="str">
        <f t="shared" si="7"/>
        <v/>
      </c>
    </row>
    <row r="22" spans="1:17" x14ac:dyDescent="0.25">
      <c r="A22" s="21">
        <v>8</v>
      </c>
      <c r="B22" s="22"/>
      <c r="C22" s="23" t="str">
        <f t="shared" si="0"/>
        <v/>
      </c>
      <c r="D22" s="24"/>
      <c r="E22" s="23" t="str">
        <f t="shared" si="1"/>
        <v/>
      </c>
      <c r="F22" s="22"/>
      <c r="G22" s="23" t="str">
        <f t="shared" si="2"/>
        <v/>
      </c>
      <c r="H22" s="22"/>
      <c r="I22" s="23" t="str">
        <f t="shared" si="3"/>
        <v/>
      </c>
      <c r="J22" s="22"/>
      <c r="K22" s="23" t="str">
        <f t="shared" si="4"/>
        <v/>
      </c>
      <c r="L22" s="25"/>
      <c r="M22" s="25"/>
      <c r="N22" s="25"/>
      <c r="O22" s="23" t="str">
        <f t="shared" si="5"/>
        <v/>
      </c>
      <c r="P22" s="26" t="str">
        <f t="shared" si="6"/>
        <v/>
      </c>
      <c r="Q22" s="19" t="str">
        <f t="shared" si="7"/>
        <v/>
      </c>
    </row>
    <row r="23" spans="1:17" x14ac:dyDescent="0.25">
      <c r="A23" s="21">
        <v>9</v>
      </c>
      <c r="B23" s="22"/>
      <c r="C23" s="23" t="str">
        <f t="shared" si="0"/>
        <v/>
      </c>
      <c r="D23" s="24"/>
      <c r="E23" s="23" t="str">
        <f t="shared" si="1"/>
        <v/>
      </c>
      <c r="F23" s="22"/>
      <c r="G23" s="23" t="str">
        <f t="shared" si="2"/>
        <v/>
      </c>
      <c r="H23" s="22"/>
      <c r="I23" s="23" t="str">
        <f t="shared" si="3"/>
        <v/>
      </c>
      <c r="J23" s="22"/>
      <c r="K23" s="23" t="str">
        <f t="shared" si="4"/>
        <v/>
      </c>
      <c r="L23" s="25"/>
      <c r="M23" s="25"/>
      <c r="N23" s="25"/>
      <c r="O23" s="23" t="str">
        <f t="shared" si="5"/>
        <v/>
      </c>
      <c r="P23" s="26" t="str">
        <f t="shared" si="6"/>
        <v/>
      </c>
      <c r="Q23" s="19" t="str">
        <f t="shared" si="7"/>
        <v/>
      </c>
    </row>
    <row r="24" spans="1:17" x14ac:dyDescent="0.25">
      <c r="A24" s="21">
        <v>10</v>
      </c>
      <c r="B24" s="22"/>
      <c r="C24" s="23" t="str">
        <f t="shared" si="0"/>
        <v/>
      </c>
      <c r="D24" s="24"/>
      <c r="E24" s="23" t="str">
        <f t="shared" si="1"/>
        <v/>
      </c>
      <c r="F24" s="22"/>
      <c r="G24" s="23" t="str">
        <f t="shared" si="2"/>
        <v/>
      </c>
      <c r="H24" s="22"/>
      <c r="I24" s="23" t="str">
        <f t="shared" si="3"/>
        <v/>
      </c>
      <c r="J24" s="22"/>
      <c r="K24" s="23" t="str">
        <f t="shared" si="4"/>
        <v/>
      </c>
      <c r="L24" s="25"/>
      <c r="M24" s="25"/>
      <c r="N24" s="25"/>
      <c r="O24" s="23" t="str">
        <f t="shared" si="5"/>
        <v/>
      </c>
      <c r="P24" s="26" t="str">
        <f t="shared" si="6"/>
        <v/>
      </c>
      <c r="Q24" s="19" t="str">
        <f t="shared" si="7"/>
        <v/>
      </c>
    </row>
    <row r="25" spans="1:17" x14ac:dyDescent="0.25">
      <c r="A25" s="21">
        <v>11</v>
      </c>
      <c r="B25" s="22"/>
      <c r="C25" s="23" t="str">
        <f t="shared" si="0"/>
        <v/>
      </c>
      <c r="D25" s="24"/>
      <c r="E25" s="23" t="str">
        <f t="shared" si="1"/>
        <v/>
      </c>
      <c r="F25" s="22"/>
      <c r="G25" s="23" t="str">
        <f t="shared" si="2"/>
        <v/>
      </c>
      <c r="H25" s="22"/>
      <c r="I25" s="23" t="str">
        <f t="shared" si="3"/>
        <v/>
      </c>
      <c r="J25" s="22"/>
      <c r="K25" s="23" t="str">
        <f t="shared" si="4"/>
        <v/>
      </c>
      <c r="L25" s="25"/>
      <c r="M25" s="25"/>
      <c r="N25" s="25"/>
      <c r="O25" s="23" t="str">
        <f t="shared" si="5"/>
        <v/>
      </c>
      <c r="P25" s="26" t="str">
        <f t="shared" si="6"/>
        <v/>
      </c>
      <c r="Q25" s="19" t="str">
        <f t="shared" si="7"/>
        <v/>
      </c>
    </row>
    <row r="26" spans="1:17" x14ac:dyDescent="0.25">
      <c r="A26" s="21">
        <v>12</v>
      </c>
      <c r="B26" s="22"/>
      <c r="C26" s="23" t="str">
        <f t="shared" si="0"/>
        <v/>
      </c>
      <c r="D26" s="24"/>
      <c r="E26" s="23" t="str">
        <f t="shared" si="1"/>
        <v/>
      </c>
      <c r="F26" s="22"/>
      <c r="G26" s="23" t="str">
        <f t="shared" si="2"/>
        <v/>
      </c>
      <c r="H26" s="22"/>
      <c r="I26" s="23" t="str">
        <f t="shared" si="3"/>
        <v/>
      </c>
      <c r="J26" s="22"/>
      <c r="K26" s="23" t="str">
        <f t="shared" si="4"/>
        <v/>
      </c>
      <c r="L26" s="25"/>
      <c r="M26" s="25"/>
      <c r="N26" s="25"/>
      <c r="O26" s="23" t="str">
        <f t="shared" si="5"/>
        <v/>
      </c>
      <c r="P26" s="26" t="str">
        <f t="shared" si="6"/>
        <v/>
      </c>
      <c r="Q26" s="19" t="str">
        <f t="shared" si="7"/>
        <v/>
      </c>
    </row>
    <row r="27" spans="1:17" x14ac:dyDescent="0.25">
      <c r="A27" s="21">
        <v>13</v>
      </c>
      <c r="B27" s="22"/>
      <c r="C27" s="23" t="str">
        <f t="shared" si="0"/>
        <v/>
      </c>
      <c r="D27" s="24"/>
      <c r="E27" s="23" t="str">
        <f t="shared" si="1"/>
        <v/>
      </c>
      <c r="F27" s="22"/>
      <c r="G27" s="23" t="str">
        <f t="shared" si="2"/>
        <v/>
      </c>
      <c r="H27" s="22"/>
      <c r="I27" s="23" t="str">
        <f t="shared" si="3"/>
        <v/>
      </c>
      <c r="J27" s="22"/>
      <c r="K27" s="23" t="str">
        <f t="shared" si="4"/>
        <v/>
      </c>
      <c r="L27" s="25"/>
      <c r="M27" s="25"/>
      <c r="N27" s="25"/>
      <c r="O27" s="23" t="str">
        <f t="shared" si="5"/>
        <v/>
      </c>
      <c r="P27" s="26" t="str">
        <f t="shared" si="6"/>
        <v/>
      </c>
      <c r="Q27" s="19" t="str">
        <f t="shared" si="7"/>
        <v/>
      </c>
    </row>
    <row r="28" spans="1:17" x14ac:dyDescent="0.25">
      <c r="A28" s="21">
        <v>14</v>
      </c>
      <c r="B28" s="22"/>
      <c r="C28" s="23" t="str">
        <f t="shared" si="0"/>
        <v/>
      </c>
      <c r="D28" s="24"/>
      <c r="E28" s="23" t="str">
        <f t="shared" si="1"/>
        <v/>
      </c>
      <c r="F28" s="22"/>
      <c r="G28" s="23" t="str">
        <f t="shared" si="2"/>
        <v/>
      </c>
      <c r="H28" s="22"/>
      <c r="I28" s="23" t="str">
        <f t="shared" si="3"/>
        <v/>
      </c>
      <c r="J28" s="22"/>
      <c r="K28" s="23" t="str">
        <f t="shared" si="4"/>
        <v/>
      </c>
      <c r="L28" s="25"/>
      <c r="M28" s="25"/>
      <c r="N28" s="25"/>
      <c r="O28" s="23" t="str">
        <f t="shared" si="5"/>
        <v/>
      </c>
      <c r="P28" s="26" t="str">
        <f t="shared" si="6"/>
        <v/>
      </c>
      <c r="Q28" s="19" t="str">
        <f t="shared" si="7"/>
        <v/>
      </c>
    </row>
    <row r="29" spans="1:17" x14ac:dyDescent="0.25">
      <c r="A29" s="21">
        <v>15</v>
      </c>
      <c r="B29" s="22"/>
      <c r="C29" s="23" t="str">
        <f t="shared" si="0"/>
        <v/>
      </c>
      <c r="D29" s="24"/>
      <c r="E29" s="23" t="str">
        <f t="shared" si="1"/>
        <v/>
      </c>
      <c r="F29" s="22"/>
      <c r="G29" s="23" t="str">
        <f t="shared" si="2"/>
        <v/>
      </c>
      <c r="H29" s="22"/>
      <c r="I29" s="23" t="str">
        <f t="shared" si="3"/>
        <v/>
      </c>
      <c r="J29" s="22"/>
      <c r="K29" s="23" t="str">
        <f t="shared" si="4"/>
        <v/>
      </c>
      <c r="L29" s="25"/>
      <c r="M29" s="25"/>
      <c r="N29" s="25"/>
      <c r="O29" s="23" t="str">
        <f t="shared" si="5"/>
        <v/>
      </c>
      <c r="P29" s="26" t="str">
        <f t="shared" si="6"/>
        <v/>
      </c>
      <c r="Q29" s="19" t="str">
        <f t="shared" si="7"/>
        <v/>
      </c>
    </row>
    <row r="32" spans="1:17" ht="21.95" customHeight="1" x14ac:dyDescent="0.25">
      <c r="A32" s="41" t="s">
        <v>700</v>
      </c>
      <c r="B32" s="42"/>
      <c r="C32" s="42"/>
      <c r="D32" s="42"/>
      <c r="E32" s="42"/>
      <c r="F32" s="42"/>
      <c r="G32" s="42"/>
      <c r="H32" s="42"/>
      <c r="I32" s="42"/>
      <c r="J32" s="42"/>
      <c r="K32" s="42"/>
      <c r="L32" s="42"/>
      <c r="M32" s="42"/>
      <c r="N32" s="42"/>
      <c r="O32" s="42"/>
      <c r="P32" s="42"/>
      <c r="Q32" s="42"/>
    </row>
    <row r="34" spans="1:17" ht="24" customHeight="1" x14ac:dyDescent="0.25">
      <c r="A34" s="44" t="s">
        <v>883</v>
      </c>
      <c r="B34" s="33"/>
      <c r="C34" s="33"/>
      <c r="D34" s="33"/>
      <c r="E34" s="33"/>
      <c r="F34" s="33"/>
      <c r="G34" s="33"/>
      <c r="H34" s="33"/>
      <c r="I34" s="33"/>
      <c r="J34" s="33"/>
      <c r="K34" s="33"/>
      <c r="L34" s="33"/>
      <c r="M34" s="33"/>
      <c r="N34" s="33"/>
      <c r="O34" s="33"/>
      <c r="P34" s="33"/>
      <c r="Q34" s="33"/>
    </row>
    <row r="35" spans="1:17" ht="51" customHeight="1" x14ac:dyDescent="0.25">
      <c r="A35" s="40" t="s">
        <v>702</v>
      </c>
      <c r="B35" s="33"/>
      <c r="C35" s="33"/>
      <c r="D35" s="33"/>
      <c r="E35" s="33"/>
      <c r="F35" s="33"/>
      <c r="G35" s="33"/>
      <c r="H35" s="33"/>
      <c r="I35" s="33"/>
      <c r="J35" s="33"/>
      <c r="K35" s="33"/>
      <c r="L35" s="33"/>
      <c r="M35" s="33"/>
      <c r="N35" s="33"/>
      <c r="O35" s="33"/>
      <c r="P35" s="33"/>
      <c r="Q35" s="33"/>
    </row>
    <row r="37" spans="1:17" ht="18" customHeight="1" x14ac:dyDescent="0.25">
      <c r="A37" s="43" t="s">
        <v>777</v>
      </c>
      <c r="B37" s="33"/>
      <c r="C37" s="33"/>
      <c r="D37" s="33"/>
      <c r="E37" s="33"/>
      <c r="F37" s="33"/>
      <c r="G37" s="33"/>
      <c r="H37" s="33"/>
      <c r="I37" s="33"/>
      <c r="J37" s="33"/>
      <c r="K37" s="33"/>
      <c r="L37" s="33"/>
      <c r="M37" s="33"/>
      <c r="N37" s="33"/>
      <c r="O37" s="33"/>
      <c r="P37" s="33"/>
      <c r="Q37" s="33"/>
    </row>
    <row r="38" spans="1:17" ht="21" customHeight="1" x14ac:dyDescent="0.25">
      <c r="A38" s="40" t="s">
        <v>884</v>
      </c>
      <c r="B38" s="33"/>
      <c r="C38" s="33"/>
      <c r="D38" s="33"/>
      <c r="E38" s="33"/>
      <c r="F38" s="33"/>
      <c r="G38" s="33"/>
      <c r="H38" s="33"/>
      <c r="I38" s="33"/>
      <c r="J38" s="33"/>
      <c r="K38" s="33"/>
      <c r="L38" s="33"/>
      <c r="M38" s="33"/>
      <c r="N38" s="33"/>
      <c r="O38" s="33"/>
      <c r="P38" s="33"/>
      <c r="Q38" s="33"/>
    </row>
    <row r="41" spans="1:17" ht="21.95" customHeight="1" x14ac:dyDescent="0.25">
      <c r="A41" s="41" t="s">
        <v>885</v>
      </c>
      <c r="B41" s="42"/>
      <c r="C41" s="42"/>
      <c r="D41" s="42"/>
      <c r="E41" s="42"/>
      <c r="F41" s="42"/>
      <c r="G41" s="42"/>
      <c r="H41" s="42"/>
      <c r="I41" s="42"/>
      <c r="J41" s="42"/>
      <c r="K41" s="42"/>
      <c r="L41" s="42"/>
      <c r="M41" s="42"/>
      <c r="N41" s="42"/>
      <c r="O41" s="42"/>
      <c r="P41" s="42"/>
      <c r="Q41" s="42"/>
    </row>
    <row r="42" spans="1:17" ht="15.95" customHeight="1" x14ac:dyDescent="0.25">
      <c r="A42" s="39" t="s">
        <v>780</v>
      </c>
      <c r="B42" s="33"/>
      <c r="C42" s="33"/>
      <c r="D42" s="33"/>
      <c r="E42" s="33"/>
      <c r="F42" s="33"/>
      <c r="G42" s="33"/>
      <c r="H42" s="33"/>
      <c r="I42" s="33"/>
      <c r="J42" s="33"/>
      <c r="K42" s="33"/>
      <c r="L42" s="33"/>
      <c r="M42" s="33"/>
      <c r="N42" s="33"/>
      <c r="O42" s="33"/>
      <c r="P42" s="33"/>
      <c r="Q42" s="33"/>
    </row>
    <row r="44" spans="1:17" ht="18" customHeight="1" x14ac:dyDescent="0.25">
      <c r="A44" s="43" t="s">
        <v>886</v>
      </c>
      <c r="B44" s="33"/>
      <c r="C44" s="33"/>
      <c r="D44" s="33"/>
      <c r="E44" s="33"/>
      <c r="F44" s="33"/>
      <c r="G44" s="33"/>
      <c r="H44" s="33"/>
      <c r="I44" s="33"/>
      <c r="J44" s="33"/>
      <c r="K44" s="33"/>
      <c r="L44" s="33"/>
      <c r="M44" s="33"/>
      <c r="N44" s="33"/>
      <c r="O44" s="33"/>
      <c r="P44" s="33"/>
      <c r="Q44" s="33"/>
    </row>
    <row r="45" spans="1:17" ht="36" customHeight="1" x14ac:dyDescent="0.25">
      <c r="A45" s="40" t="s">
        <v>887</v>
      </c>
      <c r="B45" s="33"/>
      <c r="C45" s="33"/>
      <c r="D45" s="33"/>
      <c r="E45" s="33"/>
      <c r="F45" s="33"/>
      <c r="G45" s="33"/>
      <c r="H45" s="33"/>
      <c r="I45" s="33"/>
      <c r="J45" s="33"/>
      <c r="K45" s="33"/>
      <c r="L45" s="33"/>
      <c r="M45" s="33"/>
      <c r="N45" s="33"/>
      <c r="O45" s="33"/>
      <c r="P45" s="33"/>
      <c r="Q45" s="33"/>
    </row>
    <row r="46" spans="1:17" ht="6" customHeight="1" x14ac:dyDescent="0.25"/>
    <row r="47" spans="1:17" ht="18" customHeight="1" x14ac:dyDescent="0.25">
      <c r="A47" s="43" t="s">
        <v>711</v>
      </c>
      <c r="B47" s="33"/>
      <c r="C47" s="33"/>
      <c r="D47" s="33"/>
      <c r="E47" s="33"/>
      <c r="F47" s="33"/>
      <c r="G47" s="33"/>
      <c r="H47" s="33"/>
      <c r="I47" s="33"/>
      <c r="J47" s="33"/>
      <c r="K47" s="33"/>
      <c r="L47" s="33"/>
      <c r="M47" s="33"/>
      <c r="N47" s="33"/>
      <c r="O47" s="33"/>
      <c r="P47" s="33"/>
      <c r="Q47" s="33"/>
    </row>
    <row r="48" spans="1:17" ht="51" customHeight="1" x14ac:dyDescent="0.25">
      <c r="A48" s="40" t="s">
        <v>712</v>
      </c>
      <c r="B48" s="33"/>
      <c r="C48" s="33"/>
      <c r="D48" s="33"/>
      <c r="E48" s="33"/>
      <c r="F48" s="33"/>
      <c r="G48" s="33"/>
      <c r="H48" s="33"/>
      <c r="I48" s="33"/>
      <c r="J48" s="33"/>
      <c r="K48" s="33"/>
      <c r="L48" s="33"/>
      <c r="M48" s="33"/>
      <c r="N48" s="33"/>
      <c r="O48" s="33"/>
      <c r="P48" s="33"/>
      <c r="Q48" s="33"/>
    </row>
    <row r="49" spans="1:17" ht="6" customHeight="1" x14ac:dyDescent="0.25"/>
    <row r="50" spans="1:17" ht="18" customHeight="1" x14ac:dyDescent="0.25">
      <c r="A50" s="43" t="s">
        <v>659</v>
      </c>
      <c r="B50" s="33"/>
      <c r="C50" s="33"/>
      <c r="D50" s="33"/>
      <c r="E50" s="33"/>
      <c r="F50" s="33"/>
      <c r="G50" s="33"/>
      <c r="H50" s="33"/>
      <c r="I50" s="33"/>
      <c r="J50" s="33"/>
      <c r="K50" s="33"/>
      <c r="L50" s="33"/>
      <c r="M50" s="33"/>
      <c r="N50" s="33"/>
      <c r="O50" s="33"/>
      <c r="P50" s="33"/>
      <c r="Q50" s="33"/>
    </row>
    <row r="51" spans="1:17" ht="36" customHeight="1" x14ac:dyDescent="0.25">
      <c r="A51" s="40" t="s">
        <v>787</v>
      </c>
      <c r="B51" s="33"/>
      <c r="C51" s="33"/>
      <c r="D51" s="33"/>
      <c r="E51" s="33"/>
      <c r="F51" s="33"/>
      <c r="G51" s="33"/>
      <c r="H51" s="33"/>
      <c r="I51" s="33"/>
      <c r="J51" s="33"/>
      <c r="K51" s="33"/>
      <c r="L51" s="33"/>
      <c r="M51" s="33"/>
      <c r="N51" s="33"/>
      <c r="O51" s="33"/>
      <c r="P51" s="33"/>
      <c r="Q51" s="33"/>
    </row>
    <row r="52" spans="1:17" ht="6" customHeight="1" x14ac:dyDescent="0.25"/>
    <row r="53" spans="1:17" ht="18" customHeight="1" x14ac:dyDescent="0.25">
      <c r="A53" s="43" t="s">
        <v>62</v>
      </c>
      <c r="B53" s="33"/>
      <c r="C53" s="33"/>
      <c r="D53" s="33"/>
      <c r="E53" s="33"/>
      <c r="F53" s="33"/>
      <c r="G53" s="33"/>
      <c r="H53" s="33"/>
      <c r="I53" s="33"/>
      <c r="J53" s="33"/>
      <c r="K53" s="33"/>
      <c r="L53" s="33"/>
      <c r="M53" s="33"/>
      <c r="N53" s="33"/>
      <c r="O53" s="33"/>
      <c r="P53" s="33"/>
      <c r="Q53" s="33"/>
    </row>
    <row r="54" spans="1:17" ht="51" customHeight="1" x14ac:dyDescent="0.25">
      <c r="A54" s="40" t="s">
        <v>788</v>
      </c>
      <c r="B54" s="33"/>
      <c r="C54" s="33"/>
      <c r="D54" s="33"/>
      <c r="E54" s="33"/>
      <c r="F54" s="33"/>
      <c r="G54" s="33"/>
      <c r="H54" s="33"/>
      <c r="I54" s="33"/>
      <c r="J54" s="33"/>
      <c r="K54" s="33"/>
      <c r="L54" s="33"/>
      <c r="M54" s="33"/>
      <c r="N54" s="33"/>
      <c r="O54" s="33"/>
      <c r="P54" s="33"/>
      <c r="Q54" s="33"/>
    </row>
    <row r="55" spans="1:17" ht="6" customHeight="1" x14ac:dyDescent="0.25"/>
    <row r="58" spans="1:17" ht="21.95" customHeight="1" x14ac:dyDescent="0.25">
      <c r="A58" s="41" t="s">
        <v>715</v>
      </c>
      <c r="B58" s="42"/>
      <c r="C58" s="42"/>
      <c r="D58" s="42"/>
      <c r="E58" s="42"/>
      <c r="F58" s="42"/>
      <c r="G58" s="42"/>
      <c r="H58" s="42"/>
      <c r="I58" s="42"/>
      <c r="J58" s="42"/>
      <c r="K58" s="42"/>
      <c r="L58" s="42"/>
      <c r="M58" s="42"/>
      <c r="N58" s="42"/>
      <c r="O58" s="42"/>
      <c r="P58" s="42"/>
      <c r="Q58" s="42"/>
    </row>
    <row r="60" spans="1:17" ht="18" customHeight="1" x14ac:dyDescent="0.25">
      <c r="A60" s="43" t="s">
        <v>85</v>
      </c>
      <c r="B60" s="33"/>
      <c r="C60" s="33"/>
      <c r="D60" s="33"/>
      <c r="E60" s="33"/>
      <c r="F60" s="33"/>
      <c r="G60" s="33"/>
      <c r="H60" s="33"/>
      <c r="I60" s="33"/>
      <c r="J60" s="33"/>
      <c r="K60" s="33"/>
      <c r="L60" s="33"/>
      <c r="M60" s="33"/>
      <c r="N60" s="33"/>
      <c r="O60" s="33"/>
      <c r="P60" s="33"/>
      <c r="Q60" s="33"/>
    </row>
    <row r="61" spans="1:17" ht="21" customHeight="1" x14ac:dyDescent="0.25">
      <c r="A61" s="40" t="s">
        <v>716</v>
      </c>
      <c r="B61" s="33"/>
      <c r="C61" s="33"/>
      <c r="D61" s="33"/>
      <c r="E61" s="33"/>
      <c r="F61" s="33"/>
      <c r="G61" s="33"/>
      <c r="H61" s="33"/>
      <c r="I61" s="33"/>
      <c r="J61" s="33"/>
      <c r="K61" s="33"/>
      <c r="L61" s="33"/>
      <c r="M61" s="33"/>
      <c r="N61" s="33"/>
      <c r="O61" s="33"/>
      <c r="P61" s="33"/>
      <c r="Q61" s="33"/>
    </row>
    <row r="62" spans="1:17" ht="6" customHeight="1" x14ac:dyDescent="0.25"/>
    <row r="63" spans="1:17" ht="18" customHeight="1" x14ac:dyDescent="0.25">
      <c r="A63" s="43" t="s">
        <v>97</v>
      </c>
      <c r="B63" s="33"/>
      <c r="C63" s="33"/>
      <c r="D63" s="33"/>
      <c r="E63" s="33"/>
      <c r="F63" s="33"/>
      <c r="G63" s="33"/>
      <c r="H63" s="33"/>
      <c r="I63" s="33"/>
      <c r="J63" s="33"/>
      <c r="K63" s="33"/>
      <c r="L63" s="33"/>
      <c r="M63" s="33"/>
      <c r="N63" s="33"/>
      <c r="O63" s="33"/>
      <c r="P63" s="33"/>
      <c r="Q63" s="33"/>
    </row>
    <row r="64" spans="1:17" ht="36" customHeight="1" x14ac:dyDescent="0.25">
      <c r="A64" s="40" t="s">
        <v>717</v>
      </c>
      <c r="B64" s="33"/>
      <c r="C64" s="33"/>
      <c r="D64" s="33"/>
      <c r="E64" s="33"/>
      <c r="F64" s="33"/>
      <c r="G64" s="33"/>
      <c r="H64" s="33"/>
      <c r="I64" s="33"/>
      <c r="J64" s="33"/>
      <c r="K64" s="33"/>
      <c r="L64" s="33"/>
      <c r="M64" s="33"/>
      <c r="N64" s="33"/>
      <c r="O64" s="33"/>
      <c r="P64" s="33"/>
      <c r="Q64" s="33"/>
    </row>
    <row r="65" spans="1:17" ht="6" customHeight="1" x14ac:dyDescent="0.25"/>
    <row r="66" spans="1:17" ht="18" customHeight="1" x14ac:dyDescent="0.25">
      <c r="A66" s="43" t="s">
        <v>657</v>
      </c>
      <c r="B66" s="33"/>
      <c r="C66" s="33"/>
      <c r="D66" s="33"/>
      <c r="E66" s="33"/>
      <c r="F66" s="33"/>
      <c r="G66" s="33"/>
      <c r="H66" s="33"/>
      <c r="I66" s="33"/>
      <c r="J66" s="33"/>
      <c r="K66" s="33"/>
      <c r="L66" s="33"/>
      <c r="M66" s="33"/>
      <c r="N66" s="33"/>
      <c r="O66" s="33"/>
      <c r="P66" s="33"/>
      <c r="Q66" s="33"/>
    </row>
    <row r="67" spans="1:17" ht="21" customHeight="1" x14ac:dyDescent="0.25">
      <c r="A67" s="40" t="s">
        <v>718</v>
      </c>
      <c r="B67" s="33"/>
      <c r="C67" s="33"/>
      <c r="D67" s="33"/>
      <c r="E67" s="33"/>
      <c r="F67" s="33"/>
      <c r="G67" s="33"/>
      <c r="H67" s="33"/>
      <c r="I67" s="33"/>
      <c r="J67" s="33"/>
      <c r="K67" s="33"/>
      <c r="L67" s="33"/>
      <c r="M67" s="33"/>
      <c r="N67" s="33"/>
      <c r="O67" s="33"/>
      <c r="P67" s="33"/>
      <c r="Q67" s="33"/>
    </row>
    <row r="68" spans="1:17" ht="6" customHeight="1" x14ac:dyDescent="0.25"/>
    <row r="69" spans="1:17" ht="18" customHeight="1" x14ac:dyDescent="0.25">
      <c r="A69" s="43" t="s">
        <v>659</v>
      </c>
      <c r="B69" s="33"/>
      <c r="C69" s="33"/>
      <c r="D69" s="33"/>
      <c r="E69" s="33"/>
      <c r="F69" s="33"/>
      <c r="G69" s="33"/>
      <c r="H69" s="33"/>
      <c r="I69" s="33"/>
      <c r="J69" s="33"/>
      <c r="K69" s="33"/>
      <c r="L69" s="33"/>
      <c r="M69" s="33"/>
      <c r="N69" s="33"/>
      <c r="O69" s="33"/>
      <c r="P69" s="33"/>
      <c r="Q69" s="33"/>
    </row>
    <row r="70" spans="1:17" ht="36" customHeight="1" x14ac:dyDescent="0.25">
      <c r="A70" s="40" t="s">
        <v>789</v>
      </c>
      <c r="B70" s="33"/>
      <c r="C70" s="33"/>
      <c r="D70" s="33"/>
      <c r="E70" s="33"/>
      <c r="F70" s="33"/>
      <c r="G70" s="33"/>
      <c r="H70" s="33"/>
      <c r="I70" s="33"/>
      <c r="J70" s="33"/>
      <c r="K70" s="33"/>
      <c r="L70" s="33"/>
      <c r="M70" s="33"/>
      <c r="N70" s="33"/>
      <c r="O70" s="33"/>
      <c r="P70" s="33"/>
      <c r="Q70" s="33"/>
    </row>
    <row r="71" spans="1:17" ht="6" customHeight="1" x14ac:dyDescent="0.25"/>
    <row r="72" spans="1:17" ht="18" customHeight="1" x14ac:dyDescent="0.25">
      <c r="A72" s="43" t="s">
        <v>661</v>
      </c>
      <c r="B72" s="33"/>
      <c r="C72" s="33"/>
      <c r="D72" s="33"/>
      <c r="E72" s="33"/>
      <c r="F72" s="33"/>
      <c r="G72" s="33"/>
      <c r="H72" s="33"/>
      <c r="I72" s="33"/>
      <c r="J72" s="33"/>
      <c r="K72" s="33"/>
      <c r="L72" s="33"/>
      <c r="M72" s="33"/>
      <c r="N72" s="33"/>
      <c r="O72" s="33"/>
      <c r="P72" s="33"/>
      <c r="Q72" s="33"/>
    </row>
    <row r="73" spans="1:17" ht="21" customHeight="1" x14ac:dyDescent="0.25">
      <c r="A73" s="40" t="s">
        <v>888</v>
      </c>
      <c r="B73" s="33"/>
      <c r="C73" s="33"/>
      <c r="D73" s="33"/>
      <c r="E73" s="33"/>
      <c r="F73" s="33"/>
      <c r="G73" s="33"/>
      <c r="H73" s="33"/>
      <c r="I73" s="33"/>
      <c r="J73" s="33"/>
      <c r="K73" s="33"/>
      <c r="L73" s="33"/>
      <c r="M73" s="33"/>
      <c r="N73" s="33"/>
      <c r="O73" s="33"/>
      <c r="P73" s="33"/>
      <c r="Q73" s="33"/>
    </row>
    <row r="74" spans="1:17" ht="6" customHeight="1" x14ac:dyDescent="0.25"/>
    <row r="75" spans="1:17" ht="18" customHeight="1" x14ac:dyDescent="0.25">
      <c r="A75" s="43" t="s">
        <v>668</v>
      </c>
      <c r="B75" s="33"/>
      <c r="C75" s="33"/>
      <c r="D75" s="33"/>
      <c r="E75" s="33"/>
      <c r="F75" s="33"/>
      <c r="G75" s="33"/>
      <c r="H75" s="33"/>
      <c r="I75" s="33"/>
      <c r="J75" s="33"/>
      <c r="K75" s="33"/>
      <c r="L75" s="33"/>
      <c r="M75" s="33"/>
      <c r="N75" s="33"/>
      <c r="O75" s="33"/>
      <c r="P75" s="33"/>
      <c r="Q75" s="33"/>
    </row>
    <row r="76" spans="1:17" ht="21" customHeight="1" x14ac:dyDescent="0.25">
      <c r="A76" s="40" t="s">
        <v>725</v>
      </c>
      <c r="B76" s="33"/>
      <c r="C76" s="33"/>
      <c r="D76" s="33"/>
      <c r="E76" s="33"/>
      <c r="F76" s="33"/>
      <c r="G76" s="33"/>
      <c r="H76" s="33"/>
      <c r="I76" s="33"/>
      <c r="J76" s="33"/>
      <c r="K76" s="33"/>
      <c r="L76" s="33"/>
      <c r="M76" s="33"/>
      <c r="N76" s="33"/>
      <c r="O76" s="33"/>
      <c r="P76" s="33"/>
      <c r="Q76" s="33"/>
    </row>
    <row r="77" spans="1:17" ht="6" customHeight="1" x14ac:dyDescent="0.25"/>
    <row r="78" spans="1:17" ht="18" customHeight="1" x14ac:dyDescent="0.25">
      <c r="A78" s="43" t="s">
        <v>669</v>
      </c>
      <c r="B78" s="33"/>
      <c r="C78" s="33"/>
      <c r="D78" s="33"/>
      <c r="E78" s="33"/>
      <c r="F78" s="33"/>
      <c r="G78" s="33"/>
      <c r="H78" s="33"/>
      <c r="I78" s="33"/>
      <c r="J78" s="33"/>
      <c r="K78" s="33"/>
      <c r="L78" s="33"/>
      <c r="M78" s="33"/>
      <c r="N78" s="33"/>
      <c r="O78" s="33"/>
      <c r="P78" s="33"/>
      <c r="Q78" s="33"/>
    </row>
    <row r="79" spans="1:17" ht="36" customHeight="1" x14ac:dyDescent="0.25">
      <c r="A79" s="40" t="s">
        <v>726</v>
      </c>
      <c r="B79" s="33"/>
      <c r="C79" s="33"/>
      <c r="D79" s="33"/>
      <c r="E79" s="33"/>
      <c r="F79" s="33"/>
      <c r="G79" s="33"/>
      <c r="H79" s="33"/>
      <c r="I79" s="33"/>
      <c r="J79" s="33"/>
      <c r="K79" s="33"/>
      <c r="L79" s="33"/>
      <c r="M79" s="33"/>
      <c r="N79" s="33"/>
      <c r="O79" s="33"/>
      <c r="P79" s="33"/>
      <c r="Q79" s="33"/>
    </row>
    <row r="80" spans="1:17" ht="6" customHeight="1" x14ac:dyDescent="0.25"/>
    <row r="81" spans="1:17" ht="18" customHeight="1" x14ac:dyDescent="0.25">
      <c r="A81" s="43" t="s">
        <v>670</v>
      </c>
      <c r="B81" s="33"/>
      <c r="C81" s="33"/>
      <c r="D81" s="33"/>
      <c r="E81" s="33"/>
      <c r="F81" s="33"/>
      <c r="G81" s="33"/>
      <c r="H81" s="33"/>
      <c r="I81" s="33"/>
      <c r="J81" s="33"/>
      <c r="K81" s="33"/>
      <c r="L81" s="33"/>
      <c r="M81" s="33"/>
      <c r="N81" s="33"/>
      <c r="O81" s="33"/>
      <c r="P81" s="33"/>
      <c r="Q81" s="33"/>
    </row>
    <row r="82" spans="1:17" ht="36" customHeight="1" x14ac:dyDescent="0.25">
      <c r="A82" s="40" t="s">
        <v>727</v>
      </c>
      <c r="B82" s="33"/>
      <c r="C82" s="33"/>
      <c r="D82" s="33"/>
      <c r="E82" s="33"/>
      <c r="F82" s="33"/>
      <c r="G82" s="33"/>
      <c r="H82" s="33"/>
      <c r="I82" s="33"/>
      <c r="J82" s="33"/>
      <c r="K82" s="33"/>
      <c r="L82" s="33"/>
      <c r="M82" s="33"/>
      <c r="N82" s="33"/>
      <c r="O82" s="33"/>
      <c r="P82" s="33"/>
      <c r="Q82" s="33"/>
    </row>
    <row r="83" spans="1:17" ht="6" customHeight="1" x14ac:dyDescent="0.25"/>
    <row r="86" spans="1:17" x14ac:dyDescent="0.25">
      <c r="A86" s="39" t="s">
        <v>728</v>
      </c>
      <c r="B86" s="33"/>
      <c r="C86" s="33"/>
      <c r="D86" s="33"/>
      <c r="E86" s="33"/>
      <c r="F86" s="33"/>
      <c r="G86" s="33"/>
      <c r="H86" s="33"/>
      <c r="I86" s="33"/>
      <c r="J86" s="33"/>
      <c r="K86" s="33"/>
      <c r="L86" s="33"/>
      <c r="M86" s="33"/>
      <c r="N86" s="33"/>
      <c r="O86" s="33"/>
      <c r="P86" s="33"/>
      <c r="Q86" s="33"/>
    </row>
  </sheetData>
  <mergeCells count="33">
    <mergeCell ref="A34:Q34"/>
    <mergeCell ref="A48:Q48"/>
    <mergeCell ref="A45:Q45"/>
    <mergeCell ref="A41:Q41"/>
    <mergeCell ref="A37:Q37"/>
    <mergeCell ref="A54:Q54"/>
    <mergeCell ref="A66:Q66"/>
    <mergeCell ref="A75:Q75"/>
    <mergeCell ref="A44:Q44"/>
    <mergeCell ref="A58:Q58"/>
    <mergeCell ref="A67:Q67"/>
    <mergeCell ref="A50:Q50"/>
    <mergeCell ref="A79:Q79"/>
    <mergeCell ref="A61:Q61"/>
    <mergeCell ref="A70:Q70"/>
    <mergeCell ref="A69:Q69"/>
    <mergeCell ref="A78:Q78"/>
    <mergeCell ref="A86:Q86"/>
    <mergeCell ref="A42:Q42"/>
    <mergeCell ref="A76:Q76"/>
    <mergeCell ref="A47:Q47"/>
    <mergeCell ref="A32:Q32"/>
    <mergeCell ref="A53:Q53"/>
    <mergeCell ref="A35:Q35"/>
    <mergeCell ref="A81:Q81"/>
    <mergeCell ref="A38:Q38"/>
    <mergeCell ref="A72:Q72"/>
    <mergeCell ref="A63:Q63"/>
    <mergeCell ref="A73:Q73"/>
    <mergeCell ref="A64:Q64"/>
    <mergeCell ref="A82:Q82"/>
    <mergeCell ref="A60:Q60"/>
    <mergeCell ref="A51:Q51"/>
  </mergeCells>
  <dataValidations count="8">
    <dataValidation type="list" allowBlank="1" errorTitle="Valore non valido" error="Selezionare dalla lista." promptTitle="Author" prompt="Autore della codifica." sqref="B6:B29" xr:uid="{00000000-0002-0000-0F00-000000000000}">
      <formula1>Author_Name</formula1>
    </dataValidation>
    <dataValidation type="list" allowBlank="1" errorTitle="Valore non valido" error="Selezionare dalla lista, oppure lasciare vuoto." promptTitle="In Place" sqref="D6:D29" xr:uid="{00000000-0002-0000-0F00-000001000000}">
      <formula1>InPl_Name</formula1>
    </dataValidation>
    <dataValidation type="list" allowBlank="1" errorTitle="Valore non valido" error="Selezionare dalla lista." promptTitle="Categoria" prompt="Categoria Revit della famiglia." sqref="F6:F29" xr:uid="{00000000-0002-0000-0F00-000002000000}">
      <formula1>GM_Cat_Name</formula1>
    </dataValidation>
    <dataValidation type="list" allowBlank="1" errorTitle="Valore non valido" error="Selezionare dalla lista." promptTitle="Group1 — provenienza" sqref="H6:H29" xr:uid="{00000000-0002-0000-0F00-000003000000}">
      <formula1>PR_G1_Name</formula1>
    </dataValidation>
    <dataValidation type="list" allowBlank="1" errorTitle="Valore non valido" error="Selezionare dalla lista." promptTitle="Group2 — disciplina" prompt="Disciplina. Serve a filtrare ciò che per necessità finisce in questa categoria." sqref="J6:J29" xr:uid="{00000000-0002-0000-0F00-000004000000}">
      <formula1>GM_G2_Name</formula1>
    </dataValidation>
    <dataValidation type="custom" allowBlank="1" errorTitle="Non valido" error="Massimo 24 caratteri, senza spazi, e non compatibile con Group1 = Custom." promptTitle="Manufacturer" prompt="Facoltativo. Azienda produttrice. Campo libero: senza spazi, iniziali maiuscole. Non compatibile con Group1 = Custom." sqref="L6:L29" xr:uid="{00000000-0002-0000-0F00-000005000000}">
      <formula1>AND(LEN($L6)&lt;=24,ISERROR(FIND(" ",$L6)),OR($L6="",$I6&lt;&gt;"CT"))</formula1>
    </dataValidation>
    <dataValidation type="custom" allowBlank="1" errorTitle="Non valido" error="Massimo 24 caratteri, senza spazi." promptTitle="Brand" sqref="M6:M29" xr:uid="{00000000-0002-0000-0F00-000006000000}">
      <formula1>AND(LEN($M6)&lt;=24,ISERROR(FIND(" ",$M6)))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N6:N29" xr:uid="{00000000-0002-0000-0F00-000007000000}">
      <formula1>40</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84"/>
  <sheetViews>
    <sheetView showGridLines="0" workbookViewId="0">
      <pane ySplit="5" topLeftCell="A6" activePane="bottomLeft" state="frozen"/>
      <selection pane="bottomLeft"/>
    </sheetView>
  </sheetViews>
  <sheetFormatPr defaultRowHeight="15" x14ac:dyDescent="0.25"/>
  <cols>
    <col min="1" max="1" width="3" customWidth="1"/>
    <col min="2" max="2" width="15" customWidth="1"/>
    <col min="3" max="3" width="5" customWidth="1"/>
    <col min="4" max="4" width="10" customWidth="1"/>
    <col min="5" max="5" width="4" customWidth="1"/>
    <col min="6" max="6" width="17" customWidth="1"/>
    <col min="7" max="7" width="4" customWidth="1"/>
    <col min="8" max="8" width="15" customWidth="1"/>
    <col min="9" max="9" width="4" customWidth="1"/>
    <col min="10" max="10" width="17" customWidth="1"/>
    <col min="11" max="11" width="4" customWidth="1"/>
    <col min="12" max="12" width="15" customWidth="1"/>
    <col min="13" max="13" width="13" customWidth="1"/>
    <col min="14" max="14" width="20" customWidth="1"/>
    <col min="15" max="15" width="12" customWidth="1"/>
    <col min="16" max="16" width="36" customWidth="1"/>
    <col min="17" max="17" width="24" customWidth="1"/>
  </cols>
  <sheetData>
    <row r="1" spans="1:17" ht="19.5" x14ac:dyDescent="0.3">
      <c r="A1" s="6" t="s">
        <v>889</v>
      </c>
    </row>
    <row r="2" spans="1:17" x14ac:dyDescent="0.25">
      <c r="A2" s="7" t="s">
        <v>652</v>
      </c>
    </row>
    <row r="3" spans="1:17" x14ac:dyDescent="0.25">
      <c r="A3" s="8" t="s">
        <v>745</v>
      </c>
    </row>
    <row r="4" spans="1:17" ht="17.100000000000001" customHeight="1" x14ac:dyDescent="0.25">
      <c r="A4" s="9" t="s">
        <v>861</v>
      </c>
      <c r="B4" s="10"/>
      <c r="C4" s="10"/>
      <c r="D4" s="10"/>
      <c r="E4" s="10"/>
      <c r="F4" s="10"/>
      <c r="G4" s="10"/>
      <c r="H4" s="10"/>
      <c r="I4" s="10"/>
      <c r="J4" s="10"/>
      <c r="K4" s="10"/>
      <c r="L4" s="10"/>
      <c r="M4" s="10"/>
      <c r="N4" s="10"/>
      <c r="O4" s="10"/>
      <c r="P4" s="10"/>
      <c r="Q4" s="10"/>
    </row>
    <row r="5" spans="1:17" ht="30" customHeight="1" x14ac:dyDescent="0.25">
      <c r="A5" s="11" t="s">
        <v>655</v>
      </c>
      <c r="B5" s="11" t="s">
        <v>85</v>
      </c>
      <c r="C5" s="11" t="s">
        <v>656</v>
      </c>
      <c r="D5" s="12" t="s">
        <v>97</v>
      </c>
      <c r="E5" s="11" t="s">
        <v>96</v>
      </c>
      <c r="F5" s="11" t="s">
        <v>657</v>
      </c>
      <c r="G5" s="11" t="s">
        <v>658</v>
      </c>
      <c r="H5" s="11" t="s">
        <v>659</v>
      </c>
      <c r="I5" s="11" t="s">
        <v>660</v>
      </c>
      <c r="J5" s="11" t="s">
        <v>661</v>
      </c>
      <c r="K5" s="11" t="s">
        <v>662</v>
      </c>
      <c r="L5" s="12" t="s">
        <v>668</v>
      </c>
      <c r="M5" s="12" t="s">
        <v>669</v>
      </c>
      <c r="N5" s="12" t="s">
        <v>670</v>
      </c>
      <c r="O5" s="11" t="s">
        <v>671</v>
      </c>
      <c r="P5" s="11" t="s">
        <v>672</v>
      </c>
      <c r="Q5" s="11" t="s">
        <v>673</v>
      </c>
    </row>
    <row r="6" spans="1:17" x14ac:dyDescent="0.25">
      <c r="A6" s="13" t="s">
        <v>675</v>
      </c>
      <c r="B6" s="14" t="s">
        <v>92</v>
      </c>
      <c r="C6" s="15" t="str">
        <f t="shared" ref="C6:C27" si="0">IFERROR(INDEX(Author_Code,MATCH($B6,Author_Name,0)),"")</f>
        <v>e</v>
      </c>
      <c r="D6" s="16"/>
      <c r="E6" s="15" t="str">
        <f t="shared" ref="E6:E27" si="1">IFERROR(INDEX(InPl_Code,MATCH($D6,InPl_Name,0)),"")</f>
        <v/>
      </c>
      <c r="F6" s="14" t="s">
        <v>629</v>
      </c>
      <c r="G6" s="15" t="str">
        <f t="shared" ref="G6:G27" si="2">IFERROR(INDEX(MS_Cat_Code,MATCH($F6,MS_Cat_Name,0)),"")</f>
        <v>MS</v>
      </c>
      <c r="H6" s="14" t="s">
        <v>630</v>
      </c>
      <c r="I6" s="15" t="str">
        <f t="shared" ref="I6:I27" si="3">IFERROR(INDEX(MS_G1_Code,MATCH($H6,MS_G1_Name,0)),"")</f>
        <v>BD</v>
      </c>
      <c r="J6" s="14" t="s">
        <v>633</v>
      </c>
      <c r="K6" s="15" t="str">
        <f t="shared" ref="K6:K27" si="4">IFERROR(INDEX(MS_G2_Code,MATCH($J6,MS_G2_Name,0)),"")</f>
        <v>VL</v>
      </c>
      <c r="L6" s="17"/>
      <c r="M6" s="17"/>
      <c r="N6" s="17"/>
      <c r="O6" s="15" t="str">
        <f t="shared" ref="O6:O27" si="5">$G6&amp;IF($I6&lt;&gt;"","."&amp;$I6,"")&amp;IF($K6&lt;&gt;"","."&amp;$K6,"")</f>
        <v>MS.BD.VL</v>
      </c>
      <c r="P6" s="18" t="str">
        <f t="shared" ref="P6:P27" si="6">IF(AND($F6&lt;&gt;"",$H6&lt;&gt;"",$J6&lt;&gt;""),$C6&amp;"_"&amp;$E6&amp;$O6&amp;IF($L6&lt;&gt;"","_"&amp;$L6,"")&amp;IF($M6&lt;&gt;"","_"&amp;$M6,"")&amp;IF($N6&lt;&gt;"","_"&amp;$N6,""),"")</f>
        <v>e_MS.BD.VL</v>
      </c>
      <c r="Q6" s="19" t="str">
        <f t="shared" ref="Q6:Q27" si="7">IFERROR(IF(OR($G6="",$J6=""),"",$G6&amp;"-"&amp;LEFT(INDEX(MS_G2_TM,MATCH($J6,MS_G2_Name,0)),1)&amp;"xx"),"")</f>
        <v>MS-1xx</v>
      </c>
    </row>
    <row r="7" spans="1:17" x14ac:dyDescent="0.25">
      <c r="A7" s="13" t="s">
        <v>676</v>
      </c>
      <c r="B7" s="14" t="s">
        <v>92</v>
      </c>
      <c r="C7" s="15" t="str">
        <f t="shared" si="0"/>
        <v>e</v>
      </c>
      <c r="D7" s="16"/>
      <c r="E7" s="15" t="str">
        <f t="shared" si="1"/>
        <v/>
      </c>
      <c r="F7" s="14" t="s">
        <v>629</v>
      </c>
      <c r="G7" s="15" t="str">
        <f t="shared" si="2"/>
        <v>MS</v>
      </c>
      <c r="H7" s="14" t="s">
        <v>630</v>
      </c>
      <c r="I7" s="15" t="str">
        <f t="shared" si="3"/>
        <v>BD</v>
      </c>
      <c r="J7" s="14" t="s">
        <v>646</v>
      </c>
      <c r="K7" s="15" t="str">
        <f t="shared" si="4"/>
        <v>CX</v>
      </c>
      <c r="L7" s="17"/>
      <c r="M7" s="17"/>
      <c r="N7" s="17"/>
      <c r="O7" s="15" t="str">
        <f t="shared" si="5"/>
        <v>MS.BD.CX</v>
      </c>
      <c r="P7" s="18" t="str">
        <f t="shared" si="6"/>
        <v>e_MS.BD.CX</v>
      </c>
      <c r="Q7" s="19" t="str">
        <f t="shared" si="7"/>
        <v>MS-5xx</v>
      </c>
    </row>
    <row r="8" spans="1:17" x14ac:dyDescent="0.25">
      <c r="A8" s="13" t="s">
        <v>677</v>
      </c>
      <c r="B8" s="14" t="s">
        <v>92</v>
      </c>
      <c r="C8" s="15" t="str">
        <f t="shared" si="0"/>
        <v>e</v>
      </c>
      <c r="D8" s="16"/>
      <c r="E8" s="15" t="str">
        <f t="shared" si="1"/>
        <v/>
      </c>
      <c r="F8" s="14" t="s">
        <v>629</v>
      </c>
      <c r="G8" s="15" t="str">
        <f t="shared" si="2"/>
        <v>MS</v>
      </c>
      <c r="H8" s="14" t="s">
        <v>472</v>
      </c>
      <c r="I8" s="15" t="str">
        <f t="shared" si="3"/>
        <v>SI</v>
      </c>
      <c r="J8" s="14" t="s">
        <v>637</v>
      </c>
      <c r="K8" s="15" t="str">
        <f t="shared" si="4"/>
        <v>ZN</v>
      </c>
      <c r="L8" s="17"/>
      <c r="M8" s="17"/>
      <c r="N8" s="17"/>
      <c r="O8" s="15" t="str">
        <f t="shared" si="5"/>
        <v>MS.SI.ZN</v>
      </c>
      <c r="P8" s="18" t="str">
        <f t="shared" si="6"/>
        <v>e_MS.SI.ZN</v>
      </c>
      <c r="Q8" s="19" t="str">
        <f t="shared" si="7"/>
        <v>MS-2xx</v>
      </c>
    </row>
    <row r="9" spans="1:17" x14ac:dyDescent="0.25">
      <c r="A9" s="13" t="s">
        <v>679</v>
      </c>
      <c r="B9" s="14" t="s">
        <v>92</v>
      </c>
      <c r="C9" s="15" t="str">
        <f t="shared" si="0"/>
        <v>e</v>
      </c>
      <c r="D9" s="16"/>
      <c r="E9" s="15" t="str">
        <f t="shared" si="1"/>
        <v/>
      </c>
      <c r="F9" s="14" t="s">
        <v>629</v>
      </c>
      <c r="G9" s="15" t="str">
        <f t="shared" si="2"/>
        <v>MS</v>
      </c>
      <c r="H9" s="14" t="s">
        <v>630</v>
      </c>
      <c r="I9" s="15" t="str">
        <f t="shared" si="3"/>
        <v>BD</v>
      </c>
      <c r="J9" s="14" t="s">
        <v>642</v>
      </c>
      <c r="K9" s="15" t="str">
        <f t="shared" si="4"/>
        <v>AR</v>
      </c>
      <c r="L9" s="17"/>
      <c r="M9" s="17"/>
      <c r="N9" s="17"/>
      <c r="O9" s="15" t="str">
        <f t="shared" si="5"/>
        <v>MS.BD.AR</v>
      </c>
      <c r="P9" s="18" t="str">
        <f t="shared" si="6"/>
        <v>e_MS.BD.AR</v>
      </c>
      <c r="Q9" s="19" t="str">
        <f t="shared" si="7"/>
        <v>MS-3xx</v>
      </c>
    </row>
    <row r="10" spans="1:17" x14ac:dyDescent="0.25">
      <c r="A10" s="13" t="s">
        <v>680</v>
      </c>
      <c r="B10" s="14" t="s">
        <v>92</v>
      </c>
      <c r="C10" s="15" t="str">
        <f t="shared" si="0"/>
        <v>e</v>
      </c>
      <c r="D10" s="16"/>
      <c r="E10" s="15" t="str">
        <f t="shared" si="1"/>
        <v/>
      </c>
      <c r="F10" s="14" t="s">
        <v>629</v>
      </c>
      <c r="G10" s="15" t="str">
        <f t="shared" si="2"/>
        <v>MS</v>
      </c>
      <c r="H10" s="14" t="s">
        <v>630</v>
      </c>
      <c r="I10" s="15" t="str">
        <f t="shared" si="3"/>
        <v>BD</v>
      </c>
      <c r="J10" s="14" t="s">
        <v>212</v>
      </c>
      <c r="K10" s="15" t="str">
        <f t="shared" si="4"/>
        <v>SD</v>
      </c>
      <c r="L10" s="17"/>
      <c r="M10" s="17"/>
      <c r="N10" s="17"/>
      <c r="O10" s="15" t="str">
        <f t="shared" si="5"/>
        <v>MS.BD.SD</v>
      </c>
      <c r="P10" s="18" t="str">
        <f t="shared" si="6"/>
        <v>e_MS.BD.SD</v>
      </c>
      <c r="Q10" s="19" t="str">
        <f t="shared" si="7"/>
        <v>MS-4xx</v>
      </c>
    </row>
    <row r="11" spans="1:17" x14ac:dyDescent="0.25">
      <c r="A11" s="13" t="s">
        <v>682</v>
      </c>
      <c r="B11" s="14" t="s">
        <v>92</v>
      </c>
      <c r="C11" s="15" t="str">
        <f t="shared" si="0"/>
        <v>e</v>
      </c>
      <c r="D11" s="16"/>
      <c r="E11" s="15" t="str">
        <f t="shared" si="1"/>
        <v/>
      </c>
      <c r="F11" s="14" t="s">
        <v>629</v>
      </c>
      <c r="G11" s="15" t="str">
        <f t="shared" si="2"/>
        <v>MS</v>
      </c>
      <c r="H11" s="14" t="s">
        <v>640</v>
      </c>
      <c r="I11" s="15" t="str">
        <f t="shared" si="3"/>
        <v>EL</v>
      </c>
      <c r="J11" s="14" t="s">
        <v>633</v>
      </c>
      <c r="K11" s="15" t="str">
        <f t="shared" si="4"/>
        <v>VL</v>
      </c>
      <c r="L11" s="17"/>
      <c r="M11" s="17"/>
      <c r="N11" s="17"/>
      <c r="O11" s="15" t="str">
        <f t="shared" si="5"/>
        <v>MS.EL.VL</v>
      </c>
      <c r="P11" s="18" t="str">
        <f t="shared" si="6"/>
        <v>e_MS.EL.VL</v>
      </c>
      <c r="Q11" s="19" t="str">
        <f t="shared" si="7"/>
        <v>MS-1xx</v>
      </c>
    </row>
    <row r="12" spans="1:17" x14ac:dyDescent="0.25">
      <c r="A12" s="13" t="s">
        <v>685</v>
      </c>
      <c r="B12" s="14" t="s">
        <v>92</v>
      </c>
      <c r="C12" s="15" t="str">
        <f t="shared" si="0"/>
        <v>e</v>
      </c>
      <c r="D12" s="16" t="s">
        <v>97</v>
      </c>
      <c r="E12" s="15" t="str">
        <f t="shared" si="1"/>
        <v>(I)</v>
      </c>
      <c r="F12" s="14" t="s">
        <v>629</v>
      </c>
      <c r="G12" s="15" t="str">
        <f t="shared" si="2"/>
        <v>MS</v>
      </c>
      <c r="H12" s="14" t="s">
        <v>630</v>
      </c>
      <c r="I12" s="15" t="str">
        <f t="shared" si="3"/>
        <v>BD</v>
      </c>
      <c r="J12" s="14" t="s">
        <v>633</v>
      </c>
      <c r="K12" s="15" t="str">
        <f t="shared" si="4"/>
        <v>VL</v>
      </c>
      <c r="L12" s="17"/>
      <c r="M12" s="17"/>
      <c r="N12" s="17"/>
      <c r="O12" s="15" t="str">
        <f t="shared" si="5"/>
        <v>MS.BD.VL</v>
      </c>
      <c r="P12" s="18" t="str">
        <f t="shared" si="6"/>
        <v>e_(I)MS.BD.VL</v>
      </c>
      <c r="Q12" s="19" t="str">
        <f t="shared" si="7"/>
        <v>MS-1xx</v>
      </c>
    </row>
    <row r="13" spans="1:17" x14ac:dyDescent="0.25">
      <c r="A13" s="21">
        <v>1</v>
      </c>
      <c r="B13" s="22"/>
      <c r="C13" s="23" t="str">
        <f t="shared" si="0"/>
        <v/>
      </c>
      <c r="D13" s="24"/>
      <c r="E13" s="23" t="str">
        <f t="shared" si="1"/>
        <v/>
      </c>
      <c r="F13" s="22"/>
      <c r="G13" s="23" t="str">
        <f t="shared" si="2"/>
        <v/>
      </c>
      <c r="H13" s="22"/>
      <c r="I13" s="23" t="str">
        <f t="shared" si="3"/>
        <v/>
      </c>
      <c r="J13" s="22"/>
      <c r="K13" s="23" t="str">
        <f t="shared" si="4"/>
        <v/>
      </c>
      <c r="L13" s="25"/>
      <c r="M13" s="25"/>
      <c r="N13" s="25"/>
      <c r="O13" s="23" t="str">
        <f t="shared" si="5"/>
        <v/>
      </c>
      <c r="P13" s="26" t="str">
        <f t="shared" si="6"/>
        <v/>
      </c>
      <c r="Q13" s="27" t="str">
        <f t="shared" si="7"/>
        <v/>
      </c>
    </row>
    <row r="14" spans="1:17" x14ac:dyDescent="0.25">
      <c r="A14" s="21">
        <v>2</v>
      </c>
      <c r="B14" s="22"/>
      <c r="C14" s="23" t="str">
        <f t="shared" si="0"/>
        <v/>
      </c>
      <c r="D14" s="24"/>
      <c r="E14" s="23" t="str">
        <f t="shared" si="1"/>
        <v/>
      </c>
      <c r="F14" s="22"/>
      <c r="G14" s="23" t="str">
        <f t="shared" si="2"/>
        <v/>
      </c>
      <c r="H14" s="22"/>
      <c r="I14" s="23" t="str">
        <f t="shared" si="3"/>
        <v/>
      </c>
      <c r="J14" s="22"/>
      <c r="K14" s="23" t="str">
        <f t="shared" si="4"/>
        <v/>
      </c>
      <c r="L14" s="25"/>
      <c r="M14" s="25"/>
      <c r="N14" s="25"/>
      <c r="O14" s="23" t="str">
        <f t="shared" si="5"/>
        <v/>
      </c>
      <c r="P14" s="26" t="str">
        <f t="shared" si="6"/>
        <v/>
      </c>
      <c r="Q14" s="27" t="str">
        <f t="shared" si="7"/>
        <v/>
      </c>
    </row>
    <row r="15" spans="1:17" x14ac:dyDescent="0.25">
      <c r="A15" s="21">
        <v>3</v>
      </c>
      <c r="B15" s="22"/>
      <c r="C15" s="23" t="str">
        <f t="shared" si="0"/>
        <v/>
      </c>
      <c r="D15" s="24"/>
      <c r="E15" s="23" t="str">
        <f t="shared" si="1"/>
        <v/>
      </c>
      <c r="F15" s="22"/>
      <c r="G15" s="23" t="str">
        <f t="shared" si="2"/>
        <v/>
      </c>
      <c r="H15" s="22"/>
      <c r="I15" s="23" t="str">
        <f t="shared" si="3"/>
        <v/>
      </c>
      <c r="J15" s="22"/>
      <c r="K15" s="23" t="str">
        <f t="shared" si="4"/>
        <v/>
      </c>
      <c r="L15" s="25"/>
      <c r="M15" s="25"/>
      <c r="N15" s="25"/>
      <c r="O15" s="23" t="str">
        <f t="shared" si="5"/>
        <v/>
      </c>
      <c r="P15" s="26" t="str">
        <f t="shared" si="6"/>
        <v/>
      </c>
      <c r="Q15" s="27" t="str">
        <f t="shared" si="7"/>
        <v/>
      </c>
    </row>
    <row r="16" spans="1:17" x14ac:dyDescent="0.25">
      <c r="A16" s="21">
        <v>4</v>
      </c>
      <c r="B16" s="22"/>
      <c r="C16" s="23" t="str">
        <f t="shared" si="0"/>
        <v/>
      </c>
      <c r="D16" s="24"/>
      <c r="E16" s="23" t="str">
        <f t="shared" si="1"/>
        <v/>
      </c>
      <c r="F16" s="22"/>
      <c r="G16" s="23" t="str">
        <f t="shared" si="2"/>
        <v/>
      </c>
      <c r="H16" s="22"/>
      <c r="I16" s="23" t="str">
        <f t="shared" si="3"/>
        <v/>
      </c>
      <c r="J16" s="22"/>
      <c r="K16" s="23" t="str">
        <f t="shared" si="4"/>
        <v/>
      </c>
      <c r="L16" s="25"/>
      <c r="M16" s="25"/>
      <c r="N16" s="25"/>
      <c r="O16" s="23" t="str">
        <f t="shared" si="5"/>
        <v/>
      </c>
      <c r="P16" s="26" t="str">
        <f t="shared" si="6"/>
        <v/>
      </c>
      <c r="Q16" s="27" t="str">
        <f t="shared" si="7"/>
        <v/>
      </c>
    </row>
    <row r="17" spans="1:17" x14ac:dyDescent="0.25">
      <c r="A17" s="21">
        <v>5</v>
      </c>
      <c r="B17" s="22"/>
      <c r="C17" s="23" t="str">
        <f t="shared" si="0"/>
        <v/>
      </c>
      <c r="D17" s="24"/>
      <c r="E17" s="23" t="str">
        <f t="shared" si="1"/>
        <v/>
      </c>
      <c r="F17" s="22"/>
      <c r="G17" s="23" t="str">
        <f t="shared" si="2"/>
        <v/>
      </c>
      <c r="H17" s="22"/>
      <c r="I17" s="23" t="str">
        <f t="shared" si="3"/>
        <v/>
      </c>
      <c r="J17" s="22"/>
      <c r="K17" s="23" t="str">
        <f t="shared" si="4"/>
        <v/>
      </c>
      <c r="L17" s="25"/>
      <c r="M17" s="25"/>
      <c r="N17" s="25"/>
      <c r="O17" s="23" t="str">
        <f t="shared" si="5"/>
        <v/>
      </c>
      <c r="P17" s="26" t="str">
        <f t="shared" si="6"/>
        <v/>
      </c>
      <c r="Q17" s="27" t="str">
        <f t="shared" si="7"/>
        <v/>
      </c>
    </row>
    <row r="18" spans="1:17" x14ac:dyDescent="0.25">
      <c r="A18" s="21">
        <v>6</v>
      </c>
      <c r="B18" s="22"/>
      <c r="C18" s="23" t="str">
        <f t="shared" si="0"/>
        <v/>
      </c>
      <c r="D18" s="24"/>
      <c r="E18" s="23" t="str">
        <f t="shared" si="1"/>
        <v/>
      </c>
      <c r="F18" s="22"/>
      <c r="G18" s="23" t="str">
        <f t="shared" si="2"/>
        <v/>
      </c>
      <c r="H18" s="22"/>
      <c r="I18" s="23" t="str">
        <f t="shared" si="3"/>
        <v/>
      </c>
      <c r="J18" s="22"/>
      <c r="K18" s="23" t="str">
        <f t="shared" si="4"/>
        <v/>
      </c>
      <c r="L18" s="25"/>
      <c r="M18" s="25"/>
      <c r="N18" s="25"/>
      <c r="O18" s="23" t="str">
        <f t="shared" si="5"/>
        <v/>
      </c>
      <c r="P18" s="26" t="str">
        <f t="shared" si="6"/>
        <v/>
      </c>
      <c r="Q18" s="27" t="str">
        <f t="shared" si="7"/>
        <v/>
      </c>
    </row>
    <row r="19" spans="1:17" x14ac:dyDescent="0.25">
      <c r="A19" s="21">
        <v>7</v>
      </c>
      <c r="B19" s="22"/>
      <c r="C19" s="23" t="str">
        <f t="shared" si="0"/>
        <v/>
      </c>
      <c r="D19" s="24"/>
      <c r="E19" s="23" t="str">
        <f t="shared" si="1"/>
        <v/>
      </c>
      <c r="F19" s="22"/>
      <c r="G19" s="23" t="str">
        <f t="shared" si="2"/>
        <v/>
      </c>
      <c r="H19" s="22"/>
      <c r="I19" s="23" t="str">
        <f t="shared" si="3"/>
        <v/>
      </c>
      <c r="J19" s="22"/>
      <c r="K19" s="23" t="str">
        <f t="shared" si="4"/>
        <v/>
      </c>
      <c r="L19" s="25"/>
      <c r="M19" s="25"/>
      <c r="N19" s="25"/>
      <c r="O19" s="23" t="str">
        <f t="shared" si="5"/>
        <v/>
      </c>
      <c r="P19" s="26" t="str">
        <f t="shared" si="6"/>
        <v/>
      </c>
      <c r="Q19" s="27" t="str">
        <f t="shared" si="7"/>
        <v/>
      </c>
    </row>
    <row r="20" spans="1:17" x14ac:dyDescent="0.25">
      <c r="A20" s="21">
        <v>8</v>
      </c>
      <c r="B20" s="22"/>
      <c r="C20" s="23" t="str">
        <f t="shared" si="0"/>
        <v/>
      </c>
      <c r="D20" s="24"/>
      <c r="E20" s="23" t="str">
        <f t="shared" si="1"/>
        <v/>
      </c>
      <c r="F20" s="22"/>
      <c r="G20" s="23" t="str">
        <f t="shared" si="2"/>
        <v/>
      </c>
      <c r="H20" s="22"/>
      <c r="I20" s="23" t="str">
        <f t="shared" si="3"/>
        <v/>
      </c>
      <c r="J20" s="22"/>
      <c r="K20" s="23" t="str">
        <f t="shared" si="4"/>
        <v/>
      </c>
      <c r="L20" s="25"/>
      <c r="M20" s="25"/>
      <c r="N20" s="25"/>
      <c r="O20" s="23" t="str">
        <f t="shared" si="5"/>
        <v/>
      </c>
      <c r="P20" s="26" t="str">
        <f t="shared" si="6"/>
        <v/>
      </c>
      <c r="Q20" s="27" t="str">
        <f t="shared" si="7"/>
        <v/>
      </c>
    </row>
    <row r="21" spans="1:17" x14ac:dyDescent="0.25">
      <c r="A21" s="21">
        <v>9</v>
      </c>
      <c r="B21" s="22"/>
      <c r="C21" s="23" t="str">
        <f t="shared" si="0"/>
        <v/>
      </c>
      <c r="D21" s="24"/>
      <c r="E21" s="23" t="str">
        <f t="shared" si="1"/>
        <v/>
      </c>
      <c r="F21" s="22"/>
      <c r="G21" s="23" t="str">
        <f t="shared" si="2"/>
        <v/>
      </c>
      <c r="H21" s="22"/>
      <c r="I21" s="23" t="str">
        <f t="shared" si="3"/>
        <v/>
      </c>
      <c r="J21" s="22"/>
      <c r="K21" s="23" t="str">
        <f t="shared" si="4"/>
        <v/>
      </c>
      <c r="L21" s="25"/>
      <c r="M21" s="25"/>
      <c r="N21" s="25"/>
      <c r="O21" s="23" t="str">
        <f t="shared" si="5"/>
        <v/>
      </c>
      <c r="P21" s="26" t="str">
        <f t="shared" si="6"/>
        <v/>
      </c>
      <c r="Q21" s="27" t="str">
        <f t="shared" si="7"/>
        <v/>
      </c>
    </row>
    <row r="22" spans="1:17" x14ac:dyDescent="0.25">
      <c r="A22" s="21">
        <v>10</v>
      </c>
      <c r="B22" s="22"/>
      <c r="C22" s="23" t="str">
        <f t="shared" si="0"/>
        <v/>
      </c>
      <c r="D22" s="24"/>
      <c r="E22" s="23" t="str">
        <f t="shared" si="1"/>
        <v/>
      </c>
      <c r="F22" s="22"/>
      <c r="G22" s="23" t="str">
        <f t="shared" si="2"/>
        <v/>
      </c>
      <c r="H22" s="22"/>
      <c r="I22" s="23" t="str">
        <f t="shared" si="3"/>
        <v/>
      </c>
      <c r="J22" s="22"/>
      <c r="K22" s="23" t="str">
        <f t="shared" si="4"/>
        <v/>
      </c>
      <c r="L22" s="25"/>
      <c r="M22" s="25"/>
      <c r="N22" s="25"/>
      <c r="O22" s="23" t="str">
        <f t="shared" si="5"/>
        <v/>
      </c>
      <c r="P22" s="26" t="str">
        <f t="shared" si="6"/>
        <v/>
      </c>
      <c r="Q22" s="27" t="str">
        <f t="shared" si="7"/>
        <v/>
      </c>
    </row>
    <row r="23" spans="1:17" x14ac:dyDescent="0.25">
      <c r="A23" s="21">
        <v>11</v>
      </c>
      <c r="B23" s="22"/>
      <c r="C23" s="23" t="str">
        <f t="shared" si="0"/>
        <v/>
      </c>
      <c r="D23" s="24"/>
      <c r="E23" s="23" t="str">
        <f t="shared" si="1"/>
        <v/>
      </c>
      <c r="F23" s="22"/>
      <c r="G23" s="23" t="str">
        <f t="shared" si="2"/>
        <v/>
      </c>
      <c r="H23" s="22"/>
      <c r="I23" s="23" t="str">
        <f t="shared" si="3"/>
        <v/>
      </c>
      <c r="J23" s="22"/>
      <c r="K23" s="23" t="str">
        <f t="shared" si="4"/>
        <v/>
      </c>
      <c r="L23" s="25"/>
      <c r="M23" s="25"/>
      <c r="N23" s="25"/>
      <c r="O23" s="23" t="str">
        <f t="shared" si="5"/>
        <v/>
      </c>
      <c r="P23" s="26" t="str">
        <f t="shared" si="6"/>
        <v/>
      </c>
      <c r="Q23" s="27" t="str">
        <f t="shared" si="7"/>
        <v/>
      </c>
    </row>
    <row r="24" spans="1:17" x14ac:dyDescent="0.25">
      <c r="A24" s="21">
        <v>12</v>
      </c>
      <c r="B24" s="22"/>
      <c r="C24" s="23" t="str">
        <f t="shared" si="0"/>
        <v/>
      </c>
      <c r="D24" s="24"/>
      <c r="E24" s="23" t="str">
        <f t="shared" si="1"/>
        <v/>
      </c>
      <c r="F24" s="22"/>
      <c r="G24" s="23" t="str">
        <f t="shared" si="2"/>
        <v/>
      </c>
      <c r="H24" s="22"/>
      <c r="I24" s="23" t="str">
        <f t="shared" si="3"/>
        <v/>
      </c>
      <c r="J24" s="22"/>
      <c r="K24" s="23" t="str">
        <f t="shared" si="4"/>
        <v/>
      </c>
      <c r="L24" s="25"/>
      <c r="M24" s="25"/>
      <c r="N24" s="25"/>
      <c r="O24" s="23" t="str">
        <f t="shared" si="5"/>
        <v/>
      </c>
      <c r="P24" s="26" t="str">
        <f t="shared" si="6"/>
        <v/>
      </c>
      <c r="Q24" s="27" t="str">
        <f t="shared" si="7"/>
        <v/>
      </c>
    </row>
    <row r="25" spans="1:17" x14ac:dyDescent="0.25">
      <c r="A25" s="21">
        <v>13</v>
      </c>
      <c r="B25" s="22"/>
      <c r="C25" s="23" t="str">
        <f t="shared" si="0"/>
        <v/>
      </c>
      <c r="D25" s="24"/>
      <c r="E25" s="23" t="str">
        <f t="shared" si="1"/>
        <v/>
      </c>
      <c r="F25" s="22"/>
      <c r="G25" s="23" t="str">
        <f t="shared" si="2"/>
        <v/>
      </c>
      <c r="H25" s="22"/>
      <c r="I25" s="23" t="str">
        <f t="shared" si="3"/>
        <v/>
      </c>
      <c r="J25" s="22"/>
      <c r="K25" s="23" t="str">
        <f t="shared" si="4"/>
        <v/>
      </c>
      <c r="L25" s="25"/>
      <c r="M25" s="25"/>
      <c r="N25" s="25"/>
      <c r="O25" s="23" t="str">
        <f t="shared" si="5"/>
        <v/>
      </c>
      <c r="P25" s="26" t="str">
        <f t="shared" si="6"/>
        <v/>
      </c>
      <c r="Q25" s="27" t="str">
        <f t="shared" si="7"/>
        <v/>
      </c>
    </row>
    <row r="26" spans="1:17" x14ac:dyDescent="0.25">
      <c r="A26" s="21">
        <v>14</v>
      </c>
      <c r="B26" s="22"/>
      <c r="C26" s="23" t="str">
        <f t="shared" si="0"/>
        <v/>
      </c>
      <c r="D26" s="24"/>
      <c r="E26" s="23" t="str">
        <f t="shared" si="1"/>
        <v/>
      </c>
      <c r="F26" s="22"/>
      <c r="G26" s="23" t="str">
        <f t="shared" si="2"/>
        <v/>
      </c>
      <c r="H26" s="22"/>
      <c r="I26" s="23" t="str">
        <f t="shared" si="3"/>
        <v/>
      </c>
      <c r="J26" s="22"/>
      <c r="K26" s="23" t="str">
        <f t="shared" si="4"/>
        <v/>
      </c>
      <c r="L26" s="25"/>
      <c r="M26" s="25"/>
      <c r="N26" s="25"/>
      <c r="O26" s="23" t="str">
        <f t="shared" si="5"/>
        <v/>
      </c>
      <c r="P26" s="26" t="str">
        <f t="shared" si="6"/>
        <v/>
      </c>
      <c r="Q26" s="27" t="str">
        <f t="shared" si="7"/>
        <v/>
      </c>
    </row>
    <row r="27" spans="1:17" x14ac:dyDescent="0.25">
      <c r="A27" s="21">
        <v>15</v>
      </c>
      <c r="B27" s="22"/>
      <c r="C27" s="23" t="str">
        <f t="shared" si="0"/>
        <v/>
      </c>
      <c r="D27" s="24"/>
      <c r="E27" s="23" t="str">
        <f t="shared" si="1"/>
        <v/>
      </c>
      <c r="F27" s="22"/>
      <c r="G27" s="23" t="str">
        <f t="shared" si="2"/>
        <v/>
      </c>
      <c r="H27" s="22"/>
      <c r="I27" s="23" t="str">
        <f t="shared" si="3"/>
        <v/>
      </c>
      <c r="J27" s="22"/>
      <c r="K27" s="23" t="str">
        <f t="shared" si="4"/>
        <v/>
      </c>
      <c r="L27" s="25"/>
      <c r="M27" s="25"/>
      <c r="N27" s="25"/>
      <c r="O27" s="23" t="str">
        <f t="shared" si="5"/>
        <v/>
      </c>
      <c r="P27" s="26" t="str">
        <f t="shared" si="6"/>
        <v/>
      </c>
      <c r="Q27" s="27" t="str">
        <f t="shared" si="7"/>
        <v/>
      </c>
    </row>
    <row r="30" spans="1:17" ht="21.95" customHeight="1" x14ac:dyDescent="0.25">
      <c r="A30" s="41" t="s">
        <v>700</v>
      </c>
      <c r="B30" s="42"/>
      <c r="C30" s="42"/>
      <c r="D30" s="42"/>
      <c r="E30" s="42"/>
      <c r="F30" s="42"/>
      <c r="G30" s="42"/>
      <c r="H30" s="42"/>
      <c r="I30" s="42"/>
      <c r="J30" s="42"/>
      <c r="K30" s="42"/>
      <c r="L30" s="42"/>
      <c r="M30" s="42"/>
      <c r="N30" s="42"/>
      <c r="O30" s="42"/>
      <c r="P30" s="42"/>
      <c r="Q30" s="42"/>
    </row>
    <row r="32" spans="1:17" ht="24" customHeight="1" x14ac:dyDescent="0.25">
      <c r="A32" s="44" t="s">
        <v>890</v>
      </c>
      <c r="B32" s="33"/>
      <c r="C32" s="33"/>
      <c r="D32" s="33"/>
      <c r="E32" s="33"/>
      <c r="F32" s="33"/>
      <c r="G32" s="33"/>
      <c r="H32" s="33"/>
      <c r="I32" s="33"/>
      <c r="J32" s="33"/>
      <c r="K32" s="33"/>
      <c r="L32" s="33"/>
      <c r="M32" s="33"/>
      <c r="N32" s="33"/>
      <c r="O32" s="33"/>
      <c r="P32" s="33"/>
      <c r="Q32" s="33"/>
    </row>
    <row r="33" spans="1:17" ht="51" customHeight="1" x14ac:dyDescent="0.25">
      <c r="A33" s="40" t="s">
        <v>702</v>
      </c>
      <c r="B33" s="33"/>
      <c r="C33" s="33"/>
      <c r="D33" s="33"/>
      <c r="E33" s="33"/>
      <c r="F33" s="33"/>
      <c r="G33" s="33"/>
      <c r="H33" s="33"/>
      <c r="I33" s="33"/>
      <c r="J33" s="33"/>
      <c r="K33" s="33"/>
      <c r="L33" s="33"/>
      <c r="M33" s="33"/>
      <c r="N33" s="33"/>
      <c r="O33" s="33"/>
      <c r="P33" s="33"/>
      <c r="Q33" s="33"/>
    </row>
    <row r="35" spans="1:17" ht="18" customHeight="1" x14ac:dyDescent="0.25">
      <c r="A35" s="43" t="s">
        <v>703</v>
      </c>
      <c r="B35" s="33"/>
      <c r="C35" s="33"/>
      <c r="D35" s="33"/>
      <c r="E35" s="33"/>
      <c r="F35" s="33"/>
      <c r="G35" s="33"/>
      <c r="H35" s="33"/>
      <c r="I35" s="33"/>
      <c r="J35" s="33"/>
      <c r="K35" s="33"/>
      <c r="L35" s="33"/>
      <c r="M35" s="33"/>
      <c r="N35" s="33"/>
      <c r="O35" s="33"/>
      <c r="P35" s="33"/>
      <c r="Q35" s="33"/>
    </row>
    <row r="36" spans="1:17" ht="21" customHeight="1" x14ac:dyDescent="0.25">
      <c r="A36" s="40" t="s">
        <v>891</v>
      </c>
      <c r="B36" s="33"/>
      <c r="C36" s="33"/>
      <c r="D36" s="33"/>
      <c r="E36" s="33"/>
      <c r="F36" s="33"/>
      <c r="G36" s="33"/>
      <c r="H36" s="33"/>
      <c r="I36" s="33"/>
      <c r="J36" s="33"/>
      <c r="K36" s="33"/>
      <c r="L36" s="33"/>
      <c r="M36" s="33"/>
      <c r="N36" s="33"/>
      <c r="O36" s="33"/>
      <c r="P36" s="33"/>
      <c r="Q36" s="33"/>
    </row>
    <row r="39" spans="1:17" ht="21.95" customHeight="1" x14ac:dyDescent="0.25">
      <c r="A39" s="41" t="s">
        <v>892</v>
      </c>
      <c r="B39" s="42"/>
      <c r="C39" s="42"/>
      <c r="D39" s="42"/>
      <c r="E39" s="42"/>
      <c r="F39" s="42"/>
      <c r="G39" s="42"/>
      <c r="H39" s="42"/>
      <c r="I39" s="42"/>
      <c r="J39" s="42"/>
      <c r="K39" s="42"/>
      <c r="L39" s="42"/>
      <c r="M39" s="42"/>
      <c r="N39" s="42"/>
      <c r="O39" s="42"/>
      <c r="P39" s="42"/>
      <c r="Q39" s="42"/>
    </row>
    <row r="40" spans="1:17" ht="15.95" customHeight="1" x14ac:dyDescent="0.25">
      <c r="A40" s="39" t="s">
        <v>706</v>
      </c>
      <c r="B40" s="33"/>
      <c r="C40" s="33"/>
      <c r="D40" s="33"/>
      <c r="E40" s="33"/>
      <c r="F40" s="33"/>
      <c r="G40" s="33"/>
      <c r="H40" s="33"/>
      <c r="I40" s="33"/>
      <c r="J40" s="33"/>
      <c r="K40" s="33"/>
      <c r="L40" s="33"/>
      <c r="M40" s="33"/>
      <c r="N40" s="33"/>
      <c r="O40" s="33"/>
      <c r="P40" s="33"/>
      <c r="Q40" s="33"/>
    </row>
    <row r="42" spans="1:17" ht="18" customHeight="1" x14ac:dyDescent="0.25">
      <c r="A42" s="43" t="s">
        <v>893</v>
      </c>
      <c r="B42" s="33"/>
      <c r="C42" s="33"/>
      <c r="D42" s="33"/>
      <c r="E42" s="33"/>
      <c r="F42" s="33"/>
      <c r="G42" s="33"/>
      <c r="H42" s="33"/>
      <c r="I42" s="33"/>
      <c r="J42" s="33"/>
      <c r="K42" s="33"/>
      <c r="L42" s="33"/>
      <c r="M42" s="33"/>
      <c r="N42" s="33"/>
      <c r="O42" s="33"/>
      <c r="P42" s="33"/>
      <c r="Q42" s="33"/>
    </row>
    <row r="43" spans="1:17" ht="21" customHeight="1" x14ac:dyDescent="0.25">
      <c r="A43" s="40" t="s">
        <v>894</v>
      </c>
      <c r="B43" s="33"/>
      <c r="C43" s="33"/>
      <c r="D43" s="33"/>
      <c r="E43" s="33"/>
      <c r="F43" s="33"/>
      <c r="G43" s="33"/>
      <c r="H43" s="33"/>
      <c r="I43" s="33"/>
      <c r="J43" s="33"/>
      <c r="K43" s="33"/>
      <c r="L43" s="33"/>
      <c r="M43" s="33"/>
      <c r="N43" s="33"/>
      <c r="O43" s="33"/>
      <c r="P43" s="33"/>
      <c r="Q43" s="33"/>
    </row>
    <row r="44" spans="1:17" ht="6" customHeight="1" x14ac:dyDescent="0.25"/>
    <row r="45" spans="1:17" ht="18" customHeight="1" x14ac:dyDescent="0.25">
      <c r="A45" s="43" t="s">
        <v>711</v>
      </c>
      <c r="B45" s="33"/>
      <c r="C45" s="33"/>
      <c r="D45" s="33"/>
      <c r="E45" s="33"/>
      <c r="F45" s="33"/>
      <c r="G45" s="33"/>
      <c r="H45" s="33"/>
      <c r="I45" s="33"/>
      <c r="J45" s="33"/>
      <c r="K45" s="33"/>
      <c r="L45" s="33"/>
      <c r="M45" s="33"/>
      <c r="N45" s="33"/>
      <c r="O45" s="33"/>
      <c r="P45" s="33"/>
      <c r="Q45" s="33"/>
    </row>
    <row r="46" spans="1:17" ht="51" customHeight="1" x14ac:dyDescent="0.25">
      <c r="A46" s="40" t="s">
        <v>712</v>
      </c>
      <c r="B46" s="33"/>
      <c r="C46" s="33"/>
      <c r="D46" s="33"/>
      <c r="E46" s="33"/>
      <c r="F46" s="33"/>
      <c r="G46" s="33"/>
      <c r="H46" s="33"/>
      <c r="I46" s="33"/>
      <c r="J46" s="33"/>
      <c r="K46" s="33"/>
      <c r="L46" s="33"/>
      <c r="M46" s="33"/>
      <c r="N46" s="33"/>
      <c r="O46" s="33"/>
      <c r="P46" s="33"/>
      <c r="Q46" s="33"/>
    </row>
    <row r="47" spans="1:17" ht="6" customHeight="1" x14ac:dyDescent="0.25"/>
    <row r="48" spans="1:17" ht="18" customHeight="1" x14ac:dyDescent="0.25">
      <c r="A48" s="43" t="s">
        <v>659</v>
      </c>
      <c r="B48" s="33"/>
      <c r="C48" s="33"/>
      <c r="D48" s="33"/>
      <c r="E48" s="33"/>
      <c r="F48" s="33"/>
      <c r="G48" s="33"/>
      <c r="H48" s="33"/>
      <c r="I48" s="33"/>
      <c r="J48" s="33"/>
      <c r="K48" s="33"/>
      <c r="L48" s="33"/>
      <c r="M48" s="33"/>
      <c r="N48" s="33"/>
      <c r="O48" s="33"/>
      <c r="P48" s="33"/>
      <c r="Q48" s="33"/>
    </row>
    <row r="49" spans="1:17" ht="36" customHeight="1" x14ac:dyDescent="0.25">
      <c r="A49" s="40" t="s">
        <v>713</v>
      </c>
      <c r="B49" s="33"/>
      <c r="C49" s="33"/>
      <c r="D49" s="33"/>
      <c r="E49" s="33"/>
      <c r="F49" s="33"/>
      <c r="G49" s="33"/>
      <c r="H49" s="33"/>
      <c r="I49" s="33"/>
      <c r="J49" s="33"/>
      <c r="K49" s="33"/>
      <c r="L49" s="33"/>
      <c r="M49" s="33"/>
      <c r="N49" s="33"/>
      <c r="O49" s="33"/>
      <c r="P49" s="33"/>
      <c r="Q49" s="33"/>
    </row>
    <row r="50" spans="1:17" ht="6" customHeight="1" x14ac:dyDescent="0.25"/>
    <row r="51" spans="1:17" ht="18" customHeight="1" x14ac:dyDescent="0.25">
      <c r="A51" s="43" t="s">
        <v>62</v>
      </c>
      <c r="B51" s="33"/>
      <c r="C51" s="33"/>
      <c r="D51" s="33"/>
      <c r="E51" s="33"/>
      <c r="F51" s="33"/>
      <c r="G51" s="33"/>
      <c r="H51" s="33"/>
      <c r="I51" s="33"/>
      <c r="J51" s="33"/>
      <c r="K51" s="33"/>
      <c r="L51" s="33"/>
      <c r="M51" s="33"/>
      <c r="N51" s="33"/>
      <c r="O51" s="33"/>
      <c r="P51" s="33"/>
      <c r="Q51" s="33"/>
    </row>
    <row r="52" spans="1:17" ht="36" customHeight="1" x14ac:dyDescent="0.25">
      <c r="A52" s="40" t="s">
        <v>714</v>
      </c>
      <c r="B52" s="33"/>
      <c r="C52" s="33"/>
      <c r="D52" s="33"/>
      <c r="E52" s="33"/>
      <c r="F52" s="33"/>
      <c r="G52" s="33"/>
      <c r="H52" s="33"/>
      <c r="I52" s="33"/>
      <c r="J52" s="33"/>
      <c r="K52" s="33"/>
      <c r="L52" s="33"/>
      <c r="M52" s="33"/>
      <c r="N52" s="33"/>
      <c r="O52" s="33"/>
      <c r="P52" s="33"/>
      <c r="Q52" s="33"/>
    </row>
    <row r="53" spans="1:17" ht="6" customHeight="1" x14ac:dyDescent="0.25"/>
    <row r="56" spans="1:17" ht="21.95" customHeight="1" x14ac:dyDescent="0.25">
      <c r="A56" s="41" t="s">
        <v>715</v>
      </c>
      <c r="B56" s="42"/>
      <c r="C56" s="42"/>
      <c r="D56" s="42"/>
      <c r="E56" s="42"/>
      <c r="F56" s="42"/>
      <c r="G56" s="42"/>
      <c r="H56" s="42"/>
      <c r="I56" s="42"/>
      <c r="J56" s="42"/>
      <c r="K56" s="42"/>
      <c r="L56" s="42"/>
      <c r="M56" s="42"/>
      <c r="N56" s="42"/>
      <c r="O56" s="42"/>
      <c r="P56" s="42"/>
      <c r="Q56" s="42"/>
    </row>
    <row r="58" spans="1:17" ht="18" customHeight="1" x14ac:dyDescent="0.25">
      <c r="A58" s="43" t="s">
        <v>85</v>
      </c>
      <c r="B58" s="33"/>
      <c r="C58" s="33"/>
      <c r="D58" s="33"/>
      <c r="E58" s="33"/>
      <c r="F58" s="33"/>
      <c r="G58" s="33"/>
      <c r="H58" s="33"/>
      <c r="I58" s="33"/>
      <c r="J58" s="33"/>
      <c r="K58" s="33"/>
      <c r="L58" s="33"/>
      <c r="M58" s="33"/>
      <c r="N58" s="33"/>
      <c r="O58" s="33"/>
      <c r="P58" s="33"/>
      <c r="Q58" s="33"/>
    </row>
    <row r="59" spans="1:17" ht="21" customHeight="1" x14ac:dyDescent="0.25">
      <c r="A59" s="40" t="s">
        <v>716</v>
      </c>
      <c r="B59" s="33"/>
      <c r="C59" s="33"/>
      <c r="D59" s="33"/>
      <c r="E59" s="33"/>
      <c r="F59" s="33"/>
      <c r="G59" s="33"/>
      <c r="H59" s="33"/>
      <c r="I59" s="33"/>
      <c r="J59" s="33"/>
      <c r="K59" s="33"/>
      <c r="L59" s="33"/>
      <c r="M59" s="33"/>
      <c r="N59" s="33"/>
      <c r="O59" s="33"/>
      <c r="P59" s="33"/>
      <c r="Q59" s="33"/>
    </row>
    <row r="60" spans="1:17" ht="6" customHeight="1" x14ac:dyDescent="0.25"/>
    <row r="61" spans="1:17" ht="18" customHeight="1" x14ac:dyDescent="0.25">
      <c r="A61" s="43" t="s">
        <v>97</v>
      </c>
      <c r="B61" s="33"/>
      <c r="C61" s="33"/>
      <c r="D61" s="33"/>
      <c r="E61" s="33"/>
      <c r="F61" s="33"/>
      <c r="G61" s="33"/>
      <c r="H61" s="33"/>
      <c r="I61" s="33"/>
      <c r="J61" s="33"/>
      <c r="K61" s="33"/>
      <c r="L61" s="33"/>
      <c r="M61" s="33"/>
      <c r="N61" s="33"/>
      <c r="O61" s="33"/>
      <c r="P61" s="33"/>
      <c r="Q61" s="33"/>
    </row>
    <row r="62" spans="1:17" ht="36" customHeight="1" x14ac:dyDescent="0.25">
      <c r="A62" s="40" t="s">
        <v>717</v>
      </c>
      <c r="B62" s="33"/>
      <c r="C62" s="33"/>
      <c r="D62" s="33"/>
      <c r="E62" s="33"/>
      <c r="F62" s="33"/>
      <c r="G62" s="33"/>
      <c r="H62" s="33"/>
      <c r="I62" s="33"/>
      <c r="J62" s="33"/>
      <c r="K62" s="33"/>
      <c r="L62" s="33"/>
      <c r="M62" s="33"/>
      <c r="N62" s="33"/>
      <c r="O62" s="33"/>
      <c r="P62" s="33"/>
      <c r="Q62" s="33"/>
    </row>
    <row r="63" spans="1:17" ht="6" customHeight="1" x14ac:dyDescent="0.25"/>
    <row r="64" spans="1:17" ht="18" customHeight="1" x14ac:dyDescent="0.25">
      <c r="A64" s="43" t="s">
        <v>657</v>
      </c>
      <c r="B64" s="33"/>
      <c r="C64" s="33"/>
      <c r="D64" s="33"/>
      <c r="E64" s="33"/>
      <c r="F64" s="33"/>
      <c r="G64" s="33"/>
      <c r="H64" s="33"/>
      <c r="I64" s="33"/>
      <c r="J64" s="33"/>
      <c r="K64" s="33"/>
      <c r="L64" s="33"/>
      <c r="M64" s="33"/>
      <c r="N64" s="33"/>
      <c r="O64" s="33"/>
      <c r="P64" s="33"/>
      <c r="Q64" s="33"/>
    </row>
    <row r="65" spans="1:17" ht="21" customHeight="1" x14ac:dyDescent="0.25">
      <c r="A65" s="40" t="s">
        <v>718</v>
      </c>
      <c r="B65" s="33"/>
      <c r="C65" s="33"/>
      <c r="D65" s="33"/>
      <c r="E65" s="33"/>
      <c r="F65" s="33"/>
      <c r="G65" s="33"/>
      <c r="H65" s="33"/>
      <c r="I65" s="33"/>
      <c r="J65" s="33"/>
      <c r="K65" s="33"/>
      <c r="L65" s="33"/>
      <c r="M65" s="33"/>
      <c r="N65" s="33"/>
      <c r="O65" s="33"/>
      <c r="P65" s="33"/>
      <c r="Q65" s="33"/>
    </row>
    <row r="66" spans="1:17" ht="6" customHeight="1" x14ac:dyDescent="0.25"/>
    <row r="67" spans="1:17" ht="18" customHeight="1" x14ac:dyDescent="0.25">
      <c r="A67" s="43" t="s">
        <v>659</v>
      </c>
      <c r="B67" s="33"/>
      <c r="C67" s="33"/>
      <c r="D67" s="33"/>
      <c r="E67" s="33"/>
      <c r="F67" s="33"/>
      <c r="G67" s="33"/>
      <c r="H67" s="33"/>
      <c r="I67" s="33"/>
      <c r="J67" s="33"/>
      <c r="K67" s="33"/>
      <c r="L67" s="33"/>
      <c r="M67" s="33"/>
      <c r="N67" s="33"/>
      <c r="O67" s="33"/>
      <c r="P67" s="33"/>
      <c r="Q67" s="33"/>
    </row>
    <row r="68" spans="1:17" ht="36" customHeight="1" x14ac:dyDescent="0.25">
      <c r="A68" s="40" t="s">
        <v>895</v>
      </c>
      <c r="B68" s="33"/>
      <c r="C68" s="33"/>
      <c r="D68" s="33"/>
      <c r="E68" s="33"/>
      <c r="F68" s="33"/>
      <c r="G68" s="33"/>
      <c r="H68" s="33"/>
      <c r="I68" s="33"/>
      <c r="J68" s="33"/>
      <c r="K68" s="33"/>
      <c r="L68" s="33"/>
      <c r="M68" s="33"/>
      <c r="N68" s="33"/>
      <c r="O68" s="33"/>
      <c r="P68" s="33"/>
      <c r="Q68" s="33"/>
    </row>
    <row r="69" spans="1:17" ht="6" customHeight="1" x14ac:dyDescent="0.25"/>
    <row r="70" spans="1:17" ht="18" customHeight="1" x14ac:dyDescent="0.25">
      <c r="A70" s="43" t="s">
        <v>661</v>
      </c>
      <c r="B70" s="33"/>
      <c r="C70" s="33"/>
      <c r="D70" s="33"/>
      <c r="E70" s="33"/>
      <c r="F70" s="33"/>
      <c r="G70" s="33"/>
      <c r="H70" s="33"/>
      <c r="I70" s="33"/>
      <c r="J70" s="33"/>
      <c r="K70" s="33"/>
      <c r="L70" s="33"/>
      <c r="M70" s="33"/>
      <c r="N70" s="33"/>
      <c r="O70" s="33"/>
      <c r="P70" s="33"/>
      <c r="Q70" s="33"/>
    </row>
    <row r="71" spans="1:17" ht="21" customHeight="1" x14ac:dyDescent="0.25">
      <c r="A71" s="40" t="s">
        <v>896</v>
      </c>
      <c r="B71" s="33"/>
      <c r="C71" s="33"/>
      <c r="D71" s="33"/>
      <c r="E71" s="33"/>
      <c r="F71" s="33"/>
      <c r="G71" s="33"/>
      <c r="H71" s="33"/>
      <c r="I71" s="33"/>
      <c r="J71" s="33"/>
      <c r="K71" s="33"/>
      <c r="L71" s="33"/>
      <c r="M71" s="33"/>
      <c r="N71" s="33"/>
      <c r="O71" s="33"/>
      <c r="P71" s="33"/>
      <c r="Q71" s="33"/>
    </row>
    <row r="72" spans="1:17" ht="6" customHeight="1" x14ac:dyDescent="0.25"/>
    <row r="73" spans="1:17" ht="18" customHeight="1" x14ac:dyDescent="0.25">
      <c r="A73" s="43" t="s">
        <v>668</v>
      </c>
      <c r="B73" s="33"/>
      <c r="C73" s="33"/>
      <c r="D73" s="33"/>
      <c r="E73" s="33"/>
      <c r="F73" s="33"/>
      <c r="G73" s="33"/>
      <c r="H73" s="33"/>
      <c r="I73" s="33"/>
      <c r="J73" s="33"/>
      <c r="K73" s="33"/>
      <c r="L73" s="33"/>
      <c r="M73" s="33"/>
      <c r="N73" s="33"/>
      <c r="O73" s="33"/>
      <c r="P73" s="33"/>
      <c r="Q73" s="33"/>
    </row>
    <row r="74" spans="1:17" ht="21" customHeight="1" x14ac:dyDescent="0.25">
      <c r="A74" s="40" t="s">
        <v>725</v>
      </c>
      <c r="B74" s="33"/>
      <c r="C74" s="33"/>
      <c r="D74" s="33"/>
      <c r="E74" s="33"/>
      <c r="F74" s="33"/>
      <c r="G74" s="33"/>
      <c r="H74" s="33"/>
      <c r="I74" s="33"/>
      <c r="J74" s="33"/>
      <c r="K74" s="33"/>
      <c r="L74" s="33"/>
      <c r="M74" s="33"/>
      <c r="N74" s="33"/>
      <c r="O74" s="33"/>
      <c r="P74" s="33"/>
      <c r="Q74" s="33"/>
    </row>
    <row r="75" spans="1:17" ht="6" customHeight="1" x14ac:dyDescent="0.25"/>
    <row r="76" spans="1:17" ht="18" customHeight="1" x14ac:dyDescent="0.25">
      <c r="A76" s="43" t="s">
        <v>669</v>
      </c>
      <c r="B76" s="33"/>
      <c r="C76" s="33"/>
      <c r="D76" s="33"/>
      <c r="E76" s="33"/>
      <c r="F76" s="33"/>
      <c r="G76" s="33"/>
      <c r="H76" s="33"/>
      <c r="I76" s="33"/>
      <c r="J76" s="33"/>
      <c r="K76" s="33"/>
      <c r="L76" s="33"/>
      <c r="M76" s="33"/>
      <c r="N76" s="33"/>
      <c r="O76" s="33"/>
      <c r="P76" s="33"/>
      <c r="Q76" s="33"/>
    </row>
    <row r="77" spans="1:17" ht="36" customHeight="1" x14ac:dyDescent="0.25">
      <c r="A77" s="40" t="s">
        <v>726</v>
      </c>
      <c r="B77" s="33"/>
      <c r="C77" s="33"/>
      <c r="D77" s="33"/>
      <c r="E77" s="33"/>
      <c r="F77" s="33"/>
      <c r="G77" s="33"/>
      <c r="H77" s="33"/>
      <c r="I77" s="33"/>
      <c r="J77" s="33"/>
      <c r="K77" s="33"/>
      <c r="L77" s="33"/>
      <c r="M77" s="33"/>
      <c r="N77" s="33"/>
      <c r="O77" s="33"/>
      <c r="P77" s="33"/>
      <c r="Q77" s="33"/>
    </row>
    <row r="78" spans="1:17" ht="6" customHeight="1" x14ac:dyDescent="0.25"/>
    <row r="79" spans="1:17" ht="18" customHeight="1" x14ac:dyDescent="0.25">
      <c r="A79" s="43" t="s">
        <v>670</v>
      </c>
      <c r="B79" s="33"/>
      <c r="C79" s="33"/>
      <c r="D79" s="33"/>
      <c r="E79" s="33"/>
      <c r="F79" s="33"/>
      <c r="G79" s="33"/>
      <c r="H79" s="33"/>
      <c r="I79" s="33"/>
      <c r="J79" s="33"/>
      <c r="K79" s="33"/>
      <c r="L79" s="33"/>
      <c r="M79" s="33"/>
      <c r="N79" s="33"/>
      <c r="O79" s="33"/>
      <c r="P79" s="33"/>
      <c r="Q79" s="33"/>
    </row>
    <row r="80" spans="1:17" ht="36" customHeight="1" x14ac:dyDescent="0.25">
      <c r="A80" s="40" t="s">
        <v>727</v>
      </c>
      <c r="B80" s="33"/>
      <c r="C80" s="33"/>
      <c r="D80" s="33"/>
      <c r="E80" s="33"/>
      <c r="F80" s="33"/>
      <c r="G80" s="33"/>
      <c r="H80" s="33"/>
      <c r="I80" s="33"/>
      <c r="J80" s="33"/>
      <c r="K80" s="33"/>
      <c r="L80" s="33"/>
      <c r="M80" s="33"/>
      <c r="N80" s="33"/>
      <c r="O80" s="33"/>
      <c r="P80" s="33"/>
      <c r="Q80" s="33"/>
    </row>
    <row r="81" spans="1:17" ht="6" customHeight="1" x14ac:dyDescent="0.25"/>
    <row r="84" spans="1:17" x14ac:dyDescent="0.25">
      <c r="A84" s="39" t="s">
        <v>728</v>
      </c>
      <c r="B84" s="33"/>
      <c r="C84" s="33"/>
      <c r="D84" s="33"/>
      <c r="E84" s="33"/>
      <c r="F84" s="33"/>
      <c r="G84" s="33"/>
      <c r="H84" s="33"/>
      <c r="I84" s="33"/>
      <c r="J84" s="33"/>
      <c r="K84" s="33"/>
      <c r="L84" s="33"/>
      <c r="M84" s="33"/>
      <c r="N84" s="33"/>
      <c r="O84" s="33"/>
      <c r="P84" s="33"/>
      <c r="Q84" s="33"/>
    </row>
  </sheetData>
  <mergeCells count="33">
    <mergeCell ref="A40:Q40"/>
    <mergeCell ref="A67:Q67"/>
    <mergeCell ref="A30:Q30"/>
    <mergeCell ref="A39:Q39"/>
    <mergeCell ref="A45:Q45"/>
    <mergeCell ref="A36:Q36"/>
    <mergeCell ref="A46:Q46"/>
    <mergeCell ref="A33:Q33"/>
    <mergeCell ref="A32:Q32"/>
    <mergeCell ref="A35:Q35"/>
    <mergeCell ref="A59:Q59"/>
    <mergeCell ref="A48:Q48"/>
    <mergeCell ref="A73:Q73"/>
    <mergeCell ref="A64:Q64"/>
    <mergeCell ref="A51:Q51"/>
    <mergeCell ref="A49:Q49"/>
    <mergeCell ref="A58:Q58"/>
    <mergeCell ref="A84:Q84"/>
    <mergeCell ref="A74:Q74"/>
    <mergeCell ref="A56:Q56"/>
    <mergeCell ref="A42:Q42"/>
    <mergeCell ref="A76:Q76"/>
    <mergeCell ref="A71:Q71"/>
    <mergeCell ref="A62:Q62"/>
    <mergeCell ref="A43:Q43"/>
    <mergeCell ref="A52:Q52"/>
    <mergeCell ref="A68:Q68"/>
    <mergeCell ref="A79:Q79"/>
    <mergeCell ref="A61:Q61"/>
    <mergeCell ref="A70:Q70"/>
    <mergeCell ref="A65:Q65"/>
    <mergeCell ref="A80:Q80"/>
    <mergeCell ref="A77:Q77"/>
  </mergeCells>
  <dataValidations count="8">
    <dataValidation type="list" allowBlank="1" errorTitle="Valore non valido" error="Selezionare dalla lista." promptTitle="Author" prompt="Autore della codifica." sqref="B6:B27" xr:uid="{00000000-0002-0000-1000-000000000000}">
      <formula1>Author_Name</formula1>
    </dataValidation>
    <dataValidation type="list" allowBlank="1" errorTitle="Valore non valido" error="Selezionare dalla lista, oppure lasciare vuoto." promptTitle="In Place" sqref="D6:D27" xr:uid="{00000000-0002-0000-1000-000001000000}">
      <formula1>InPl_Name</formula1>
    </dataValidation>
    <dataValidation type="list" allowBlank="1" errorTitle="Valore non valido" error="Selezionare dalla lista." promptTitle="Categoria" prompt="Categoria Revit della famiglia." sqref="F6:F27" xr:uid="{00000000-0002-0000-1000-000002000000}">
      <formula1>MS_Cat_Name</formula1>
    </dataValidation>
    <dataValidation type="list" allowBlank="1" errorTitle="Valore non valido" error="Selezionare dalla lista." promptTitle="Group1 — scala" prompt="Scala del volume. Component e Symbol chiudono la lista: quando la famiglia è un componente nidificato o un simbolo, quel valore prende il posto della classificazione funzionale, e il Group2 diventa OT." sqref="H6:H27" xr:uid="{00000000-0002-0000-1000-000003000000}">
      <formula1>MS_G1_Name</formula1>
    </dataValidation>
    <dataValidation type="list" allowBlank="1" errorTitle="Valore non valido" error="Selezionare dalla lista." promptTitle="Group2 — scopo" prompt="Scopo dello studio volumetrico." sqref="J6:J27" xr:uid="{00000000-0002-0000-1000-000004000000}">
      <formula1>MS_G2_Name</formula1>
    </dataValidation>
    <dataValidation type="custom" allowBlank="1" errorTitle="Non valido" error="Massimo 24 caratteri, senza spazi." promptTitle="Manufacturer" prompt="Facoltativo. Azienda produttrice. Campo libero: senza spazi, iniziali maiuscole. Non compatibile con Group1 = Custom." sqref="L6:L27" xr:uid="{00000000-0002-0000-1000-000005000000}">
      <formula1>AND(LEN($L6)&lt;=24,ISERROR(FIND(" ",$L6)))</formula1>
    </dataValidation>
    <dataValidation type="custom" allowBlank="1" errorTitle="Non valido" error="Massimo 24 caratteri, senza spazi." promptTitle="Brand" sqref="M6:M27" xr:uid="{00000000-0002-0000-1000-000006000000}">
      <formula1>AND(LEN($M6)&lt;=24,ISERROR(FIND(" ",$M6)))</formula1>
    </dataValidation>
    <dataValidation type="textLength" operator="lessThanOrEqual" allowBlank="1" errorTitle="Troppo lunga" error="Massimo 40 caratteri." promptTitle="Descrizione" prompt="Facoltativa. Solo se aggiunge un’informazione non già nei codici: destinazione, posizione, o ciò che distingue due famiglie altrimenti identiche. Senza spazi, iniziali maiuscole, massimo 40 caratteri, senza accenti." sqref="N6:N27" xr:uid="{00000000-0002-0000-1000-000007000000}">
      <formula1>40</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
  <sheetViews>
    <sheetView workbookViewId="0"/>
  </sheetViews>
  <sheetFormatPr defaultRowHeight="15" x14ac:dyDescent="0.25"/>
  <sheetData>
    <row r="1" spans="1:2" x14ac:dyDescent="0.25">
      <c r="B1" t="s">
        <v>117</v>
      </c>
    </row>
    <row r="2" spans="1:2" x14ac:dyDescent="0.25">
      <c r="A2" s="2" t="s">
        <v>897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18</vt:i4>
      </vt:variant>
      <vt:variant>
        <vt:lpstr>Intervalli denominati</vt:lpstr>
      </vt:variant>
      <vt:variant>
        <vt:i4>94</vt:i4>
      </vt:variant>
    </vt:vector>
  </HeadingPairs>
  <TitlesOfParts>
    <vt:vector size="112" baseType="lpstr">
      <vt:lpstr>Istruzioni</vt:lpstr>
      <vt:lpstr>DV</vt:lpstr>
      <vt:lpstr>01_DR Doors</vt:lpstr>
      <vt:lpstr>02_WN Windows</vt:lpstr>
      <vt:lpstr>03_CP Curtain Panels</vt:lpstr>
      <vt:lpstr>04_CM Columns</vt:lpstr>
      <vt:lpstr>05_FN Furniture</vt:lpstr>
      <vt:lpstr>06_FS Furniture Systems</vt:lpstr>
      <vt:lpstr>07_CK Casework</vt:lpstr>
      <vt:lpstr>08_PF Plumbing Fixtures</vt:lpstr>
      <vt:lpstr>09_SE Specialty Equipment</vt:lpstr>
      <vt:lpstr>10_SI Site</vt:lpstr>
      <vt:lpstr>11_PK Parking</vt:lpstr>
      <vt:lpstr>12_EN Entourage</vt:lpstr>
      <vt:lpstr>13_PL Planting</vt:lpstr>
      <vt:lpstr>14_GM Generic Models</vt:lpstr>
      <vt:lpstr>15_MS Mass</vt:lpstr>
      <vt:lpstr>_src</vt:lpstr>
      <vt:lpstr>Author_Code</vt:lpstr>
      <vt:lpstr>Author_Name</vt:lpstr>
      <vt:lpstr>CK_Cat_Code</vt:lpstr>
      <vt:lpstr>CK_Cat_Name</vt:lpstr>
      <vt:lpstr>CK_G2_Code</vt:lpstr>
      <vt:lpstr>CK_G2_Name</vt:lpstr>
      <vt:lpstr>CM_Cat_Code</vt:lpstr>
      <vt:lpstr>CM_Cat_Name</vt:lpstr>
      <vt:lpstr>CM_G1_Code</vt:lpstr>
      <vt:lpstr>CM_G1_Name</vt:lpstr>
      <vt:lpstr>CM_G2_Code</vt:lpstr>
      <vt:lpstr>CM_G2_Name</vt:lpstr>
      <vt:lpstr>CM_G2_TM</vt:lpstr>
      <vt:lpstr>CP_Cat_Code</vt:lpstr>
      <vt:lpstr>CP_Cat_Name</vt:lpstr>
      <vt:lpstr>CP_G1_Code</vt:lpstr>
      <vt:lpstr>CP_G1_Name</vt:lpstr>
      <vt:lpstr>CP_G2_Code</vt:lpstr>
      <vt:lpstr>CP_G2_Name</vt:lpstr>
      <vt:lpstr>CP_G2_TM</vt:lpstr>
      <vt:lpstr>CWh_Code</vt:lpstr>
      <vt:lpstr>CWh_Name</vt:lpstr>
      <vt:lpstr>DR_Cat_Code</vt:lpstr>
      <vt:lpstr>DR_Cat_Name</vt:lpstr>
      <vt:lpstr>DR_G1_Code</vt:lpstr>
      <vt:lpstr>DR_G1_Name</vt:lpstr>
      <vt:lpstr>DR_G2_Code</vt:lpstr>
      <vt:lpstr>DR_G2_Name</vt:lpstr>
      <vt:lpstr>DR_G2_TM</vt:lpstr>
      <vt:lpstr>EN_Cat_Code</vt:lpstr>
      <vt:lpstr>EN_Cat_Name</vt:lpstr>
      <vt:lpstr>EN_G1_Code</vt:lpstr>
      <vt:lpstr>EN_G1_Name</vt:lpstr>
      <vt:lpstr>EN_G2_Code</vt:lpstr>
      <vt:lpstr>EN_G2_Name</vt:lpstr>
      <vt:lpstr>EN_G2_TM</vt:lpstr>
      <vt:lpstr>Entr_Code</vt:lpstr>
      <vt:lpstr>Entr_Name</vt:lpstr>
      <vt:lpstr>FN_Cat_Code</vt:lpstr>
      <vt:lpstr>FN_Cat_Name</vt:lpstr>
      <vt:lpstr>FN_G2_Code</vt:lpstr>
      <vt:lpstr>FN_G2_Name</vt:lpstr>
      <vt:lpstr>FS_Cat_Code</vt:lpstr>
      <vt:lpstr>FS_Cat_Name</vt:lpstr>
      <vt:lpstr>FS_G2_Code</vt:lpstr>
      <vt:lpstr>FS_G2_Name</vt:lpstr>
      <vt:lpstr>GM_Cat_Code</vt:lpstr>
      <vt:lpstr>GM_Cat_Name</vt:lpstr>
      <vt:lpstr>GM_G2_Code</vt:lpstr>
      <vt:lpstr>GM_G2_Name</vt:lpstr>
      <vt:lpstr>InPl_Code</vt:lpstr>
      <vt:lpstr>InPl_Name</vt:lpstr>
      <vt:lpstr>MS_Cat_Code</vt:lpstr>
      <vt:lpstr>MS_Cat_Name</vt:lpstr>
      <vt:lpstr>MS_G1_Code</vt:lpstr>
      <vt:lpstr>MS_G1_Name</vt:lpstr>
      <vt:lpstr>MS_G2_Code</vt:lpstr>
      <vt:lpstr>MS_G2_Name</vt:lpstr>
      <vt:lpstr>MS_G2_TM</vt:lpstr>
      <vt:lpstr>PF_Cat_Code</vt:lpstr>
      <vt:lpstr>PF_Cat_Name</vt:lpstr>
      <vt:lpstr>PF_G2_Code</vt:lpstr>
      <vt:lpstr>PF_G2_Name</vt:lpstr>
      <vt:lpstr>PK_Cat_Code</vt:lpstr>
      <vt:lpstr>PK_Cat_Name</vt:lpstr>
      <vt:lpstr>PK_G1_Code</vt:lpstr>
      <vt:lpstr>PK_G1_Name</vt:lpstr>
      <vt:lpstr>PK_G2_Code</vt:lpstr>
      <vt:lpstr>PK_G2_Name</vt:lpstr>
      <vt:lpstr>PK_G2_TM</vt:lpstr>
      <vt:lpstr>PL_Cat_Code</vt:lpstr>
      <vt:lpstr>PL_Cat_Name</vt:lpstr>
      <vt:lpstr>PL_G1_Code</vt:lpstr>
      <vt:lpstr>PL_G1_Name</vt:lpstr>
      <vt:lpstr>PL_G2_Code</vt:lpstr>
      <vt:lpstr>PL_G2_Name</vt:lpstr>
      <vt:lpstr>PL_G2_TM</vt:lpstr>
      <vt:lpstr>PR_G1_Code</vt:lpstr>
      <vt:lpstr>PR_G1_Name</vt:lpstr>
      <vt:lpstr>SE_Cat_Code</vt:lpstr>
      <vt:lpstr>SE_Cat_Name</vt:lpstr>
      <vt:lpstr>SE_G2_Code</vt:lpstr>
      <vt:lpstr>SE_G2_Name</vt:lpstr>
      <vt:lpstr>SI_Cat_Code</vt:lpstr>
      <vt:lpstr>SI_Cat_Name</vt:lpstr>
      <vt:lpstr>SI_G2_Code</vt:lpstr>
      <vt:lpstr>SI_G2_Name</vt:lpstr>
      <vt:lpstr>WN_Cat_Code</vt:lpstr>
      <vt:lpstr>WN_Cat_Name</vt:lpstr>
      <vt:lpstr>WN_G1_Code</vt:lpstr>
      <vt:lpstr>WN_G1_Name</vt:lpstr>
      <vt:lpstr>WN_G2_Code</vt:lpstr>
      <vt:lpstr>WN_G2_Name</vt:lpstr>
      <vt:lpstr>WN_G2_TM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Tommaso Lorenzi - ESA engineering</cp:lastModifiedBy>
  <dcterms:created xsi:type="dcterms:W3CDTF">2026-09-07T09:56:53Z</dcterms:created>
  <dcterms:modified xsi:type="dcterms:W3CDTF">2026-09-10T14:02:57Z</dcterms:modified>
</cp:coreProperties>
</file>